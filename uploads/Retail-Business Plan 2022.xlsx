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b/Documents/Real Estate/Play AI/Asset Management AI/Prototype 3/"/>
    </mc:Choice>
  </mc:AlternateContent>
  <xr:revisionPtr revIDLastSave="0" documentId="13_ncr:1_{37028C21-1580-9B46-AA43-885073A536BC}" xr6:coauthVersionLast="47" xr6:coauthVersionMax="47" xr10:uidLastSave="{00000000-0000-0000-0000-000000000000}"/>
  <bookViews>
    <workbookView xWindow="1680" yWindow="600" windowWidth="35020" windowHeight="21000" activeTab="3" xr2:uid="{EE1A72CF-47F1-AF43-A432-4D2B5D42FFAF}"/>
  </bookViews>
  <sheets>
    <sheet name="Assumption" sheetId="6" r:id="rId1"/>
    <sheet name="Proforma" sheetId="10" r:id="rId2"/>
    <sheet name="Cash Flow" sheetId="4" r:id="rId3"/>
    <sheet name="Lease Roll Over" sheetId="5" r:id="rId4"/>
    <sheet name="Rent Roll" sheetId="1" r:id="rId5"/>
    <sheet name="2021 T12" sheetId="11" r:id="rId6"/>
    <sheet name="OPEX" sheetId="7" r:id="rId7"/>
    <sheet name="2020 T12" sheetId="3" r:id="rId8"/>
    <sheet name="SOFR Curve" sheetId="9" r:id="rId9"/>
  </sheets>
  <definedNames>
    <definedName name="_________RC511NAC_RC511NX_List">#REF!</definedName>
    <definedName name="________EXP1">#REF!</definedName>
    <definedName name="________LTL1">#REF!</definedName>
    <definedName name="________LTL2">#REF!</definedName>
    <definedName name="________LTL3">#REF!</definedName>
    <definedName name="________LTL4">#REF!</definedName>
    <definedName name="________LTL5">#REF!</definedName>
    <definedName name="________LTL6">#REF!</definedName>
    <definedName name="________RC511NAC_RC511NX_List">#REF!</definedName>
    <definedName name="_______EXP1">#REF!</definedName>
    <definedName name="_______LTL1">#REF!</definedName>
    <definedName name="_______LTL2">#REF!</definedName>
    <definedName name="_______LTL3">#REF!</definedName>
    <definedName name="_______LTL4">#REF!</definedName>
    <definedName name="_______LTL5">#REF!</definedName>
    <definedName name="_______LTL6">#REF!</definedName>
    <definedName name="_______RC511NAC_RC511NX_List">#REF!</definedName>
    <definedName name="_______wrn1" hidden="1">{"schedule1",#N/A,FALSE,"Sheet1";"schedule2",#N/A,FALSE,"Sheet1";"schedule3",#N/A,FALSE,"Sheet1";"schedule4",#N/A,FALSE,"Sheet1";"schedule5",#N/A,FALSE,"Sheet1";"schedule6",#N/A,FALSE,"Sheet1"}</definedName>
    <definedName name="______EXP1">#REF!</definedName>
    <definedName name="______RC511NAC_RC511NX_List">#REF!</definedName>
    <definedName name="______wrn1" hidden="1">{"schedule1",#N/A,FALSE,"Sheet1";"schedule2",#N/A,FALSE,"Sheet1";"schedule3",#N/A,FALSE,"Sheet1";"schedule4",#N/A,FALSE,"Sheet1";"schedule5",#N/A,FALSE,"Sheet1";"schedule6",#N/A,FALSE,"Sheet1"}</definedName>
    <definedName name="_____RC511NAC_RC511NX_List">#REF!</definedName>
    <definedName name="_____SCE1">#REF!</definedName>
    <definedName name="_____SCE2">#REF!</definedName>
    <definedName name="_____SCE3">#REF!</definedName>
    <definedName name="_____SCE4">#REF!</definedName>
    <definedName name="____BUN1">#REF!</definedName>
    <definedName name="____GPR1">#REF!</definedName>
    <definedName name="____GPR2">#REF!</definedName>
    <definedName name="____GPR3">#REF!</definedName>
    <definedName name="____GPR4">#REF!</definedName>
    <definedName name="____GPR5">#REF!</definedName>
    <definedName name="____GPR6">#REF!</definedName>
    <definedName name="____LA1">#REF!</definedName>
    <definedName name="____RC511NAC_RC511NX_List">#REF!</definedName>
    <definedName name="____REF1">#N/A</definedName>
    <definedName name="____REF2">#N/A</definedName>
    <definedName name="____SCE1">#REF!</definedName>
    <definedName name="____SCE2">#REF!</definedName>
    <definedName name="____SCE3">#REF!</definedName>
    <definedName name="____SCE4">#REF!</definedName>
    <definedName name="____SF1">#REF!</definedName>
    <definedName name="____SF2">#REF!</definedName>
    <definedName name="____SF3">#REF!</definedName>
    <definedName name="____SF4">#REF!</definedName>
    <definedName name="____SF5">#REF!</definedName>
    <definedName name="____wrn1" hidden="1">{"schedule1",#N/A,FALSE,"Sheet1";"schedule2",#N/A,FALSE,"Sheet1";"schedule3",#N/A,FALSE,"Sheet1";"schedule4",#N/A,FALSE,"Sheet1";"schedule5",#N/A,FALSE,"Sheet1";"schedule6",#N/A,FALSE,"Sheet1"}</definedName>
    <definedName name="___ASS1">#N/A</definedName>
    <definedName name="___ASS2">#N/A</definedName>
    <definedName name="___ass3">#N/A</definedName>
    <definedName name="___AVI1">#N/A</definedName>
    <definedName name="___BUN1">#REF!</definedName>
    <definedName name="___CAM96">#REF!</definedName>
    <definedName name="___CAM97">#REF!</definedName>
    <definedName name="___CAM9710">#REF!</definedName>
    <definedName name="___GPR1">#REF!</definedName>
    <definedName name="___GPR2">#REF!</definedName>
    <definedName name="___GPR3">#REF!</definedName>
    <definedName name="___GPR4">#REF!</definedName>
    <definedName name="___GPR5">#REF!</definedName>
    <definedName name="___GPR6">#REF!</definedName>
    <definedName name="___GSF2">#N/A</definedName>
    <definedName name="___INF1">#N/A</definedName>
    <definedName name="___INF2">#N/A</definedName>
    <definedName name="___INS97">#REF!</definedName>
    <definedName name="___LA1">#REF!</definedName>
    <definedName name="___LC1">#N/A</definedName>
    <definedName name="___LC2">#N/A</definedName>
    <definedName name="___LC3">#N/A</definedName>
    <definedName name="___LTL1">#REF!</definedName>
    <definedName name="___LTL2">#REF!</definedName>
    <definedName name="___LTL3">#REF!</definedName>
    <definedName name="___LTL4">#REF!</definedName>
    <definedName name="___LTL5">#REF!</definedName>
    <definedName name="___LTL6">#REF!</definedName>
    <definedName name="___MGT2">#N/A</definedName>
    <definedName name="___MGT3">#N/A</definedName>
    <definedName name="___PER1">#REF!</definedName>
    <definedName name="___ph1">#REF!</definedName>
    <definedName name="___ph2">#REF!</definedName>
    <definedName name="___pr3">#N/A</definedName>
    <definedName name="___RC511NAC_RC511NX_List">#REF!</definedName>
    <definedName name="___REF1">#N/A</definedName>
    <definedName name="___REF2">#N/A</definedName>
    <definedName name="___RPC9">#N/A</definedName>
    <definedName name="___RR1">#N/A</definedName>
    <definedName name="___RR2">#N/A</definedName>
    <definedName name="___rsf2">#N/A</definedName>
    <definedName name="___SCE1">#REF!</definedName>
    <definedName name="___SCE2">#REF!</definedName>
    <definedName name="___SCE3">#REF!</definedName>
    <definedName name="___SCE4">#REF!</definedName>
    <definedName name="___SD1">#REF!</definedName>
    <definedName name="___SD10">#REF!</definedName>
    <definedName name="___SD11">#REF!</definedName>
    <definedName name="___SD12">#REF!</definedName>
    <definedName name="___SD13">#REF!</definedName>
    <definedName name="___SD14">#REF!</definedName>
    <definedName name="___SD15">#REF!</definedName>
    <definedName name="___SD16">#REF!</definedName>
    <definedName name="___SD17">#REF!</definedName>
    <definedName name="___SD18">#REF!</definedName>
    <definedName name="___SD19">#REF!</definedName>
    <definedName name="___SD2">#REF!</definedName>
    <definedName name="___SD20">#REF!</definedName>
    <definedName name="___SD21">#REF!</definedName>
    <definedName name="___SD22">#REF!</definedName>
    <definedName name="___SD23">#REF!</definedName>
    <definedName name="___SD24">#REF!</definedName>
    <definedName name="___SD25">#REF!</definedName>
    <definedName name="___SD26">#REF!</definedName>
    <definedName name="___SD27">#REF!</definedName>
    <definedName name="___SD28">#REF!</definedName>
    <definedName name="___SD29">#REF!</definedName>
    <definedName name="___SD3">#REF!</definedName>
    <definedName name="___SD30">#REF!</definedName>
    <definedName name="___SD31">#REF!</definedName>
    <definedName name="___SD32">#REF!</definedName>
    <definedName name="___SD33">#REF!</definedName>
    <definedName name="___SD4">#REF!</definedName>
    <definedName name="___SD5">#REF!</definedName>
    <definedName name="___SD6">#REF!</definedName>
    <definedName name="___SD7">#REF!</definedName>
    <definedName name="___SD8">#REF!</definedName>
    <definedName name="___SD9">#REF!</definedName>
    <definedName name="___SF1">#REF!</definedName>
    <definedName name="___SF10">#REF!</definedName>
    <definedName name="___SF11">#REF!</definedName>
    <definedName name="___SF12">#REF!</definedName>
    <definedName name="___SF13">#REF!</definedName>
    <definedName name="___SF14">#REF!</definedName>
    <definedName name="___SF15">#REF!</definedName>
    <definedName name="___SF16">#REF!</definedName>
    <definedName name="___SF17">#REF!</definedName>
    <definedName name="___SF18">#REF!</definedName>
    <definedName name="___SF19">#REF!</definedName>
    <definedName name="___SF2">#REF!</definedName>
    <definedName name="___SF20">#REF!</definedName>
    <definedName name="___SF21">#REF!</definedName>
    <definedName name="___SF22">#REF!</definedName>
    <definedName name="___SF23">#REF!</definedName>
    <definedName name="___SF24">#REF!</definedName>
    <definedName name="___SF25">#REF!</definedName>
    <definedName name="___SF26">#REF!</definedName>
    <definedName name="___SF27">#REF!</definedName>
    <definedName name="___SF28">#REF!</definedName>
    <definedName name="___SF29">#REF!</definedName>
    <definedName name="___SF3">#REF!</definedName>
    <definedName name="___SF30">#REF!</definedName>
    <definedName name="___SF31">#REF!</definedName>
    <definedName name="___SF32">#REF!</definedName>
    <definedName name="___SF33">#REF!</definedName>
    <definedName name="___SF4">#REF!</definedName>
    <definedName name="___SF5">#REF!</definedName>
    <definedName name="___SF6">#REF!</definedName>
    <definedName name="___SF7">#REF!</definedName>
    <definedName name="___SF8">#REF!</definedName>
    <definedName name="___SF9">#REF!</definedName>
    <definedName name="___SRS1">#N/A</definedName>
    <definedName name="___SRS2">#N/A</definedName>
    <definedName name="___std962">#N/A</definedName>
    <definedName name="___TAX97">#REF!</definedName>
    <definedName name="___tbl1">#N/A</definedName>
    <definedName name="___TI1">#N/A</definedName>
    <definedName name="___TI2">#N/A</definedName>
    <definedName name="___TI3">#N/A</definedName>
    <definedName name="___TN1">#REF!</definedName>
    <definedName name="___TN10">#REF!</definedName>
    <definedName name="___TN11">#REF!</definedName>
    <definedName name="___TN12">#REF!</definedName>
    <definedName name="___TN13">#REF!</definedName>
    <definedName name="___TN14">#REF!</definedName>
    <definedName name="___TN15">#REF!</definedName>
    <definedName name="___TN16">#REF!</definedName>
    <definedName name="___TN17">#REF!</definedName>
    <definedName name="___TN18">#REF!</definedName>
    <definedName name="___TN19">#REF!</definedName>
    <definedName name="___TN2">#REF!</definedName>
    <definedName name="___TN20">#REF!</definedName>
    <definedName name="___TN21">#REF!</definedName>
    <definedName name="___TN22">#REF!</definedName>
    <definedName name="___TN23">#REF!</definedName>
    <definedName name="___TN24">#REF!</definedName>
    <definedName name="___TN25">#REF!</definedName>
    <definedName name="___TN26">#REF!</definedName>
    <definedName name="___TN27">#REF!</definedName>
    <definedName name="___TN28">#REF!</definedName>
    <definedName name="___TN29">#REF!</definedName>
    <definedName name="___TN3">#REF!</definedName>
    <definedName name="___TN30">#REF!</definedName>
    <definedName name="___TN31">#REF!</definedName>
    <definedName name="___TN32">#REF!</definedName>
    <definedName name="___TN33">#REF!</definedName>
    <definedName name="___TN4">#REF!</definedName>
    <definedName name="___TN5">#REF!</definedName>
    <definedName name="___TN6">#REF!</definedName>
    <definedName name="___TN7">#REF!</definedName>
    <definedName name="___TN8">#REF!</definedName>
    <definedName name="___TN9">#REF!</definedName>
    <definedName name="___tot97">#REF!</definedName>
    <definedName name="___tot98">#REF!</definedName>
    <definedName name="___tpc2">#N/A</definedName>
    <definedName name="___tpc96">#N/A</definedName>
    <definedName name="___tpc963">#N/A</definedName>
    <definedName name="___tpc964">#N/A</definedName>
    <definedName name="___tpc965">#N/A</definedName>
    <definedName name="___tpc966">#N/A</definedName>
    <definedName name="___tpc967">#N/A</definedName>
    <definedName name="___tpc968">#N/A</definedName>
    <definedName name="___tpc97">#N/A</definedName>
    <definedName name="___tpc98">#N/A</definedName>
    <definedName name="___tpc99">#N/A</definedName>
    <definedName name="___UN1">#REF!</definedName>
    <definedName name="___UN10">#REF!</definedName>
    <definedName name="___UN11">#REF!</definedName>
    <definedName name="___UN12">#REF!</definedName>
    <definedName name="___UN13">#REF!</definedName>
    <definedName name="___UN14">#REF!</definedName>
    <definedName name="___UN15">#REF!</definedName>
    <definedName name="___UN16">#REF!</definedName>
    <definedName name="___UN17">#REF!</definedName>
    <definedName name="___UN18">#REF!</definedName>
    <definedName name="___UN19">#REF!</definedName>
    <definedName name="___UN2">#REF!</definedName>
    <definedName name="___UN20">#REF!</definedName>
    <definedName name="___UN21">#REF!</definedName>
    <definedName name="___UN22">#REF!</definedName>
    <definedName name="___UN23">#REF!</definedName>
    <definedName name="___UN24">#REF!</definedName>
    <definedName name="___UN25">#REF!</definedName>
    <definedName name="___UN26">#REF!</definedName>
    <definedName name="___UN27">#REF!</definedName>
    <definedName name="___UN28">#REF!</definedName>
    <definedName name="___UN29">#REF!</definedName>
    <definedName name="___UN3">#REF!</definedName>
    <definedName name="___UN30">#REF!</definedName>
    <definedName name="___UN31">#REF!</definedName>
    <definedName name="___UN32">#REF!</definedName>
    <definedName name="___UN33">#REF!</definedName>
    <definedName name="___UN4">#REF!</definedName>
    <definedName name="___UN5">#REF!</definedName>
    <definedName name="___UN6">#REF!</definedName>
    <definedName name="___UN7">#REF!</definedName>
    <definedName name="___UN8">#REF!</definedName>
    <definedName name="___UN9">#REF!</definedName>
    <definedName name="___wrn1" hidden="1">{"schedule1",#N/A,FALSE,"Sheet1";"schedule2",#N/A,FALSE,"Sheet1";"schedule3",#N/A,FALSE,"Sheet1";"schedule4",#N/A,FALSE,"Sheet1";"schedule5",#N/A,FALSE,"Sheet1";"schedule6",#N/A,FALSE,"Sheet1"}</definedName>
    <definedName name="___XD1">#REF!</definedName>
    <definedName name="___XD10">#REF!</definedName>
    <definedName name="___XD11">#REF!</definedName>
    <definedName name="___XD12">#REF!</definedName>
    <definedName name="___XD13">#REF!</definedName>
    <definedName name="___XD14">#REF!</definedName>
    <definedName name="___XD15">#REF!</definedName>
    <definedName name="___XD16">#REF!</definedName>
    <definedName name="___XD17">#REF!</definedName>
    <definedName name="___XD18">#REF!</definedName>
    <definedName name="___XD19">#REF!</definedName>
    <definedName name="___XD2">#REF!</definedName>
    <definedName name="___XD20">#REF!</definedName>
    <definedName name="___XD21">#REF!</definedName>
    <definedName name="___XD22">#REF!</definedName>
    <definedName name="___XD23">#REF!</definedName>
    <definedName name="___XD24">#REF!</definedName>
    <definedName name="___XD25">#REF!</definedName>
    <definedName name="___XD26">#REF!</definedName>
    <definedName name="___XD27">#REF!</definedName>
    <definedName name="___XD28">#REF!</definedName>
    <definedName name="___XD29">#REF!</definedName>
    <definedName name="___XD3">#REF!</definedName>
    <definedName name="___XD30">#REF!</definedName>
    <definedName name="___XD31">#REF!</definedName>
    <definedName name="___XD32">#REF!</definedName>
    <definedName name="___XD33">#REF!</definedName>
    <definedName name="___XD4">#REF!</definedName>
    <definedName name="___XD5">#REF!</definedName>
    <definedName name="___XD6">#REF!</definedName>
    <definedName name="___XD7">#REF!</definedName>
    <definedName name="___XD8">#REF!</definedName>
    <definedName name="___XD9">#REF!</definedName>
    <definedName name="__123Graph_A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3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B" hidden="1">#REF!</definedName>
    <definedName name="__123Graph_BGraph8" hidden="1">#REF!</definedName>
    <definedName name="__123Graph_CGraph8" hidden="1">#REF!</definedName>
    <definedName name="__123Graph_DGraph8" hidden="1">#REF!</definedName>
    <definedName name="__123Graph_X" hidden="1">#REF!</definedName>
    <definedName name="__123Graph_XGraph11" hidden="1">#REF!</definedName>
    <definedName name="__123Graph_XGraph3" hidden="1">#REF!</definedName>
    <definedName name="__123Graph_XGraph5" hidden="1">#REF!</definedName>
    <definedName name="__ASS1">#N/A</definedName>
    <definedName name="__ASS2">#N/A</definedName>
    <definedName name="__ass3">#N/A</definedName>
    <definedName name="__AVI1">#N/A</definedName>
    <definedName name="__b1" hidden="1">{"annual",#N/A,FALSE,"Pro Forma";#N/A,#N/A,FALSE,"Golf Operations"}</definedName>
    <definedName name="__BUN1">#REF!</definedName>
    <definedName name="__CAM96">#REF!</definedName>
    <definedName name="__CAM97">#REF!</definedName>
    <definedName name="__CAM9710">#REF!</definedName>
    <definedName name="__cd1" hidden="1">{"annual",#N/A,FALSE,"Pro Forma";#N/A,#N/A,FALSE,"Golf Operations"}</definedName>
    <definedName name="__Dumpster">0</definedName>
    <definedName name="__EXP1">#REF!</definedName>
    <definedName name="__GPR1">#REF!</definedName>
    <definedName name="__GPR2">#REF!</definedName>
    <definedName name="__GPR3">#REF!</definedName>
    <definedName name="__GPR4">#REF!</definedName>
    <definedName name="__GPR5">#REF!</definedName>
    <definedName name="__GPR6">#REF!</definedName>
    <definedName name="__gr1" hidden="1">{"three",#N/A,FALSE,"Capital";"four",#N/A,FALSE,"Capital"}</definedName>
    <definedName name="__GSF2">#N/A</definedName>
    <definedName name="__INF1">#N/A</definedName>
    <definedName name="__INF2">#N/A</definedName>
    <definedName name="__INS97">#REF!</definedName>
    <definedName name="__IntlFixup" hidden="1">TRUE</definedName>
    <definedName name="__LA1">#REF!</definedName>
    <definedName name="__LC1">#N/A</definedName>
    <definedName name="__LC2">#N/A</definedName>
    <definedName name="__LC3">#N/A</definedName>
    <definedName name="__MGT2">#N/A</definedName>
    <definedName name="__MGT3">#N/A</definedName>
    <definedName name="__ph1">#REF!</definedName>
    <definedName name="__ph2">#REF!</definedName>
    <definedName name="__pr3">#N/A</definedName>
    <definedName name="__RC511NAC_RC511NX_List">#REF!</definedName>
    <definedName name="__REF1">#N/A</definedName>
    <definedName name="__REF2">#N/A</definedName>
    <definedName name="__RPC9">#N/A</definedName>
    <definedName name="__RR1">#N/A</definedName>
    <definedName name="__RR2">#N/A</definedName>
    <definedName name="__rsf2">#N/A</definedName>
    <definedName name="__SCE1">#REF!</definedName>
    <definedName name="__SCE2">#REF!</definedName>
    <definedName name="__SCE3">#REF!</definedName>
    <definedName name="__SCE4">#REF!</definedName>
    <definedName name="__SD1">#REF!</definedName>
    <definedName name="__SD10">#REF!</definedName>
    <definedName name="__SD11">#REF!</definedName>
    <definedName name="__SD12">#REF!</definedName>
    <definedName name="__SD13">#REF!</definedName>
    <definedName name="__SD14">#REF!</definedName>
    <definedName name="__SD15">#REF!</definedName>
    <definedName name="__SD16">#REF!</definedName>
    <definedName name="__SD17">#REF!</definedName>
    <definedName name="__SD18">#REF!</definedName>
    <definedName name="__SD19">#REF!</definedName>
    <definedName name="__SD2">#REF!</definedName>
    <definedName name="__SD20">#REF!</definedName>
    <definedName name="__SD21">#REF!</definedName>
    <definedName name="__SD22">#REF!</definedName>
    <definedName name="__SD23">#REF!</definedName>
    <definedName name="__SD24">#REF!</definedName>
    <definedName name="__SD25">#REF!</definedName>
    <definedName name="__SD26">#REF!</definedName>
    <definedName name="__SD27">#REF!</definedName>
    <definedName name="__SD28">#REF!</definedName>
    <definedName name="__SD29">#REF!</definedName>
    <definedName name="__SD3">#REF!</definedName>
    <definedName name="__SD30">#REF!</definedName>
    <definedName name="__SD31">#REF!</definedName>
    <definedName name="__SD32">#REF!</definedName>
    <definedName name="__SD33">#REF!</definedName>
    <definedName name="__SD4">#REF!</definedName>
    <definedName name="__SD5">#REF!</definedName>
    <definedName name="__SD6">#REF!</definedName>
    <definedName name="__SD7">#REF!</definedName>
    <definedName name="__SD8">#REF!</definedName>
    <definedName name="__SD9">#REF!</definedName>
    <definedName name="__SF1">#REF!</definedName>
    <definedName name="__SF10">#REF!</definedName>
    <definedName name="__SF11">#REF!</definedName>
    <definedName name="__SF12">#REF!</definedName>
    <definedName name="__SF13">#REF!</definedName>
    <definedName name="__SF14">#REF!</definedName>
    <definedName name="__SF15">#REF!</definedName>
    <definedName name="__SF16">#REF!</definedName>
    <definedName name="__SF17">#REF!</definedName>
    <definedName name="__SF18">#REF!</definedName>
    <definedName name="__SF19">#REF!</definedName>
    <definedName name="__SF2">#REF!</definedName>
    <definedName name="__SF20">#REF!</definedName>
    <definedName name="__SF21">#REF!</definedName>
    <definedName name="__SF22">#REF!</definedName>
    <definedName name="__SF23">#REF!</definedName>
    <definedName name="__SF24">#REF!</definedName>
    <definedName name="__SF25">#REF!</definedName>
    <definedName name="__SF26">#REF!</definedName>
    <definedName name="__SF27">#REF!</definedName>
    <definedName name="__SF28">#REF!</definedName>
    <definedName name="__SF29">#REF!</definedName>
    <definedName name="__SF3">#REF!</definedName>
    <definedName name="__SF30">#REF!</definedName>
    <definedName name="__SF31">#REF!</definedName>
    <definedName name="__SF32">#REF!</definedName>
    <definedName name="__SF33">#REF!</definedName>
    <definedName name="__SF4">#REF!</definedName>
    <definedName name="__SF5">#REF!</definedName>
    <definedName name="__SF6">#REF!</definedName>
    <definedName name="__SF7">#REF!</definedName>
    <definedName name="__SF8">#REF!</definedName>
    <definedName name="__SF9">#REF!</definedName>
    <definedName name="__SRS1">#N/A</definedName>
    <definedName name="__SRS2">#N/A</definedName>
    <definedName name="__std962">#N/A</definedName>
    <definedName name="__TAX97">#REF!</definedName>
    <definedName name="__tbl1">#N/A</definedName>
    <definedName name="__TI1">#N/A</definedName>
    <definedName name="__TI2">#N/A</definedName>
    <definedName name="__TI3">#N/A</definedName>
    <definedName name="__TN1">#REF!</definedName>
    <definedName name="__TN10">#REF!</definedName>
    <definedName name="__TN11">#REF!</definedName>
    <definedName name="__TN12">#REF!</definedName>
    <definedName name="__TN13">#REF!</definedName>
    <definedName name="__TN14">#REF!</definedName>
    <definedName name="__TN15">#REF!</definedName>
    <definedName name="__TN16">#REF!</definedName>
    <definedName name="__TN17">#REF!</definedName>
    <definedName name="__TN18">#REF!</definedName>
    <definedName name="__TN19">#REF!</definedName>
    <definedName name="__TN2">#REF!</definedName>
    <definedName name="__TN20">#REF!</definedName>
    <definedName name="__TN21">#REF!</definedName>
    <definedName name="__TN22">#REF!</definedName>
    <definedName name="__TN23">#REF!</definedName>
    <definedName name="__TN24">#REF!</definedName>
    <definedName name="__TN25">#REF!</definedName>
    <definedName name="__TN26">#REF!</definedName>
    <definedName name="__TN27">#REF!</definedName>
    <definedName name="__TN28">#REF!</definedName>
    <definedName name="__TN29">#REF!</definedName>
    <definedName name="__TN3">#REF!</definedName>
    <definedName name="__TN30">#REF!</definedName>
    <definedName name="__TN31">#REF!</definedName>
    <definedName name="__TN32">#REF!</definedName>
    <definedName name="__TN33">#REF!</definedName>
    <definedName name="__TN4">#REF!</definedName>
    <definedName name="__TN5">#REF!</definedName>
    <definedName name="__TN6">#REF!</definedName>
    <definedName name="__TN7">#REF!</definedName>
    <definedName name="__TN8">#REF!</definedName>
    <definedName name="__TN9">#REF!</definedName>
    <definedName name="__TO30">#REF!</definedName>
    <definedName name="__TO32">#REF!</definedName>
    <definedName name="__TO34">#REF!</definedName>
    <definedName name="__TO36">#REF!</definedName>
    <definedName name="__TO38">#REF!</definedName>
    <definedName name="__TO40">#REF!</definedName>
    <definedName name="__TO42">#REF!</definedName>
    <definedName name="__TO44">#REF!</definedName>
    <definedName name="__TO46">#REF!</definedName>
    <definedName name="__TO48">#REF!</definedName>
    <definedName name="__TO50">#REF!</definedName>
    <definedName name="__TO52">#REF!</definedName>
    <definedName name="__TO54">#REF!</definedName>
    <definedName name="__TO56">#REF!</definedName>
    <definedName name="__tot97">#REF!</definedName>
    <definedName name="__tot98">#REF!</definedName>
    <definedName name="__tpc2">#N/A</definedName>
    <definedName name="__tpc96">#N/A</definedName>
    <definedName name="__tpc963">#N/A</definedName>
    <definedName name="__tpc964">#N/A</definedName>
    <definedName name="__tpc965">#N/A</definedName>
    <definedName name="__tpc966">#N/A</definedName>
    <definedName name="__tpc967">#N/A</definedName>
    <definedName name="__tpc968">#N/A</definedName>
    <definedName name="__tpc97">#N/A</definedName>
    <definedName name="__tpc98">#N/A</definedName>
    <definedName name="__tpc99">#N/A</definedName>
    <definedName name="__UN1">#REF!</definedName>
    <definedName name="__UN10">#REF!</definedName>
    <definedName name="__UN11">#REF!</definedName>
    <definedName name="__UN12">#REF!</definedName>
    <definedName name="__UN13">#REF!</definedName>
    <definedName name="__UN14">#REF!</definedName>
    <definedName name="__UN15">#REF!</definedName>
    <definedName name="__UN16">#REF!</definedName>
    <definedName name="__UN17">#REF!</definedName>
    <definedName name="__UN18">#REF!</definedName>
    <definedName name="__UN19">#REF!</definedName>
    <definedName name="__UN2">#REF!</definedName>
    <definedName name="__UN20">#REF!</definedName>
    <definedName name="__UN21">#REF!</definedName>
    <definedName name="__UN22">#REF!</definedName>
    <definedName name="__UN23">#REF!</definedName>
    <definedName name="__UN24">#REF!</definedName>
    <definedName name="__UN25">#REF!</definedName>
    <definedName name="__UN26">#REF!</definedName>
    <definedName name="__UN27">#REF!</definedName>
    <definedName name="__UN28">#REF!</definedName>
    <definedName name="__UN29">#REF!</definedName>
    <definedName name="__UN3">#REF!</definedName>
    <definedName name="__UN30">#REF!</definedName>
    <definedName name="__UN31">#REF!</definedName>
    <definedName name="__UN32">#REF!</definedName>
    <definedName name="__UN33">#REF!</definedName>
    <definedName name="__UN4">#REF!</definedName>
    <definedName name="__UN5">#REF!</definedName>
    <definedName name="__UN6">#REF!</definedName>
    <definedName name="__UN7">#REF!</definedName>
    <definedName name="__UN8">#REF!</definedName>
    <definedName name="__UN9">#REF!</definedName>
    <definedName name="__wr1" hidden="1">{"Output-3Column",#N/A,FALSE,"Output"}</definedName>
    <definedName name="__wrn1" hidden="1">{"Inflation-BaseYear",#N/A,FALSE,"Inputs"}</definedName>
    <definedName name="__XD1">#REF!</definedName>
    <definedName name="__XD10">#REF!</definedName>
    <definedName name="__XD11">#REF!</definedName>
    <definedName name="__XD12">#REF!</definedName>
    <definedName name="__XD13">#REF!</definedName>
    <definedName name="__XD14">#REF!</definedName>
    <definedName name="__XD15">#REF!</definedName>
    <definedName name="__XD16">#REF!</definedName>
    <definedName name="__XD17">#REF!</definedName>
    <definedName name="__XD18">#REF!</definedName>
    <definedName name="__XD19">#REF!</definedName>
    <definedName name="__XD2">#REF!</definedName>
    <definedName name="__XD20">#REF!</definedName>
    <definedName name="__XD21">#REF!</definedName>
    <definedName name="__XD22">#REF!</definedName>
    <definedName name="__XD23">#REF!</definedName>
    <definedName name="__XD24">#REF!</definedName>
    <definedName name="__XD25">#REF!</definedName>
    <definedName name="__XD26">#REF!</definedName>
    <definedName name="__XD27">#REF!</definedName>
    <definedName name="__XD28">#REF!</definedName>
    <definedName name="__XD29">#REF!</definedName>
    <definedName name="__XD3">#REF!</definedName>
    <definedName name="__XD30">#REF!</definedName>
    <definedName name="__XD31">#REF!</definedName>
    <definedName name="__XD32">#REF!</definedName>
    <definedName name="__XD33">#REF!</definedName>
    <definedName name="__XD4">#REF!</definedName>
    <definedName name="__XD5">#REF!</definedName>
    <definedName name="__XD6">#REF!</definedName>
    <definedName name="__XD7">#REF!</definedName>
    <definedName name="__XD8">#REF!</definedName>
    <definedName name="__XD9">#REF!</definedName>
    <definedName name="_0">#REF!</definedName>
    <definedName name="_1">#REF!</definedName>
    <definedName name="_1__123Graph_ACHART_1" hidden="1">#REF!</definedName>
    <definedName name="_1__123Graph_ACHART_2" hidden="1">#REF!</definedName>
    <definedName name="_10__123Graph_AChart_5E" hidden="1">#REF!</definedName>
    <definedName name="_10__123Graph_XCHART_2" hidden="1">#REF!</definedName>
    <definedName name="_11__123Graph_XCHART_3" hidden="1">#REF!</definedName>
    <definedName name="_12__123Graph_AChart_6E" hidden="1">#REF!</definedName>
    <definedName name="_12__123Graph_XCHART_4" hidden="1">#REF!</definedName>
    <definedName name="_1201T1">#REF!</definedName>
    <definedName name="_1202T1">#N/A</definedName>
    <definedName name="_1206T1">#REF!</definedName>
    <definedName name="_1207T1">#REF!</definedName>
    <definedName name="_1208T1">#REF!</definedName>
    <definedName name="_1210T1">#REF!</definedName>
    <definedName name="_1211T1">#REF!</definedName>
    <definedName name="_1216T1">#REF!</definedName>
    <definedName name="_1217T1">#REF!</definedName>
    <definedName name="_1218T1">#REF!</definedName>
    <definedName name="_1219T1">#REF!</definedName>
    <definedName name="_1220T1">#REF!</definedName>
    <definedName name="_1220T2">#REF!</definedName>
    <definedName name="_1221T1">#REF!</definedName>
    <definedName name="_1222T1">#REF!</definedName>
    <definedName name="_1223T1">#REF!</definedName>
    <definedName name="_1224T1">#REF!</definedName>
    <definedName name="_1226T2">#REF!</definedName>
    <definedName name="_1231T">#REF!</definedName>
    <definedName name="_1231T1">#REF!</definedName>
    <definedName name="_1233T1">#REF!</definedName>
    <definedName name="_1234T2">#REF!</definedName>
    <definedName name="_1235T1">#REF!</definedName>
    <definedName name="_1236T1">#REF!</definedName>
    <definedName name="_1238T1">#REF!</definedName>
    <definedName name="_1239T1">#REF!</definedName>
    <definedName name="_1239T3">#REF!</definedName>
    <definedName name="_1240T1">#REF!</definedName>
    <definedName name="_1248T3">#REF!</definedName>
    <definedName name="_1251T1">#REF!</definedName>
    <definedName name="_1251T2">#REF!</definedName>
    <definedName name="_1252T1">#REF!</definedName>
    <definedName name="_1252T2">#REF!</definedName>
    <definedName name="_1256T1">#REF!</definedName>
    <definedName name="_1257T1">#REF!</definedName>
    <definedName name="_1258T1">#REF!</definedName>
    <definedName name="_1260T1">#REF!</definedName>
    <definedName name="_1260T2">#REF!</definedName>
    <definedName name="_1261T1">#REF!</definedName>
    <definedName name="_1262T1">#REF!</definedName>
    <definedName name="_1264T1">#REF!</definedName>
    <definedName name="_1265T1">#REF!</definedName>
    <definedName name="_1268T2">#REF!</definedName>
    <definedName name="_1273T1">#REF!</definedName>
    <definedName name="_1276T1">#REF!</definedName>
    <definedName name="_1280T1">#REF!</definedName>
    <definedName name="_1281T1">#REF!</definedName>
    <definedName name="_14__123Graph_AChart_7E" hidden="1">#REF!</definedName>
    <definedName name="_16__123Graph_AChart_8E" hidden="1">#REF!</definedName>
    <definedName name="_18__123Graph_BChart_1E" hidden="1">#REF!</definedName>
    <definedName name="_1AAC">#REF!</definedName>
    <definedName name="_1AL">#N/A</definedName>
    <definedName name="_1ATotal_Area">#REF!</definedName>
    <definedName name="_1BAC">#REF!</definedName>
    <definedName name="_1BTotal">#REF!</definedName>
    <definedName name="_1Module2_.PRINT_BCCAM">#REF!</definedName>
    <definedName name="_2__123Graph_AChart_1E" hidden="1">#REF!</definedName>
    <definedName name="_2__123Graph_ACHART_2" hidden="1">#REF!</definedName>
    <definedName name="_2__123Graph_BCHART_2" hidden="1">#REF!</definedName>
    <definedName name="_20__123Graph_BChart_2E" hidden="1">#REF!</definedName>
    <definedName name="_2002_B_C_BUDGET">#REF!</definedName>
    <definedName name="_2004">#REF!</definedName>
    <definedName name="_2005">#REF!</definedName>
    <definedName name="_2006">#REF!</definedName>
    <definedName name="_2007">#REF!</definedName>
    <definedName name="_2008">#REF!</definedName>
    <definedName name="_2009">#REF!</definedName>
    <definedName name="_2011">#REF!</definedName>
    <definedName name="_2012">#REF!</definedName>
    <definedName name="_2013">#REF!</definedName>
    <definedName name="_2014">#REF!</definedName>
    <definedName name="_2015">#REF!</definedName>
    <definedName name="_22__123Graph_BChart_3E" hidden="1">#REF!</definedName>
    <definedName name="_24__123Graph_BChart_4E" hidden="1">#REF!</definedName>
    <definedName name="_26__123Graph_BChart_5E" hidden="1">#REF!</definedName>
    <definedName name="_28__123Graph_BChart_6E" hidden="1">#REF!</definedName>
    <definedName name="_2AAC">#REF!</definedName>
    <definedName name="_2ATotal">#REF!</definedName>
    <definedName name="_2BAC">#REF!</definedName>
    <definedName name="_2BTotal">#REF!</definedName>
    <definedName name="_2CAC">#REF!</definedName>
    <definedName name="_2CTotal">#REF!</definedName>
    <definedName name="_2DAC">#REF!</definedName>
    <definedName name="_2DTotal">#REF!</definedName>
    <definedName name="_2EAC">#REF!</definedName>
    <definedName name="_2ETotal">#REF!</definedName>
    <definedName name="_2Module2_.PRINT_BCPR">#REF!</definedName>
    <definedName name="_3__123Graph_ACHART_3" hidden="1">#REF!</definedName>
    <definedName name="_3__123Graph_CCHART_2" hidden="1">#REF!</definedName>
    <definedName name="_30__123Graph_BChart_7E" hidden="1">#REF!</definedName>
    <definedName name="_32__123Graph_BChart_8E" hidden="1">#REF!</definedName>
    <definedName name="_34__123Graph_CChart_1E" hidden="1">#REF!</definedName>
    <definedName name="_36__123Graph_CChart_2E" hidden="1">#REF!</definedName>
    <definedName name="_38__123Graph_CChart_3E" hidden="1">#REF!</definedName>
    <definedName name="_3Module2_.PRINT_BCTAX">#REF!</definedName>
    <definedName name="_4">#N/A</definedName>
    <definedName name="_4__123Graph_AChart_2E" hidden="1">#REF!</definedName>
    <definedName name="_4__123Graph_ACHART_4" hidden="1">#REF!</definedName>
    <definedName name="_4__123Graph_XCHART_2" hidden="1">#REF!</definedName>
    <definedName name="_40__123Graph_CChart_4E" hidden="1">#REF!</definedName>
    <definedName name="_401k_Match">#REF!</definedName>
    <definedName name="_42__123Graph_CChart_5E" hidden="1">#REF!</definedName>
    <definedName name="_44__123Graph_CChart_6E" hidden="1">#REF!</definedName>
    <definedName name="_46__123Graph_CChart_7E" hidden="1">#REF!</definedName>
    <definedName name="_48__123Graph_CChart_8E" hidden="1">#REF!</definedName>
    <definedName name="_4Module2_.PRINT_HSUM">#REF!</definedName>
    <definedName name="_5">#N/A</definedName>
    <definedName name="_5__123Graph_BCHART_1" hidden="1">#REF!</definedName>
    <definedName name="_5_96100">#REF!</definedName>
    <definedName name="_50__123Graph_XChart_2E" hidden="1">#REF!</definedName>
    <definedName name="_52__123Graph_XChart_3E" hidden="1">#REF!</definedName>
    <definedName name="_54__123Graph_XChart_4E" hidden="1">#REF!</definedName>
    <definedName name="_56__123Graph_XChart_5E" hidden="1">#REF!</definedName>
    <definedName name="_58__123Graph_XChart_6E" hidden="1">#REF!</definedName>
    <definedName name="_6">#N/A</definedName>
    <definedName name="_6__123Graph_AChart_3E" hidden="1">#REF!</definedName>
    <definedName name="_6__123Graph_BCHART_2" hidden="1">#REF!</definedName>
    <definedName name="_60__123Graph_XChart_7E" hidden="1">#REF!</definedName>
    <definedName name="_62__123Graph_XChart_8E" hidden="1">#REF!</definedName>
    <definedName name="_7">#N/A</definedName>
    <definedName name="_7__123Graph_BCHART_3" hidden="1">#REF!</definedName>
    <definedName name="_8">#N/A</definedName>
    <definedName name="_8__123Graph_AChart_4E" hidden="1">#REF!</definedName>
    <definedName name="_8__123Graph_BCHART_4" hidden="1">#REF!</definedName>
    <definedName name="_9__123Graph_XCHART_1" hidden="1">#REF!</definedName>
    <definedName name="_a1" hidden="1">{"Assump",#N/A,TRUE,"Proforma";"first",#N/A,TRUE,"Proforma";"second",#N/A,TRUE,"Proforma";"lease1",#N/A,TRUE,"Proforma";"lease2",#N/A,TRUE,"Proforma"}</definedName>
    <definedName name="_asd2">[0]!_asd2</definedName>
    <definedName name="_ASS1">#N/A</definedName>
    <definedName name="_ASS2">#N/A</definedName>
    <definedName name="_ass3">#N/A</definedName>
    <definedName name="_AVI1">#N/A</definedName>
    <definedName name="_b1" hidden="1">{"annual",#N/A,FALSE,"Pro Forma";#N/A,#N/A,FALSE,"Golf Operations"}</definedName>
    <definedName name="_BUD3000">#REF!</definedName>
    <definedName name="_BUD6005">#REF!</definedName>
    <definedName name="_BUD6100">#REF!</definedName>
    <definedName name="_bud6104">#REF!</definedName>
    <definedName name="_BUD6230">#REF!</definedName>
    <definedName name="_BUD6400">#REF!</definedName>
    <definedName name="_BUD6447">#REF!</definedName>
    <definedName name="_BUD6460">#REF!</definedName>
    <definedName name="_BUD6465">#REF!</definedName>
    <definedName name="_BUD6700">#REF!</definedName>
    <definedName name="_BUD6999">#REF!</definedName>
    <definedName name="_BUD8285">#REF!</definedName>
    <definedName name="_BUD8300">#REF!</definedName>
    <definedName name="_BUD8375">#REF!</definedName>
    <definedName name="_BUD8900">#REF!</definedName>
    <definedName name="_BUD8910">#REF!</definedName>
    <definedName name="_BUN1">#REF!</definedName>
    <definedName name="_CAM96">#REF!</definedName>
    <definedName name="_CAM97">#REF!</definedName>
    <definedName name="_CAM9710">#REF!</definedName>
    <definedName name="_cd1" hidden="1">{"annual",#N/A,FALSE,"Pro Forma";#N/A,#N/A,FALSE,"Golf Operations"}</definedName>
    <definedName name="_CIP2" hidden="1">{"taxes",#N/A,FALSE,"CTT_CLO"}</definedName>
    <definedName name="_DRMFYmonth_">0</definedName>
    <definedName name="_DRMFYQuarter_">1</definedName>
    <definedName name="_DRMLastQuarter_">"Mar. 31, 2003"</definedName>
    <definedName name="_EGI1">#REF!</definedName>
    <definedName name="_end1">#REF!</definedName>
    <definedName name="_end10">#REF!</definedName>
    <definedName name="_end11">#REF!</definedName>
    <definedName name="_end12">#REF!</definedName>
    <definedName name="_end13">#REF!</definedName>
    <definedName name="_end14">#REF!</definedName>
    <definedName name="_end15">#REF!</definedName>
    <definedName name="_end16">#REF!</definedName>
    <definedName name="_end17">#REF!</definedName>
    <definedName name="_end18">#REF!</definedName>
    <definedName name="_end19">#REF!</definedName>
    <definedName name="_end2">#REF!</definedName>
    <definedName name="_end20">#REF!</definedName>
    <definedName name="_end21">#REF!</definedName>
    <definedName name="_end22">#REF!</definedName>
    <definedName name="_end23">#REF!</definedName>
    <definedName name="_end24">#REF!</definedName>
    <definedName name="_end25">#REF!</definedName>
    <definedName name="_end26">#REF!</definedName>
    <definedName name="_end27">#REF!</definedName>
    <definedName name="_end3">#REF!</definedName>
    <definedName name="_end4">#REF!</definedName>
    <definedName name="_end5">#REF!</definedName>
    <definedName name="_end6">#REF!</definedName>
    <definedName name="_end7">#REF!</definedName>
    <definedName name="_end8">#REF!</definedName>
    <definedName name="_end9">#REF!</definedName>
    <definedName name="_EXP1">#REF!</definedName>
    <definedName name="_Fil1" hidden="1">#REF!</definedName>
    <definedName name="_Fill" hidden="1">#REF!</definedName>
    <definedName name="_Fill_HO" hidden="1">#REF!</definedName>
    <definedName name="_Fill2" hidden="1">#REF!</definedName>
    <definedName name="_Fill3" hidden="1">#REF!</definedName>
    <definedName name="_xlnm._FilterDatabase" hidden="1">#REF!</definedName>
    <definedName name="_gla1">#REF!</definedName>
    <definedName name="_gla10">#REF!</definedName>
    <definedName name="_gla11">#REF!</definedName>
    <definedName name="_gla12">#REF!</definedName>
    <definedName name="_gla13">#REF!</definedName>
    <definedName name="_gla14">#REF!</definedName>
    <definedName name="_gla15">#REF!</definedName>
    <definedName name="_gla16">#REF!</definedName>
    <definedName name="_gla17">#REF!</definedName>
    <definedName name="_gla18">#REF!</definedName>
    <definedName name="_gla19">#REF!</definedName>
    <definedName name="_gla2">#REF!</definedName>
    <definedName name="_gla20">#REF!</definedName>
    <definedName name="_gla21">#REF!</definedName>
    <definedName name="_gla22">#REF!</definedName>
    <definedName name="_gla23">#REF!</definedName>
    <definedName name="_gla24">#REF!</definedName>
    <definedName name="_gla25">#REF!</definedName>
    <definedName name="_gla26">#REF!</definedName>
    <definedName name="_gla27">#REF!</definedName>
    <definedName name="_gla3">#REF!</definedName>
    <definedName name="_gla4">#REF!</definedName>
    <definedName name="_gla5">#REF!</definedName>
    <definedName name="_gla6">#REF!</definedName>
    <definedName name="_gla7">#REF!</definedName>
    <definedName name="_gla8">#REF!</definedName>
    <definedName name="_gla9">#REF!</definedName>
    <definedName name="_GPR1">#REF!</definedName>
    <definedName name="_GPR2">#REF!</definedName>
    <definedName name="_GPR3">#REF!</definedName>
    <definedName name="_GPR4">#REF!</definedName>
    <definedName name="_GPR5">#REF!</definedName>
    <definedName name="_GPR6">#REF!</definedName>
    <definedName name="_gr1" hidden="1">{"three",#N/A,FALSE,"Capital";"four",#N/A,FALSE,"Capital"}</definedName>
    <definedName name="_GSF2">#N/A</definedName>
    <definedName name="_INF1">#N/A</definedName>
    <definedName name="_INF2">#N/A</definedName>
    <definedName name="_Ins2">#REF!</definedName>
    <definedName name="_Ins3">#REF!</definedName>
    <definedName name="_INS97">#REF!</definedName>
    <definedName name="_Key1" hidden="1">#REF!</definedName>
    <definedName name="_Key2" hidden="1">#REF!</definedName>
    <definedName name="_Key5" hidden="1">#REF!</definedName>
    <definedName name="_Key6" hidden="1">#REF!</definedName>
    <definedName name="_Key8" hidden="1">#REF!</definedName>
    <definedName name="_Key9" hidden="1">#REF!</definedName>
    <definedName name="_LA1">#REF!</definedName>
    <definedName name="_LC1">#N/A</definedName>
    <definedName name="_LC2">#N/A</definedName>
    <definedName name="_LC3">#N/A</definedName>
    <definedName name="_LTL1">#REF!</definedName>
    <definedName name="_LTL2">#REF!</definedName>
    <definedName name="_LTL3">#REF!</definedName>
    <definedName name="_LTL4">#REF!</definedName>
    <definedName name="_LTL5">#REF!</definedName>
    <definedName name="_LTL6">#REF!</definedName>
    <definedName name="_m101008" hidden="1">#REF!</definedName>
    <definedName name="_MGT2">#N/A</definedName>
    <definedName name="_MGT3">#N/A</definedName>
    <definedName name="_MTM">#REF!</definedName>
    <definedName name="_new1" hidden="1">#REF!</definedName>
    <definedName name="_new2" hidden="1">#REF!</definedName>
    <definedName name="_opt1">#REF!</definedName>
    <definedName name="_opt2">#REF!</definedName>
    <definedName name="_Order1" hidden="1">255</definedName>
    <definedName name="_Order2" hidden="1">255</definedName>
    <definedName name="_PEG1">#REF!</definedName>
    <definedName name="_ph1">#REF!</definedName>
    <definedName name="_ph2">#REF!</definedName>
    <definedName name="_pr3">#N/A</definedName>
    <definedName name="_RC511NAC_RC511NX_List">#REF!</definedName>
    <definedName name="_REF1">#N/A</definedName>
    <definedName name="_REF2">#N/A</definedName>
    <definedName name="_Regression_X" hidden="1">#REF!</definedName>
    <definedName name="_Regression_Y" hidden="1">#REF!</definedName>
    <definedName name="_RLATools_Live">0</definedName>
    <definedName name="_RLATools_PortfolioRefresh">0</definedName>
    <definedName name="_RPC9">#N/A</definedName>
    <definedName name="_RR1">#N/A</definedName>
    <definedName name="_RR2">#N/A</definedName>
    <definedName name="_rsf2">#N/A</definedName>
    <definedName name="_SCE1">#REF!</definedName>
    <definedName name="_SCE2">#REF!</definedName>
    <definedName name="_SCE3">#REF!</definedName>
    <definedName name="_SCE4">#REF!</definedName>
    <definedName name="_SD1">#REF!</definedName>
    <definedName name="_SD10">#REF!</definedName>
    <definedName name="_SD11">#REF!</definedName>
    <definedName name="_SD12">#REF!</definedName>
    <definedName name="_SD13">#REF!</definedName>
    <definedName name="_SD14">#REF!</definedName>
    <definedName name="_SD15">#REF!</definedName>
    <definedName name="_SD16">#REF!</definedName>
    <definedName name="_SD17">#REF!</definedName>
    <definedName name="_SD18">#REF!</definedName>
    <definedName name="_SD19">#REF!</definedName>
    <definedName name="_SD2">#REF!</definedName>
    <definedName name="_SD20">#REF!</definedName>
    <definedName name="_SD21">#REF!</definedName>
    <definedName name="_SD22">#REF!</definedName>
    <definedName name="_SD23">#REF!</definedName>
    <definedName name="_SD24">#REF!</definedName>
    <definedName name="_SD25">#REF!</definedName>
    <definedName name="_SD26">#REF!</definedName>
    <definedName name="_SD27">#REF!</definedName>
    <definedName name="_SD28">#REF!</definedName>
    <definedName name="_SD29">#REF!</definedName>
    <definedName name="_SD3">#REF!</definedName>
    <definedName name="_SD30">#REF!</definedName>
    <definedName name="_SD31">#REF!</definedName>
    <definedName name="_SD32">#REF!</definedName>
    <definedName name="_SD33">#REF!</definedName>
    <definedName name="_SD4">#REF!</definedName>
    <definedName name="_SD5">#REF!</definedName>
    <definedName name="_SD6">#REF!</definedName>
    <definedName name="_SD7">#REF!</definedName>
    <definedName name="_SD8">#REF!</definedName>
    <definedName name="_SD9">#REF!</definedName>
    <definedName name="_SF1">#REF!</definedName>
    <definedName name="_SF10">#REF!</definedName>
    <definedName name="_SF11">#REF!</definedName>
    <definedName name="_SF12">#REF!</definedName>
    <definedName name="_SF13">#REF!</definedName>
    <definedName name="_SF14">#REF!</definedName>
    <definedName name="_SF15">#REF!</definedName>
    <definedName name="_SF16">#REF!</definedName>
    <definedName name="_SF17">#REF!</definedName>
    <definedName name="_SF18">#REF!</definedName>
    <definedName name="_SF19">#REF!</definedName>
    <definedName name="_SF2">#REF!</definedName>
    <definedName name="_SF20">#REF!</definedName>
    <definedName name="_SF21">#REF!</definedName>
    <definedName name="_SF22">#REF!</definedName>
    <definedName name="_SF23">#REF!</definedName>
    <definedName name="_SF24">#REF!</definedName>
    <definedName name="_SF25">#REF!</definedName>
    <definedName name="_SF26">#REF!</definedName>
    <definedName name="_SF27">#REF!</definedName>
    <definedName name="_SF28">#REF!</definedName>
    <definedName name="_SF29">#REF!</definedName>
    <definedName name="_SF3">#REF!</definedName>
    <definedName name="_SF30">#REF!</definedName>
    <definedName name="_SF31">#REF!</definedName>
    <definedName name="_SF32">#REF!</definedName>
    <definedName name="_SF33">#REF!</definedName>
    <definedName name="_SF4">#REF!</definedName>
    <definedName name="_SF5">#REF!</definedName>
    <definedName name="_SF6">#REF!</definedName>
    <definedName name="_SF7">#REF!</definedName>
    <definedName name="_SF8">#REF!</definedName>
    <definedName name="_SF9">#REF!</definedName>
    <definedName name="_Sort" hidden="1">#REF!</definedName>
    <definedName name="_SRS1">#N/A</definedName>
    <definedName name="_SRS2">#N/A</definedName>
    <definedName name="_std962">#N/A</definedName>
    <definedName name="_Table1_In1" hidden="1">#REF!</definedName>
    <definedName name="_Table1_Out" hidden="1">#REF!</definedName>
    <definedName name="_Table2_In2" hidden="1">#REF!</definedName>
    <definedName name="_Table2_Out" hidden="1">#REF!</definedName>
    <definedName name="_TAX97">#REF!</definedName>
    <definedName name="_tbl1">#N/A</definedName>
    <definedName name="_TI1">#N/A</definedName>
    <definedName name="_TI2">#N/A</definedName>
    <definedName name="_TI3">#N/A</definedName>
    <definedName name="_TN1">#REF!</definedName>
    <definedName name="_TN10">#REF!</definedName>
    <definedName name="_TN11">#REF!</definedName>
    <definedName name="_TN12">#REF!</definedName>
    <definedName name="_TN13">#REF!</definedName>
    <definedName name="_TN14">#REF!</definedName>
    <definedName name="_TN15">#REF!</definedName>
    <definedName name="_TN16">#REF!</definedName>
    <definedName name="_TN17">#REF!</definedName>
    <definedName name="_TN18">#REF!</definedName>
    <definedName name="_TN19">#REF!</definedName>
    <definedName name="_TN2">#REF!</definedName>
    <definedName name="_TN20">#REF!</definedName>
    <definedName name="_TN21">#REF!</definedName>
    <definedName name="_TN22">#REF!</definedName>
    <definedName name="_TN23">#REF!</definedName>
    <definedName name="_TN24">#REF!</definedName>
    <definedName name="_TN25">#REF!</definedName>
    <definedName name="_TN26">#REF!</definedName>
    <definedName name="_TN27">#REF!</definedName>
    <definedName name="_TN28">#REF!</definedName>
    <definedName name="_TN29">#REF!</definedName>
    <definedName name="_TN3">#REF!</definedName>
    <definedName name="_TN30">#REF!</definedName>
    <definedName name="_TN31">#REF!</definedName>
    <definedName name="_TN32">#REF!</definedName>
    <definedName name="_TN33">#REF!</definedName>
    <definedName name="_TN4">#REF!</definedName>
    <definedName name="_TN5">#REF!</definedName>
    <definedName name="_TN6">#REF!</definedName>
    <definedName name="_TN7">#REF!</definedName>
    <definedName name="_TN8">#REF!</definedName>
    <definedName name="_TN9">#REF!</definedName>
    <definedName name="_tot97">#REF!</definedName>
    <definedName name="_tot98">#REF!</definedName>
    <definedName name="_tpc2">#N/A</definedName>
    <definedName name="_tpc96">#N/A</definedName>
    <definedName name="_tpc963">#N/A</definedName>
    <definedName name="_tpc964">#N/A</definedName>
    <definedName name="_tpc965">#N/A</definedName>
    <definedName name="_tpc966">#N/A</definedName>
    <definedName name="_tpc967">#N/A</definedName>
    <definedName name="_tpc968">#N/A</definedName>
    <definedName name="_tpc97">#N/A</definedName>
    <definedName name="_tpc98">#N/A</definedName>
    <definedName name="_tpc99">#N/A</definedName>
    <definedName name="_UN1">#REF!</definedName>
    <definedName name="_UN10">#REF!</definedName>
    <definedName name="_UN11">#REF!</definedName>
    <definedName name="_UN12">#REF!</definedName>
    <definedName name="_UN13">#REF!</definedName>
    <definedName name="_UN14">#REF!</definedName>
    <definedName name="_UN15">#REF!</definedName>
    <definedName name="_UN16">#REF!</definedName>
    <definedName name="_UN17">#REF!</definedName>
    <definedName name="_UN18">#REF!</definedName>
    <definedName name="_UN19">#REF!</definedName>
    <definedName name="_UN2">#REF!</definedName>
    <definedName name="_UN20">#REF!</definedName>
    <definedName name="_UN21">#REF!</definedName>
    <definedName name="_UN22">#REF!</definedName>
    <definedName name="_UN23">#REF!</definedName>
    <definedName name="_UN24">#REF!</definedName>
    <definedName name="_UN25">#REF!</definedName>
    <definedName name="_UN26">#REF!</definedName>
    <definedName name="_UN27">#REF!</definedName>
    <definedName name="_UN28">#REF!</definedName>
    <definedName name="_UN29">#REF!</definedName>
    <definedName name="_UN3">#REF!</definedName>
    <definedName name="_UN30">#REF!</definedName>
    <definedName name="_UN31">#REF!</definedName>
    <definedName name="_UN32">#REF!</definedName>
    <definedName name="_UN33">#REF!</definedName>
    <definedName name="_UN4">#REF!</definedName>
    <definedName name="_UN5">#REF!</definedName>
    <definedName name="_UN6">#REF!</definedName>
    <definedName name="_UN7">#REF!</definedName>
    <definedName name="_UN8">#REF!</definedName>
    <definedName name="_UN9">#REF!</definedName>
    <definedName name="_Vacant">#REF!</definedName>
    <definedName name="_wr1" hidden="1">{"Output-3Column",#N/A,FALSE,"Output"}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XD1">#REF!</definedName>
    <definedName name="_XD10">#REF!</definedName>
    <definedName name="_XD11">#REF!</definedName>
    <definedName name="_XD12">#REF!</definedName>
    <definedName name="_XD13">#REF!</definedName>
    <definedName name="_XD14">#REF!</definedName>
    <definedName name="_XD15">#REF!</definedName>
    <definedName name="_XD16">#REF!</definedName>
    <definedName name="_XD17">#REF!</definedName>
    <definedName name="_XD18">#REF!</definedName>
    <definedName name="_XD19">#REF!</definedName>
    <definedName name="_XD2">#REF!</definedName>
    <definedName name="_XD20">#REF!</definedName>
    <definedName name="_XD21">#REF!</definedName>
    <definedName name="_XD22">#REF!</definedName>
    <definedName name="_XD23">#REF!</definedName>
    <definedName name="_XD24">#REF!</definedName>
    <definedName name="_XD25">#REF!</definedName>
    <definedName name="_XD26">#REF!</definedName>
    <definedName name="_XD27">#REF!</definedName>
    <definedName name="_XD28">#REF!</definedName>
    <definedName name="_XD29">#REF!</definedName>
    <definedName name="_XD3">#REF!</definedName>
    <definedName name="_XD30">#REF!</definedName>
    <definedName name="_XD31">#REF!</definedName>
    <definedName name="_XD32">#REF!</definedName>
    <definedName name="_XD33">#REF!</definedName>
    <definedName name="_XD4">#REF!</definedName>
    <definedName name="_XD5">#REF!</definedName>
    <definedName name="_XD6">#REF!</definedName>
    <definedName name="_XD7">#REF!</definedName>
    <definedName name="_XD8">#REF!</definedName>
    <definedName name="_XD9">#REF!</definedName>
    <definedName name="_ym1">#REF!</definedName>
    <definedName name="_ym2">#REF!</definedName>
    <definedName name="_ym3">#REF!</definedName>
    <definedName name="\0">#REF!</definedName>
    <definedName name="\a">#N/A</definedName>
    <definedName name="\b">#N/A</definedName>
    <definedName name="\C">#N/A</definedName>
    <definedName name="\d">#N/A</definedName>
    <definedName name="\E">#N/A</definedName>
    <definedName name="\G">#N/A</definedName>
    <definedName name="\i">#REF!</definedName>
    <definedName name="\M">#REF!</definedName>
    <definedName name="\P">#N/A</definedName>
    <definedName name="\S">#N/A</definedName>
    <definedName name="\T">#N/A</definedName>
    <definedName name="\w">#REF!</definedName>
    <definedName name="\z">#N/A</definedName>
    <definedName name="a">#N/A</definedName>
    <definedName name="A_T_B_RSF">#REF!</definedName>
    <definedName name="A_Treasury_Term">#REF!</definedName>
    <definedName name="A_Treasury_Yield">#REF!</definedName>
    <definedName name="A05_Table_of_Contents_2">#REF!</definedName>
    <definedName name="A06_Executive_Summary">#REF!</definedName>
    <definedName name="A07_Map_Portrait">#REF!</definedName>
    <definedName name="A09_Photo_Enlarged">#REF!</definedName>
    <definedName name="A16_Rent_Roll">#REF!</definedName>
    <definedName name="A17_Operating_Info_Comparative">#REF!</definedName>
    <definedName name="AA">#REF!</definedName>
    <definedName name="AAA">#REF!</definedName>
    <definedName name="AAA_DOCTOPS" hidden="1">"AAA_SET"</definedName>
    <definedName name="AAA_duser" hidden="1">"OFF"</definedName>
    <definedName name="aaaaaaa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">#REF!</definedName>
    <definedName name="aasdfa" hidden="1">{"rtn",#N/A,FALSE,"RTN";"tables",#N/A,FALSE,"RTN";"cf",#N/A,FALSE,"CF";"stats",#N/A,FALSE,"Stats";"prop",#N/A,FALSE,"Prop"}</definedName>
    <definedName name="AB_1">#REF!</definedName>
    <definedName name="AB_10">#REF!</definedName>
    <definedName name="AB_11">#REF!</definedName>
    <definedName name="AB_12">#REF!</definedName>
    <definedName name="AB_2">#REF!</definedName>
    <definedName name="AB_3">#REF!</definedName>
    <definedName name="AB_4">#REF!</definedName>
    <definedName name="AB_5">#REF!</definedName>
    <definedName name="AB_6">#REF!</definedName>
    <definedName name="AB_7">#REF!</definedName>
    <definedName name="AB_8">#REF!</definedName>
    <definedName name="AB_9">#REF!</definedName>
    <definedName name="ABCaps">#REF!</definedName>
    <definedName name="ABFixedAdvantage">#REF!</definedName>
    <definedName name="ABHedgeAdvantage">#REF!</definedName>
    <definedName name="ABLIBORCap1">#REF!</definedName>
    <definedName name="ABPrimeCap1">#REF!</definedName>
    <definedName name="Absorption">#REF!</definedName>
    <definedName name="Access_Button" hidden="1">"Loan_Front_End_Input_List"</definedName>
    <definedName name="AccessDatabase" hidden="1">"C:\My Documents\DAVE\MODELS\Cash at Risk\Loan Front End.mdb"</definedName>
    <definedName name="accrual_begin_date1">#REF!</definedName>
    <definedName name="accrual1">#REF!</definedName>
    <definedName name="accruals">#REF!</definedName>
    <definedName name="accrued_int1">#REF!</definedName>
    <definedName name="acqfee">#REF!</definedName>
    <definedName name="acqinterestrate">#REF!</definedName>
    <definedName name="acqloanamortdate">#REF!</definedName>
    <definedName name="AcqPrice">#REF!</definedName>
    <definedName name="AcqPriceMethod" hidden="1">#REF!</definedName>
    <definedName name="Acquisition_Price">#REF!</definedName>
    <definedName name="AcqValuationMethodType" hidden="1">#REF!</definedName>
    <definedName name="acre">#REF!</definedName>
    <definedName name="acres">#REF!</definedName>
    <definedName name="ACsalesprice">#REF!</definedName>
    <definedName name="Act_DS">#REF!</definedName>
    <definedName name="Act360List">#REF!</definedName>
    <definedName name="ActEconInputs">#REF!</definedName>
    <definedName name="Activities_Exp_Override">#N/A</definedName>
    <definedName name="Activities_Expense">#N/A</definedName>
    <definedName name="Actual_Constant">#REF!</definedName>
    <definedName name="ACTUAL_DS">#REF!</definedName>
    <definedName name="Actual_Taxes">#N/A</definedName>
    <definedName name="Actual_Vacancy">#REF!</definedName>
    <definedName name="Actuals">#REF!</definedName>
    <definedName name="actuals_through">#REF!</definedName>
    <definedName name="actuals_thru">#REF!</definedName>
    <definedName name="ACwvu.ALL." hidden="1">#REF!</definedName>
    <definedName name="ACwvu.allocations." hidden="1">#REF!</definedName>
    <definedName name="ACwvu.annual._.hotel." hidden="1">#REF!</definedName>
    <definedName name="ACwvu.bottom._.line." hidden="1">#REF!</definedName>
    <definedName name="ACwvu.CAM._.RATES." hidden="1">#REF!</definedName>
    <definedName name="ACwvu.CAM._.RECOVERIES." hidden="1">#REF!</definedName>
    <definedName name="ACwvu.CAM._.RECOVERY." hidden="1">#REF!</definedName>
    <definedName name="ACwvu.CAM._.TABLE." hidden="1">#REF!</definedName>
    <definedName name="ACwvu.cash._.flow." hidden="1">#REF!</definedName>
    <definedName name="ACwvu.combo." hidden="1">#REF!</definedName>
    <definedName name="ACwvu.full." hidden="1">#REF!</definedName>
    <definedName name="ACwvu.INSURANCE._.RECOVERIES." hidden="1">#REF!</definedName>
    <definedName name="ACwvu.LSMEET." hidden="1">#REF!</definedName>
    <definedName name="ACwvu.MARKETING._.REVENUE." hidden="1">#REF!</definedName>
    <definedName name="ACwvu.MINIMUM._.RENT." hidden="1">#REF!</definedName>
    <definedName name="ACwvu.OCCUPANCY." hidden="1">#REF!</definedName>
    <definedName name="ACwvu.OCCUPANCY._.ANALYSIS." hidden="1">#REF!</definedName>
    <definedName name="ACwvu.offsite." hidden="1">#REF!</definedName>
    <definedName name="ACwvu.onsite." hidden="1">#REF!</definedName>
    <definedName name="ACwvu.PERCENTAGE._.RENT." hidden="1">#REF!</definedName>
    <definedName name="ACwvu.TAX._.RATES." hidden="1">#REF!</definedName>
    <definedName name="ACwvu.TAX._.RECOVERIES." hidden="1">#REF!</definedName>
    <definedName name="ACwvu.TAX._.RECOVERY." hidden="1">#REF!</definedName>
    <definedName name="ACwvu.WAT." hidden="1">#REF!</definedName>
    <definedName name="AD">#REF!</definedName>
    <definedName name="AddAssistantManager">#REF!</definedName>
    <definedName name="AddBookkeeper">#REF!</definedName>
    <definedName name="AddGrounds">#REF!</definedName>
    <definedName name="AddHousekeeper">#REF!</definedName>
    <definedName name="AddLeadMaintenance">#REF!</definedName>
    <definedName name="AddLeasingConsultant">#REF!</definedName>
    <definedName name="AddMaintenanceTech">#REF!</definedName>
    <definedName name="AddManager">#REF!</definedName>
    <definedName name="AddPainter">#REF!</definedName>
    <definedName name="Address">#REF!</definedName>
    <definedName name="AddSecurity">#REF!</definedName>
    <definedName name="ADJ">#REF!</definedName>
    <definedName name="Adj_Net_Distribution">#REF!</definedName>
    <definedName name="ADJBF">#REF!</definedName>
    <definedName name="ADJUST">#REF!</definedName>
    <definedName name="ADJVFP">#REF!</definedName>
    <definedName name="ADJWSP">#REF!</definedName>
    <definedName name="ADMIN">#REF!</definedName>
    <definedName name="Admin_Exp_Override">#N/A</definedName>
    <definedName name="Admin_Expense">#N/A</definedName>
    <definedName name="Adminbonusgl">#REF!</definedName>
    <definedName name="adv_rate_base">#REF!</definedName>
    <definedName name="adv_rate_base1">#REF!</definedName>
    <definedName name="adv_rate_scen1">#REF!</definedName>
    <definedName name="adv_rate_scen2">#REF!</definedName>
    <definedName name="adv_rate_scen3">#REF!</definedName>
    <definedName name="adv_rate_scen4">#REF!</definedName>
    <definedName name="adv_rate_scen5">#REF!</definedName>
    <definedName name="affordable">#REF!</definedName>
    <definedName name="affunits">#REF!</definedName>
    <definedName name="affunitsize">#REF!</definedName>
    <definedName name="afirpt" hidden="1">{#N/A,#N/A,TRUE,"TITLE";#N/A,#N/A,TRUE,"SCH 1";#N/A,#N/A,TRUE,"SCH 2";#N/A,#N/A,TRUE,"SCH 3";#N/A,#N/A,TRUE,"SCH3(A)"}</definedName>
    <definedName name="AfterFee">#N/A</definedName>
    <definedName name="aftreport" hidden="1">{#N/A,#N/A,TRUE,"TITLE";#N/A,#N/A,TRUE,"SCH 1";#N/A,#N/A,TRUE,"SCH 2";#N/A,#N/A,TRUE,"SCH 3";#N/A,#N/A,TRUE,"SCH3(A)"}</definedName>
    <definedName name="AIR">#REF!</definedName>
    <definedName name="AJE">#N/A</definedName>
    <definedName name="AliasTable">#REF!</definedName>
    <definedName name="ALIGNB">#N/A</definedName>
    <definedName name="ALL">#N/A</definedName>
    <definedName name="All_Books">#REF!</definedName>
    <definedName name="all_HFA">#REF!</definedName>
    <definedName name="All_Props">#REF!</definedName>
    <definedName name="All_Years_Table">#N/A</definedName>
    <definedName name="alloc">#REF!</definedName>
    <definedName name="AllocationLP4th_DvpFund">#REF!</definedName>
    <definedName name="AllocationLP4th_MstFund">#REF!</definedName>
    <definedName name="AllocationLP5th_DvpFund">#REF!</definedName>
    <definedName name="AllocationLP5th_MstFund">#REF!</definedName>
    <definedName name="ALLPAGES">#N/A</definedName>
    <definedName name="ALTPATH">#REF!</definedName>
    <definedName name="am">#REF!</definedName>
    <definedName name="AM_FEE">#REF!</definedName>
    <definedName name="AMORT">#REF!</definedName>
    <definedName name="Amort_Term">#REF!</definedName>
    <definedName name="Amort_Type">#REF!</definedName>
    <definedName name="AmortEnd">#REF!</definedName>
    <definedName name="Amortization">#REF!</definedName>
    <definedName name="Amortization_Requested">#REF!</definedName>
    <definedName name="AMortizationType">#REF!</definedName>
    <definedName name="Amortized">[0]!PMT</definedName>
    <definedName name="AmortLength">#REF!</definedName>
    <definedName name="AmortStart">#REF!</definedName>
    <definedName name="AmortToggle">#REF!</definedName>
    <definedName name="AmortType">#REF!</definedName>
    <definedName name="Amount">#REF!</definedName>
    <definedName name="Amount_Requested">#REF!</definedName>
    <definedName name="AMT_ChangeGraph">#REF!</definedName>
    <definedName name="AMT_Dialog">#REF!</definedName>
    <definedName name="amttobillothersatdavistownecrossing">#REF!</definedName>
    <definedName name="Analysis_Start_Date">#REF!</definedName>
    <definedName name="AnalysisType">#REF!</definedName>
    <definedName name="AName">#REF!</definedName>
    <definedName name="Anchor_actrent">#REF!</definedName>
    <definedName name="ANCHOR_ACTUALRENT">#REF!</definedName>
    <definedName name="ANCHOR_AVG_TERM">#REF!</definedName>
    <definedName name="ANCHOR_DT_NEW">#REF!</definedName>
    <definedName name="ANCHOR_DT_RENEWAL">#REF!</definedName>
    <definedName name="ANCHOR_FREERENT">#REF!</definedName>
    <definedName name="ANCHOR_LC_NEW">#REF!</definedName>
    <definedName name="ANCHOR_LC_RENEWAL">#REF!</definedName>
    <definedName name="ANCHOR_RENTAL">#REF!</definedName>
    <definedName name="ANCHOR_RETENT">#REF!</definedName>
    <definedName name="ANCHOR_SF">#REF!</definedName>
    <definedName name="ANCHOR_TI_NEW">#REF!</definedName>
    <definedName name="ANCHOR_TI_RENEWAL">#REF!</definedName>
    <definedName name="AnchorCap">#REF!</definedName>
    <definedName name="AnchorIndication">#REF!</definedName>
    <definedName name="Ann_TILC_Anchor">#REF!</definedName>
    <definedName name="AnnDebtSrv">#REF!</definedName>
    <definedName name="ANNEX">#N/A</definedName>
    <definedName name="Annual_DS">#REF!</definedName>
    <definedName name="Annual_Entrance_Fee_Increase">#N/A</definedName>
    <definedName name="Annual_interest_rate">#REF!</definedName>
    <definedName name="Annual_Numerical_Change">#REF!</definedName>
    <definedName name="ANNUAL_RENT">#REF!</definedName>
    <definedName name="AnnualInterestRate">#REF!</definedName>
    <definedName name="annualize">#REF!</definedName>
    <definedName name="anscount" hidden="1">2</definedName>
    <definedName name="aof_amrev_include">#REF!</definedName>
    <definedName name="API_Interest_Rate">#N/A</definedName>
    <definedName name="APP_NUMBER">#REF!</definedName>
    <definedName name="apple">#REF!</definedName>
    <definedName name="Appraisal_Cash_Flow">#REF!</definedName>
    <definedName name="appraisal_date">#REF!</definedName>
    <definedName name="Appraisal_EGI">#REF!</definedName>
    <definedName name="Appraisal_Net_Cash_Flow">#REF!</definedName>
    <definedName name="Appraisal_Tot_Expense">#REF!</definedName>
    <definedName name="APPRAISAL2">#REF!</definedName>
    <definedName name="Appraised_LTV">#N/A</definedName>
    <definedName name="APPRAISED_VALUE">#REF!</definedName>
    <definedName name="AppsPerMovein">#REF!</definedName>
    <definedName name="april">#REF!</definedName>
    <definedName name="AProb">#N/A</definedName>
    <definedName name="APRTRASH">#REF!</definedName>
    <definedName name="AptCleanContractPerTurn">#REF!</definedName>
    <definedName name="AptCleanInHousePerTurn">#REF!</definedName>
    <definedName name="aptvalue">#N/A</definedName>
    <definedName name="archper">#REF!</definedName>
    <definedName name="AREA">#REF!</definedName>
    <definedName name="Area_Retrive">#REF!</definedName>
    <definedName name="Area_Total_CommRentable">#REF!</definedName>
    <definedName name="Area_Total_Gross">#REF!</definedName>
    <definedName name="Area_Total_Rentable">#REF!</definedName>
    <definedName name="Area_Total_ResRentable">#REF!</definedName>
    <definedName name="Area_Total_ResUnits">#REF!</definedName>
    <definedName name="arent">#REF!</definedName>
    <definedName name="arent1">#REF!</definedName>
    <definedName name="arent10">#REF!</definedName>
    <definedName name="arent11">#REF!</definedName>
    <definedName name="arent12">#REF!</definedName>
    <definedName name="arent13">#REF!</definedName>
    <definedName name="arent14">#REF!</definedName>
    <definedName name="arent15">#REF!</definedName>
    <definedName name="arent16">#REF!</definedName>
    <definedName name="arent17">#REF!</definedName>
    <definedName name="arent18">#REF!</definedName>
    <definedName name="arent19">#REF!</definedName>
    <definedName name="arent2">#REF!</definedName>
    <definedName name="arent20">#REF!</definedName>
    <definedName name="arent21">#REF!</definedName>
    <definedName name="arent22">#REF!</definedName>
    <definedName name="arent23">#REF!</definedName>
    <definedName name="arent24">#REF!</definedName>
    <definedName name="arent25">#REF!</definedName>
    <definedName name="arent26">#REF!</definedName>
    <definedName name="arent27">#REF!</definedName>
    <definedName name="arent3">#REF!</definedName>
    <definedName name="arent4">#REF!</definedName>
    <definedName name="arent5">#REF!</definedName>
    <definedName name="arent6">#REF!</definedName>
    <definedName name="arent7">#REF!</definedName>
    <definedName name="arent8">#REF!</definedName>
    <definedName name="arent9">#REF!</definedName>
    <definedName name="Argus">ROW()-ROW(rrFirstRow)-1</definedName>
    <definedName name="ARGUS_codes_1_search_line">#REF!</definedName>
    <definedName name="ARGUS_codes_2_search_line">#REF!</definedName>
    <definedName name="ARGUS_GREEN_RANGE">#REF!</definedName>
    <definedName name="ARGUS_TEST">#REF!</definedName>
    <definedName name="ARGUS1">#REF!</definedName>
    <definedName name="ARGUS10">#REF!</definedName>
    <definedName name="ARGUS11">#REF!</definedName>
    <definedName name="ARGUS12">#REF!</definedName>
    <definedName name="ARGUS13">#REF!</definedName>
    <definedName name="ARGUS14">#REF!</definedName>
    <definedName name="ARGUS15">#REF!</definedName>
    <definedName name="ARGUS16">#REF!</definedName>
    <definedName name="ARGUS17">#REF!</definedName>
    <definedName name="ARGUS18">#REF!</definedName>
    <definedName name="ARGUS19">#REF!</definedName>
    <definedName name="Argus2">#N/A</definedName>
    <definedName name="ARGUS20">#REF!</definedName>
    <definedName name="ARGUS21">#REF!</definedName>
    <definedName name="ARGUS22">#REF!</definedName>
    <definedName name="ARGUS23">#REF!</definedName>
    <definedName name="ARGUS24">#REF!</definedName>
    <definedName name="ARGUS25">#REF!</definedName>
    <definedName name="ARGUS3">#REF!</definedName>
    <definedName name="ARGUS4">#REF!</definedName>
    <definedName name="ARGUS5">#REF!</definedName>
    <definedName name="ARGUS6">#REF!</definedName>
    <definedName name="ARGUS7">#REF!</definedName>
    <definedName name="ARGUS8">#REF!</definedName>
    <definedName name="ARGUS9">#REF!</definedName>
    <definedName name="Article_11">#REF!</definedName>
    <definedName name="Article11">#REF!</definedName>
    <definedName name="as" hidden="1">{"Outflow 1",#N/A,FALSE,"Outflows-Inflows";"Outflow 2",#N/A,FALSE,"Outflows-Inflows";"Inflow 1",#N/A,FALSE,"Outflows-Inflows";"Inflow 2",#N/A,FALSE,"Outflows-Inflows"}</definedName>
    <definedName name="As_of_date">#REF!</definedName>
    <definedName name="AS2DocOpenMode" hidden="1">"AS2DocumentEdit"</definedName>
    <definedName name="asd">#REF!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dfasfasd">ROW()-ROW(#REF!)-1</definedName>
    <definedName name="asdfsdfsdf" hidden="1">{#N/A,#N/A,FALSE,"Expense Comparison"}</definedName>
    <definedName name="ashish" hidden="1">{"'Assump'!$F$6:$J$6"}</definedName>
    <definedName name="ASNEquity">#REF!</definedName>
    <definedName name="ASNInterestRate">#REF!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essHC">#REF!</definedName>
    <definedName name="assessland">#REF!</definedName>
    <definedName name="AssessRatio">#REF!</definedName>
    <definedName name="AssetChart">#REF!</definedName>
    <definedName name="assfee">#REF!</definedName>
    <definedName name="assm1">#N/A</definedName>
    <definedName name="assm2">#N/A</definedName>
    <definedName name="assm3">#N/A</definedName>
    <definedName name="assm4">#N/A</definedName>
    <definedName name="asss" hidden="1">{"rtn",#N/A,FALSE,"RTN";"tables",#N/A,FALSE,"RTN";"cf",#N/A,FALSE,"CF";"stats",#N/A,FALSE,"Stats";"prop",#N/A,FALSE,"Prop"}</definedName>
    <definedName name="AsstMngtFee">#REF!</definedName>
    <definedName name="ASSUMPT">#REF!</definedName>
    <definedName name="ASSUMPTIONS">#REF!</definedName>
    <definedName name="AUDIT">#REF!</definedName>
    <definedName name="AUGTRASH">#REF!</definedName>
    <definedName name="Average_Size_of_Units">#REF!</definedName>
    <definedName name="AVERAGEGLA">#REF!</definedName>
    <definedName name="AVERAGEGOA">#REF!</definedName>
    <definedName name="AVG_SF">#REF!</definedName>
    <definedName name="AvgEconRent">#REF!</definedName>
    <definedName name="AvgInPlaceRent">#REF!</definedName>
    <definedName name="AvgPriceGrwth">#REF!</definedName>
    <definedName name="AvgSF">#REF!</definedName>
    <definedName name="AvgStreetRent">#REF!</definedName>
    <definedName name="AvgTerm">#N/A</definedName>
    <definedName name="AVGUT">#REF!</definedName>
    <definedName name="AVI">#N/A</definedName>
    <definedName name="b" hidden="1">{"mgmt forecast",#N/A,FALSE,"Mgmt Forecast";"dcf table",#N/A,FALSE,"Mgmt Forecast";"sensitivity",#N/A,FALSE,"Mgmt Forecast";"table inputs",#N/A,FALSE,"Mgmt Forecast";"calculations",#N/A,FALSE,"Mgmt Forecast"}</definedName>
    <definedName name="B_PRINT">#REF!</definedName>
    <definedName name="B_Treasury_Term">#REF!</definedName>
    <definedName name="B_Treasury_Yield">#REF!</definedName>
    <definedName name="back6">#N/A</definedName>
    <definedName name="back7">#N/A</definedName>
    <definedName name="BackendMgtFee">#REF!</definedName>
    <definedName name="Backfill">#REF!</definedName>
    <definedName name="BadDebt">#REF!*12/10000</definedName>
    <definedName name="BadLink" hidden="1">#REF!</definedName>
    <definedName name="BAL">#REF!</definedName>
    <definedName name="balconysales">#REF!</definedName>
    <definedName name="Balloon">#REF!</definedName>
    <definedName name="Balloon_on_HDC_Second_Mortgage">#REF!</definedName>
    <definedName name="Bank_Hedge">#REF!</definedName>
    <definedName name="base">#REF!</definedName>
    <definedName name="base_output">#REF!</definedName>
    <definedName name="Base1">+INDEX(#REF!,MATCH(0,#REF!,0)):INDEX(#REF!,MATCH(#REF!,#REF!,0))</definedName>
    <definedName name="Base2">+INDEX(#REF!,MATCH(0,#REF!,0)):INDEX(#REF!,MATCH(#REF!,#REF!,0))</definedName>
    <definedName name="Base3">+INDEX(#REF!,MATCH(0,#REF!,0)):INDEX(#REF!,MATCH(#REF!,#REF!,0))</definedName>
    <definedName name="Base4">+INDEX(#REF!,MATCH(0,#REF!,0)):INDEX(#REF!,MATCH(#REF!,#REF!,0))</definedName>
    <definedName name="Base5">+INDEX(#REF!,MATCH(0,#REF!,0)):INDEX(#REF!,MATCH(#REF!,#REF!,0))</definedName>
    <definedName name="Base6">+INDEX(#REF!,MATCH(0,#REF!,0)):INDEX(#REF!,MATCH(#REF!,#REF!,0))</definedName>
    <definedName name="BaseRehabInputs">#REF!</definedName>
    <definedName name="baserent">#REF!</definedName>
    <definedName name="baserent2">#REF!</definedName>
    <definedName name="basis">#REF!</definedName>
    <definedName name="batch">#REF!,#REF!,#REF!,#REF!,#REF!</definedName>
    <definedName name="BBB">#REF!</definedName>
    <definedName name="BD">#N/A</definedName>
    <definedName name="beattle" hidden="1">{"Full Sheet",#N/A,FALSE,"Expense Comparison"}</definedName>
    <definedName name="Beds">#REF!</definedName>
    <definedName name="Beg_Date">#REF!</definedName>
    <definedName name="Beg.Bal">IF(#REF!&lt;&gt;"",#REF!,"")</definedName>
    <definedName name="Best1">+INDEX(#REF!,MATCH(0,#REF!,0)):INDEX(#REF!,MATCH(#REF!,#REF!,0))</definedName>
    <definedName name="Best2">+INDEX(#REF!,MATCH(0,#REF!,0)):INDEX(#REF!,MATCH(#REF!,#REF!,0))</definedName>
    <definedName name="Best3">+INDEX(#REF!,MATCH(0,#REF!,0)):INDEX(#REF!,MATCH(#REF!,#REF!,0))</definedName>
    <definedName name="Best4">+INDEX(#REF!,MATCH(0,#REF!,0)):INDEX(#REF!,MATCH(#REF!,#REF!,0))</definedName>
    <definedName name="Best5">+INDEX(#REF!,MATCH(0,#REF!,0)):INDEX(#REF!,MATCH(#REF!,#REF!,0))</definedName>
    <definedName name="Best6">+INDEX(#REF!,MATCH(0,#REF!,0)):INDEX(#REF!,MATCH(#REF!,#REF!,0))</definedName>
    <definedName name="BESTCAMBILL">#REF!</definedName>
    <definedName name="BEx7GRP67NN67LXV4DG3BWL6MIGQ" hidden="1">#REF!</definedName>
    <definedName name="BExH25LU9OVJ5U8ABR6FREFPGX59" hidden="1">#REF!</definedName>
    <definedName name="BExZZYI8UQDNGHKHXCJ2JO4SHO80" hidden="1">#REF!</definedName>
    <definedName name="BFM">#REF!</definedName>
    <definedName name="BFMLC">#REF!</definedName>
    <definedName name="BidAskRates">#REF!</definedName>
    <definedName name="BIDBVIOBV">#REF!</definedName>
    <definedName name="BidDate">#REF!</definedName>
    <definedName name="billforallothersatdavistownecrossing">#REF!</definedName>
    <definedName name="billforwamuatdavistwncrsg">#REF!</definedName>
    <definedName name="BLDG">#REF!</definedName>
    <definedName name="Bldg_1_CF">#N/A</definedName>
    <definedName name="Bldg_1_Debt_Funding">#N/A</definedName>
    <definedName name="Bldg_1_Net_Sales_Proceeds">#N/A</definedName>
    <definedName name="Bldg_1_NOI">#N/A</definedName>
    <definedName name="Bldg_2_CF">#N/A</definedName>
    <definedName name="Bldg_2_Debt_Funding">#N/A</definedName>
    <definedName name="Bldg_2_NOI">#N/A</definedName>
    <definedName name="Bldg_3_CF">#N/A</definedName>
    <definedName name="Bldg_3_Debt_Balance">#N/A</definedName>
    <definedName name="Bldg_3_Debt_Funding">#N/A</definedName>
    <definedName name="Bldg_3_NOI">#N/A</definedName>
    <definedName name="blkblot1">#REF!</definedName>
    <definedName name="blkblot2">#REF!</definedName>
    <definedName name="BloombergIndex">#REF!</definedName>
    <definedName name="BloombergRates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ue">#REF!</definedName>
    <definedName name="BlueMoonFee">#REF!</definedName>
    <definedName name="BlueMoonPer">#REF!</definedName>
    <definedName name="BMA">#REF!</definedName>
    <definedName name="BMACaps">#REF!</definedName>
    <definedName name="BMACapsIO">#REF!</definedName>
    <definedName name="BMACollars">#REF!</definedName>
    <definedName name="BMACollarsIO">#REF!</definedName>
    <definedName name="BMASwap">#REF!</definedName>
    <definedName name="BMASwap20">#REF!</definedName>
    <definedName name="BMASwaps">#REF!</definedName>
    <definedName name="BMASwapsIO">#REF!</definedName>
    <definedName name="BNE_MESSAGES_HIDDEN" hidden="1">#REF!</definedName>
    <definedName name="Body">#REF!</definedName>
    <definedName name="Bond_Hedge">#REF!</definedName>
    <definedName name="BondAmount">#REF!</definedName>
    <definedName name="BondRate">#REF!</definedName>
    <definedName name="BONDS">#REF!</definedName>
    <definedName name="BonusNames">#REF!,#REF!</definedName>
    <definedName name="BorderCF">#REF!</definedName>
    <definedName name="BorderNetProceed">#REF!</definedName>
    <definedName name="BorderValuation">#REF!</definedName>
    <definedName name="bORRO">#REF!</definedName>
    <definedName name="borrower">#REF!</definedName>
    <definedName name="borrower_contact">#REF!</definedName>
    <definedName name="Borrower_Contact_City">#REF!</definedName>
    <definedName name="Borrower_Contact_Company">#REF!</definedName>
    <definedName name="Borrower_Contact_Name">#REF!</definedName>
    <definedName name="borrower_contact_phone">#REF!</definedName>
    <definedName name="Borrower_Contact_State">#REF!</definedName>
    <definedName name="Borrower_Contact_Street">#REF!</definedName>
    <definedName name="Borrower_Contact_Zip">#REF!</definedName>
    <definedName name="borrower_contact2">#REF!</definedName>
    <definedName name="borrower_contact2_phone">#REF!</definedName>
    <definedName name="Borrower_Date_Acquired">#REF!</definedName>
    <definedName name="Borrower_Entity">#REF!</definedName>
    <definedName name="Borrower_Fax_No">#REF!</definedName>
    <definedName name="Borrower_Phone_No">#REF!</definedName>
    <definedName name="bpsf">#REF!</definedName>
    <definedName name="Break_Even">#REF!</definedName>
    <definedName name="breakeven">#REF!</definedName>
    <definedName name="BROKER_COM">#REF!</definedName>
    <definedName name="BROKER_COMMISSION">#REF!</definedName>
    <definedName name="Broker_Contact_City">#REF!</definedName>
    <definedName name="Broker_Contact_Company">#REF!</definedName>
    <definedName name="Broker_Contact_Name">#REF!</definedName>
    <definedName name="Broker_Contact_State">#REF!</definedName>
    <definedName name="Broker_Contact_Street">#REF!</definedName>
    <definedName name="Broker_Contact_Zip">#REF!</definedName>
    <definedName name="Broker_Fax_No">#REF!</definedName>
    <definedName name="Broker_Phone_No">#REF!</definedName>
    <definedName name="BrokerComm">#REF!</definedName>
    <definedName name="BS">#N/A</definedName>
    <definedName name="bsdec">#REF!</definedName>
    <definedName name="BUDDRAW">#N/A</definedName>
    <definedName name="BUDGET">#REF!</definedName>
    <definedName name="BUDGET_OLD">#REF!</definedName>
    <definedName name="Budget_Remain_AE">#REF!</definedName>
    <definedName name="Budget_Remain_ConstMgmt">#REF!</definedName>
    <definedName name="Budget_Remain_FFE">#REF!</definedName>
    <definedName name="Budget_Remain_GMP">#REF!</definedName>
    <definedName name="Budget_Remain_HCCont">#REF!</definedName>
    <definedName name="Budget_Remain_IndCost">#REF!</definedName>
    <definedName name="Budget_Remain_Insurance">#REF!</definedName>
    <definedName name="Budget_Remain_Land">#REF!</definedName>
    <definedName name="Budget_Remain_LC">#REF!</definedName>
    <definedName name="Budget_Remain_Marketing">#REF!</definedName>
    <definedName name="Budget_Remain_Permits">#REF!</definedName>
    <definedName name="Budget_Remain_Pursuit">#REF!</definedName>
    <definedName name="Budget_Remain_SCCont">#REF!</definedName>
    <definedName name="Budget_Remain_Site">#REF!</definedName>
    <definedName name="Budget_Remain_Tax">#REF!</definedName>
    <definedName name="Budget_Remain_TI">#REF!</definedName>
    <definedName name="Budget_ToDate_AE">#REF!</definedName>
    <definedName name="Budget_ToDate_ConstMgmt">#REF!</definedName>
    <definedName name="Budget_ToDate_DevFee">#REF!</definedName>
    <definedName name="Budget_ToDate_FFE">#REF!</definedName>
    <definedName name="Budget_ToDate_GMP">#REF!</definedName>
    <definedName name="Budget_ToDate_HCCont">#REF!</definedName>
    <definedName name="Budget_ToDate_IndCost">#REF!</definedName>
    <definedName name="Budget_ToDate_Insurance">#REF!</definedName>
    <definedName name="Budget_ToDate_Land">#REF!</definedName>
    <definedName name="Budget_ToDate_LC">#REF!</definedName>
    <definedName name="Budget_ToDate_Marketing">#REF!</definedName>
    <definedName name="Budget_ToDate_Permits">#REF!</definedName>
    <definedName name="Budget_ToDate_Pursuit">#REF!</definedName>
    <definedName name="Budget_ToDate_SCCont">#REF!</definedName>
    <definedName name="Budget_ToDate_Site">#REF!</definedName>
    <definedName name="Budget_ToDate_Tax">#REF!</definedName>
    <definedName name="Budget_ToDate_TI">#REF!</definedName>
    <definedName name="Budget_Total_AE">#REF!</definedName>
    <definedName name="Budget_Total_ConstMgmt">#REF!</definedName>
    <definedName name="Budget_Total_DevCost">#REF!</definedName>
    <definedName name="Budget_Total_DevFee">#REF!</definedName>
    <definedName name="Budget_Total_DirCost">#REF!</definedName>
    <definedName name="Budget_Total_FFE">#REF!</definedName>
    <definedName name="Budget_Total_GMP">#REF!</definedName>
    <definedName name="Budget_Total_HCCont">#REF!</definedName>
    <definedName name="Budget_Total_IndCost">#REF!</definedName>
    <definedName name="Budget_Total_Land">#REF!</definedName>
    <definedName name="Budget_Total_LC">#REF!</definedName>
    <definedName name="Budget_Total_Legal">#REF!</definedName>
    <definedName name="Budget_Total_Marketing">#REF!</definedName>
    <definedName name="Budget_Total_Permits">#REF!</definedName>
    <definedName name="Budget_Total_Pursuit">#REF!</definedName>
    <definedName name="Budget_Total_Remain">#REF!</definedName>
    <definedName name="Budget_Total_SCCont">#REF!</definedName>
    <definedName name="Budget_Total_Site">#REF!</definedName>
    <definedName name="Budget_Total_Tax">#REF!</definedName>
    <definedName name="Budget_Total_TI">#REF!</definedName>
    <definedName name="Budget_Year">#REF!</definedName>
    <definedName name="BudgetData">#REF!</definedName>
    <definedName name="budgetdates">#REF!</definedName>
    <definedName name="BudgetItems">#REF!</definedName>
    <definedName name="BudStart">#REF!</definedName>
    <definedName name="BUDTITLE">#REF!</definedName>
    <definedName name="BudYear">#REF!</definedName>
    <definedName name="BudYTD">#REF!</definedName>
    <definedName name="BUILDEquity">#REF!</definedName>
    <definedName name="Builders">#REF!</definedName>
    <definedName name="Building">#REF!</definedName>
    <definedName name="BuildName">#REF!</definedName>
    <definedName name="BUN">#REF!</definedName>
    <definedName name="BURHANS__DELORE">#N/A</definedName>
    <definedName name="buscosts">#REF!</definedName>
    <definedName name="BUV">#REF!</definedName>
    <definedName name="buyer_id">#REF!</definedName>
    <definedName name="BuySell">#REF!</definedName>
    <definedName name="C_">#REF!</definedName>
    <definedName name="Calc_Area">#REF!</definedName>
    <definedName name="CalcBudEnd">#REF!</definedName>
    <definedName name="CalcDispEnd">#REF!</definedName>
    <definedName name="CalcdYield">#REF!</definedName>
    <definedName name="CalcMsg">#REF!</definedName>
    <definedName name="Calcs" hidden="1">{#N/A,#N/A,FALSE,"Fair Share"}</definedName>
    <definedName name="Calculated_payment">#REF!</definedName>
    <definedName name="Calculation">#REF!</definedName>
    <definedName name="CalendarStartDate">#REF!</definedName>
    <definedName name="cam">#REF!,#REF!,#REF!,#REF!,#REF!,#REF!,#REF!,#REF!,#REF!,#REF!</definedName>
    <definedName name="CAM_Ratio">#REF!</definedName>
    <definedName name="CAMAnnualDiffBtwnCostAndBase">#REF!</definedName>
    <definedName name="CAMAprDiffBtwnCostAndBase">#REF!</definedName>
    <definedName name="CAMAugDiffBtwnCostAndBase">#REF!</definedName>
    <definedName name="CAMCODES">#REF!</definedName>
    <definedName name="CAMDecDiffBtwnCostAndBase">#REF!</definedName>
    <definedName name="CAMExp">#REF!</definedName>
    <definedName name="CAMExpPSF">#REF!</definedName>
    <definedName name="CAMFebDiffBtwnCostAndBase">#REF!</definedName>
    <definedName name="CAMJanDiffBtwnCostAndBase">#REF!</definedName>
    <definedName name="CAMJulDiffBtwnCostAndBase">#REF!</definedName>
    <definedName name="CAMJunDiffBtwnCostAndBase">#REF!</definedName>
    <definedName name="CAMMarDiffBtwnCostAndBase">#REF!</definedName>
    <definedName name="CAMMayDiffBtwnCostAndBase">#REF!</definedName>
    <definedName name="CAMNovDiffBtwnCostAndBase">#REF!</definedName>
    <definedName name="CAMOctDiffBtwnCostAndBase">#REF!</definedName>
    <definedName name="CAMPSF">#REF!</definedName>
    <definedName name="CAMRECOVERIES">#REF!</definedName>
    <definedName name="CAMSepDiffBtwnCostAndBase">#REF!</definedName>
    <definedName name="CAMSF97">#REF!</definedName>
    <definedName name="CAMSqFt">#REF!</definedName>
    <definedName name="CAMTABLE">#REF!</definedName>
    <definedName name="CAMTotAnnualDiffBtwnCostAndBase">#REF!</definedName>
    <definedName name="CAMTotAprDiffBtwnCostAndBase">#REF!</definedName>
    <definedName name="CAMTotAugDiffBtwnCostAndBase">#REF!</definedName>
    <definedName name="CAMTotDecDiffBtwnCostAndBase">#REF!</definedName>
    <definedName name="CAMTotExp">#REF!</definedName>
    <definedName name="CAMTotFebDiffBtwnCostAndBase">#REF!</definedName>
    <definedName name="CAMTotJulDiffBtwnCostAndBase">#REF!</definedName>
    <definedName name="CAMTotJunDiffBtwnCostAndBase">#REF!</definedName>
    <definedName name="CAMTotMarDiffBtwnCostAndBase">#REF!</definedName>
    <definedName name="CAMTotMayDiffBtwnCostAndBase">#REF!</definedName>
    <definedName name="CAMTotNovDiffBtwnCostAndBase">#REF!</definedName>
    <definedName name="CAMTotOctDiffBtwnCostAndBase">#REF!</definedName>
    <definedName name="CAMTotSepDiffBtwnCostAndBase">#REF!</definedName>
    <definedName name="CAMTotSqFt">#REF!</definedName>
    <definedName name="CAMTotType1Exp">#REF!</definedName>
    <definedName name="CAMTotType2Exp">#REF!</definedName>
    <definedName name="CAMType1Exp">#REF!</definedName>
    <definedName name="CAMType1ExpPSF">#REF!</definedName>
    <definedName name="CAMType2Exp">#REF!</definedName>
    <definedName name="CAMType2ExpPSF">#REF!</definedName>
    <definedName name="Cap_Expense">#REF!</definedName>
    <definedName name="CAP_RATE">#REF!</definedName>
    <definedName name="Cap_Rate_MF">#REF!</definedName>
    <definedName name="Cap_Rate_Retail">#REF!</definedName>
    <definedName name="CapAccrual1">#REF!</definedName>
    <definedName name="CapAccrual2">#REF!</definedName>
    <definedName name="CapBaseCCY">#REF!</definedName>
    <definedName name="CapBasis1">#REF!</definedName>
    <definedName name="CapBasis2">#REF!</definedName>
    <definedName name="CapBidAsk1">#REF!</definedName>
    <definedName name="CapBidAsk2">#REF!</definedName>
    <definedName name="CapBuySell1">#REF!</definedName>
    <definedName name="CapBuySell2">#REF!</definedName>
    <definedName name="CapCalcStatus">#REF!</definedName>
    <definedName name="CapComponent1">#REF!</definedName>
    <definedName name="CapComponent2">#REF!</definedName>
    <definedName name="CapCurr1">#REF!</definedName>
    <definedName name="CapCurr2">#REF!</definedName>
    <definedName name="CapCurve1">#REF!</definedName>
    <definedName name="CapCurve2">#REF!</definedName>
    <definedName name="CapDateShift">#REF!</definedName>
    <definedName name="CapDV011">#REF!</definedName>
    <definedName name="CapDV012">#REF!</definedName>
    <definedName name="CapEffDt">#REF!</definedName>
    <definedName name="CapEffFt">#REF!</definedName>
    <definedName name="capex_per_unit">#REF!</definedName>
    <definedName name="CapExContingPct">#REF!</definedName>
    <definedName name="CAPEXP">#REF!</definedName>
    <definedName name="CapFairValue">#REF!</definedName>
    <definedName name="CapFilterCells">#REF!</definedName>
    <definedName name="CapFreq1">#REF!</definedName>
    <definedName name="CapFreq2">#REF!</definedName>
    <definedName name="CapFX1">#REF!</definedName>
    <definedName name="CapFX2">#REF!</definedName>
    <definedName name="CapHeader">#REF!</definedName>
    <definedName name="CapIncr">#REF!</definedName>
    <definedName name="CapIndex1">#REF!</definedName>
    <definedName name="CapIndex2">#REF!</definedName>
    <definedName name="CapIndexName1">#REF!</definedName>
    <definedName name="CapIndexName2">#REF!</definedName>
    <definedName name="CapIntrinsic">#REF!</definedName>
    <definedName name="Capital">#REF!</definedName>
    <definedName name="CAPITAL_BUDGET">#REF!</definedName>
    <definedName name="Capital_Rate">#REF!</definedName>
    <definedName name="CapitalBudget">#REF!</definedName>
    <definedName name="CapitalTitle">#REF!</definedName>
    <definedName name="CapKeyRate">#REF!</definedName>
    <definedName name="CapLastUpdate">#REF!</definedName>
    <definedName name="CapLength">#REF!</definedName>
    <definedName name="CAPMULTI">#REF!</definedName>
    <definedName name="CapMultiplier1">#REF!</definedName>
    <definedName name="CapMultiplier2">#REF!</definedName>
    <definedName name="CapNetAccrued">#REF!</definedName>
    <definedName name="CapNetDV01">#REF!</definedName>
    <definedName name="CapNetVega">#REF!</definedName>
    <definedName name="CapNotional1">#REF!</definedName>
    <definedName name="CapNotional2">#REF!</definedName>
    <definedName name="CAPOFFICE">#REF!</definedName>
    <definedName name="CapProduct1">#REF!</definedName>
    <definedName name="CapProduct2">#REF!</definedName>
    <definedName name="CapPV01">#REF!</definedName>
    <definedName name="CapPVPmt1">#REF!</definedName>
    <definedName name="CapPVPmt2">#REF!</definedName>
    <definedName name="CapQuoteId">#REF!</definedName>
    <definedName name="CapReset1">#REF!</definedName>
    <definedName name="CapReset2">#REF!</definedName>
    <definedName name="CAPRETAIL">#REF!</definedName>
    <definedName name="CapRunTime">#REF!</definedName>
    <definedName name="CAPS">#REF!</definedName>
    <definedName name="CapShock">#REF!</definedName>
    <definedName name="CapSpread1">#REF!</definedName>
    <definedName name="CapSpread2">#REF!</definedName>
    <definedName name="Capstartdate">#REF!</definedName>
    <definedName name="CapStrike1">#REF!</definedName>
    <definedName name="CapStrike2">#REF!</definedName>
    <definedName name="CapTime">#REF!</definedName>
    <definedName name="CapValue">#REF!</definedName>
    <definedName name="CapValueDate">#REF!</definedName>
    <definedName name="CapVEGA1">#REF!</definedName>
    <definedName name="CapVEGA2">#REF!</definedName>
    <definedName name="CapVolShock">#REF!</definedName>
    <definedName name="CapX">#REF!</definedName>
    <definedName name="CapXGwthRate">#REF!</definedName>
    <definedName name="CapXMonth">#REF!</definedName>
    <definedName name="CARRY">#N/A</definedName>
    <definedName name="Case">#REF!</definedName>
    <definedName name="Case2">#REF!</definedName>
    <definedName name="Case3">#REF!</definedName>
    <definedName name="Case4">#REF!</definedName>
    <definedName name="Case5">#REF!</definedName>
    <definedName name="Case6">#REF!</definedName>
    <definedName name="Case7">#REF!</definedName>
    <definedName name="Case8">#REF!</definedName>
    <definedName name="CASH">#REF!</definedName>
    <definedName name="Cash_Flow_for_PE">#REF!</definedName>
    <definedName name="CASHFLOW">#REF!</definedName>
    <definedName name="cashflow2">#N/A</definedName>
    <definedName name="CashLoanExFee">#REF!</definedName>
    <definedName name="catch">#REF!</definedName>
    <definedName name="cbcfgb">#N/A</definedName>
    <definedName name="CBM2_name">#REF!</definedName>
    <definedName name="CBMI_name">#REF!</definedName>
    <definedName name="CC">#REF!</definedName>
    <definedName name="cd" hidden="1">{"annual",#N/A,FALSE,"Pro Forma";#N/A,#N/A,FALSE,"Golf Operations"}</definedName>
    <definedName name="CDB">#N/A</definedName>
    <definedName name="CDC_Loan_No">#REF!</definedName>
    <definedName name="CET">#REF!</definedName>
    <definedName name="CEX">#REF!</definedName>
    <definedName name="CF">#REF!</definedName>
    <definedName name="CF_BORD">#REF!</definedName>
    <definedName name="CF_COL">#N/A</definedName>
    <definedName name="CF_PRINT">#N/A</definedName>
    <definedName name="CF_ROW">#N/A</definedName>
    <definedName name="CF_SUM">#REF!</definedName>
    <definedName name="cf_sweep_base">#REF!</definedName>
    <definedName name="cf_sweep_scen1">#REF!</definedName>
    <definedName name="cf_sweep_scen2">#REF!</definedName>
    <definedName name="cf_sweep_scen3">#REF!</definedName>
    <definedName name="cf_sweep_scen4">#REF!</definedName>
    <definedName name="cf_sweep_scen5">#REF!</definedName>
    <definedName name="cf_title_5">#REF!</definedName>
    <definedName name="cf_title_6">#REF!</definedName>
    <definedName name="cf_title_7">#REF!</definedName>
    <definedName name="cf_title_8">#REF!</definedName>
    <definedName name="CFADS">#REF!</definedName>
    <definedName name="CFADS2">#REF!</definedName>
    <definedName name="cfid">#REF!</definedName>
    <definedName name="CFYears" hidden="1">#REF!</definedName>
    <definedName name="champ1">#REF!</definedName>
    <definedName name="champ2">#REF!</definedName>
    <definedName name="champ3">#REF!</definedName>
    <definedName name="champs1">#REF!</definedName>
    <definedName name="champs2">#REF!</definedName>
    <definedName name="champs3">#REF!</definedName>
    <definedName name="Chaparral">#REF!</definedName>
    <definedName name="CHAPMAN__ADA">#N/A</definedName>
    <definedName name="CHARGE">#REF!</definedName>
    <definedName name="chart2">#REF!</definedName>
    <definedName name="City">#REF!</definedName>
    <definedName name="CITY_OF_DALLAS">#REF!</definedName>
    <definedName name="CITY_STATE">#REF!</definedName>
    <definedName name="ClassAPercent">#REF!</definedName>
    <definedName name="CLEAN">#REF!</definedName>
    <definedName name="cleaning">#REF!</definedName>
    <definedName name="Clear_Amenity">#REF!,#REF!,#REF!,#REF!,#REF!,#REF!,#REF!,#REF!,#REF!,#REF!,#REF!</definedName>
    <definedName name="Clear_Amenity1">#REF!,#REF!,#REF!,#REF!,#REF!,#REF!</definedName>
    <definedName name="Clear_cf_1">#REF!,#REF!,#REF!,#REF!,#REF!,#REF!,#REF!,#REF!,#REF!</definedName>
    <definedName name="Clear_cf_11">#REF!,#REF!,#REF!,#REF!,#REF!,#REF!,#REF!</definedName>
    <definedName name="Clear_cf_2">#REF!,#REF!,#REF!,#REF!,#REF!,#REF!,#REF!,#REF!,#REF!</definedName>
    <definedName name="Clear_cf_21">#REF!,#REF!,#REF!,#REF!,#REF!,#REF!,#REF!</definedName>
    <definedName name="Clear_cf_3">#REF!,#REF!,#REF!,#REF!,#REF!,#REF!,#REF!,#REF!,#REF!</definedName>
    <definedName name="Clear_cf_31">#REF!,#REF!,#REF!,#REF!,#REF!,#REF!,#REF!</definedName>
    <definedName name="Clear_cf_4">#REF!,#REF!,#REF!,#REF!,#REF!,#REF!,#REF!,#REF!,#REF!</definedName>
    <definedName name="Clear_cf_41">#REF!,#REF!,#REF!,#REF!,#REF!,#REF!,#REF!</definedName>
    <definedName name="Clear_cf_5">#REF!,#REF!,#REF!,#REF!,#REF!,#REF!,#REF!,#REF!,#REF!</definedName>
    <definedName name="Clear_cf_51">#REF!,#REF!,#REF!,#REF!,#REF!,#REF!,#REF!</definedName>
    <definedName name="Clear_common">#REF!,#REF!,#REF!,#REF!,#REF!,#REF!,#REF!,#REF!,#REF!,#REF!</definedName>
    <definedName name="Clear_common1">#REF!,#REF!,#REF!,#REF!,#REF!,#REF!,#REF!</definedName>
    <definedName name="Clear_Overview">#REF!,#REF!,#REF!,#REF!,#REF!,#REF!,#REF!</definedName>
    <definedName name="Clear_Plan">#REF!,#REF!,#REF!,#REF!,#REF!,#REF!,#REF!,#REF!,#REF!,#REF!</definedName>
    <definedName name="Clear_Plan1">#REF!,#REF!,#REF!,#REF!,#REF!,#REF!,#REF!</definedName>
    <definedName name="Clear_Reimb">#REF!,#REF!,#REF!,#REF!,#REF!,#REF!,#REF!,#REF!,#REF!,#REF!,#REF!+#REF!</definedName>
    <definedName name="Clear_Reimb1">#REF!,#REF!,#REF!,#REF!,#REF!,#REF!,#REF!</definedName>
    <definedName name="Clear_S1a_1">#REF!,#REF!,#REF!,#REF!,#REF!,#REF!,#REF!</definedName>
    <definedName name="Clear_S1a_2">#REF!,#REF!,#REF!,#REF!,#REF!,#REF!,#REF!</definedName>
    <definedName name="Clear_S1a_3">#REF!,#REF!,#REF!,#REF!,#REF!,#REF!,#REF!</definedName>
    <definedName name="Clear_S3_Comm">#REF!,#REF!,#REF!,#REF!,#REF!,#REF!</definedName>
    <definedName name="Clear_S3_MFA">#REF!,#REF!,#REF!,#REF!,#REF!,#REF!</definedName>
    <definedName name="ClientName">#REF!</definedName>
    <definedName name="Close">#N/A</definedName>
    <definedName name="closecosts">#REF!</definedName>
    <definedName name="Closing">#REF!</definedName>
    <definedName name="Closing_Date">#REF!</definedName>
    <definedName name="ClosingAssump">#REF!</definedName>
    <definedName name="ClosingComm">#REF!</definedName>
    <definedName name="ClosingCommRate">#REF!</definedName>
    <definedName name="closingcost">#REF!</definedName>
    <definedName name="ClosingCosts">#REF!</definedName>
    <definedName name="ClosingDate">#REF!</definedName>
    <definedName name="CLoss_2">#REF!</definedName>
    <definedName name="CLoss_3">#REF!</definedName>
    <definedName name="CLoss_4">#REF!</definedName>
    <definedName name="CLoss_5">#REF!</definedName>
    <definedName name="CLoss_6">#REF!</definedName>
    <definedName name="CLOWES__LOHIE">#N/A</definedName>
    <definedName name="Cmp1Rents">#REF!</definedName>
    <definedName name="Cmp2Rents">#REF!</definedName>
    <definedName name="Cmp3Rents">#REF!</definedName>
    <definedName name="Cmp4Rents">#REF!</definedName>
    <definedName name="Cmp5Rents">#REF!</definedName>
    <definedName name="Cmp6Rents">#REF!</definedName>
    <definedName name="Cmp7Rents">#REF!</definedName>
    <definedName name="CmpArea_0">#REF!</definedName>
    <definedName name="CmpArea_1">#REF!</definedName>
    <definedName name="CmpArea_2">#REF!</definedName>
    <definedName name="CmpArea_3">#REF!</definedName>
    <definedName name="CmpEff">#REF!</definedName>
    <definedName name="CmpFooter">#REF!</definedName>
    <definedName name="CmpOne">#REF!</definedName>
    <definedName name="CmpRef">#REF!</definedName>
    <definedName name="CmpThree">#REF!</definedName>
    <definedName name="CmpTwo">#REF!</definedName>
    <definedName name="COA_Affordable_carlisle">#REF!</definedName>
    <definedName name="COA_Affordable_rhc">#REF!</definedName>
    <definedName name="COA_Affordable_system">#REF!</definedName>
    <definedName name="COA_Generic">#REF!</definedName>
    <definedName name="COA_PASSCO_system">#REF!</definedName>
    <definedName name="COA_Residential_bbond">#REF!</definedName>
    <definedName name="COA_Residential_gfs">#REF!</definedName>
    <definedName name="COA_Residential_hap">#REF!</definedName>
    <definedName name="COA_Residential_keg">#REF!</definedName>
    <definedName name="COA_Residential_olympic">#REF!</definedName>
    <definedName name="COA_Residential_oregon">#REF!</definedName>
    <definedName name="COA_Residential_ppc">#REF!</definedName>
    <definedName name="COA_Residential_scasda">#REF!</definedName>
    <definedName name="COA_Residential_shs">#REF!</definedName>
    <definedName name="COA_Residential_system">#REF!</definedName>
    <definedName name="CODE">#REF!</definedName>
    <definedName name="coder">#REF!</definedName>
    <definedName name="codes">#REF!</definedName>
    <definedName name="COE">#REF!</definedName>
    <definedName name="COF">#REF!</definedName>
    <definedName name="COL_EXPDATE">#REF!</definedName>
    <definedName name="COL_LEASERENT">#REF!</definedName>
    <definedName name="COL_LTL">#REF!</definedName>
    <definedName name="COL_MKTRENT">#REF!</definedName>
    <definedName name="COL_OCCLEASE">#REF!</definedName>
    <definedName name="COL_OCCMKT">#REF!</definedName>
    <definedName name="COL_PRORATED">#REF!</definedName>
    <definedName name="COL_SF">#REF!</definedName>
    <definedName name="COL_STARTDATE">#REF!</definedName>
    <definedName name="COL_TYPE">#REF!</definedName>
    <definedName name="COL_UPFRONT">#REF!</definedName>
    <definedName name="COL_VAC">#REF!</definedName>
    <definedName name="COL1STYR">7</definedName>
    <definedName name="ColDiff">COLUMN()-COL1STYR</definedName>
    <definedName name="ColDiff2">COLUMN()-COL1STYR</definedName>
    <definedName name="COLIHAN__SARA">#N/A</definedName>
    <definedName name="CollarLIBORGrid">#REF!</definedName>
    <definedName name="CollarPrimeGrid">#REF!</definedName>
    <definedName name="Collars">#REF!</definedName>
    <definedName name="CollectionLoss">#REF!</definedName>
    <definedName name="COLLEGE_DISTRICT">#REF!</definedName>
    <definedName name="COLLINS__MAHIE">#N/A</definedName>
    <definedName name="com">#REF!</definedName>
    <definedName name="com_fee">#REF!</definedName>
    <definedName name="CombineBurden">#REF!</definedName>
    <definedName name="ComFea_Table">#REF!</definedName>
    <definedName name="Comm">#REF!</definedName>
    <definedName name="Comm1SF">#REF!</definedName>
    <definedName name="Comm2SF">#REF!</definedName>
    <definedName name="Common_Costs">#REF!,#REF!,#REF!,#REF!,#REF!,#REF!,#REF!,#REF!,#REF!,#REF!</definedName>
    <definedName name="Common_Costs1">#REF!,#REF!,#REF!,#REF!,#REF!,#REF!,#REF!</definedName>
    <definedName name="CommSF">#REF!</definedName>
    <definedName name="CommSt_Condo_Sale_PSF">#N/A</definedName>
    <definedName name="CommSt_Qty_1BR">#N/A</definedName>
    <definedName name="CommSt_Qty_2BR">#N/A</definedName>
    <definedName name="CommSt_Qty_Pkg_Spaces">#N/A</definedName>
    <definedName name="CommSt_Rent_1BR">#N/A</definedName>
    <definedName name="CommSt_Rent_2BR">#N/A</definedName>
    <definedName name="CommStab">#REF!</definedName>
    <definedName name="CommYN">#REF!</definedName>
    <definedName name="COMP2">#N/A</definedName>
    <definedName name="comp3">#N/A</definedName>
    <definedName name="compare">#N/A</definedName>
    <definedName name="comperc">#REF!</definedName>
    <definedName name="Completion">#REF!</definedName>
    <definedName name="COMPLIANCE">#REF!</definedName>
    <definedName name="compounding">#REF!</definedName>
    <definedName name="comps">#N/A</definedName>
    <definedName name="CON_FEE">#REF!</definedName>
    <definedName name="ConCaverageYear1">#REF!</definedName>
    <definedName name="concession">#REF!</definedName>
    <definedName name="concessiontiminglist">#REF!</definedName>
    <definedName name="ConCYear1">#REF!</definedName>
    <definedName name="Condo_AvgPrice">#REF!</definedName>
    <definedName name="Condo_AvgUnitSize">#REF!</definedName>
    <definedName name="Condo_CostOfSale">#REF!</definedName>
    <definedName name="Condo_HOA">#REF!</definedName>
    <definedName name="Condo_PropertyTax">#REF!</definedName>
    <definedName name="CondoConvert">#REF!</definedName>
    <definedName name="conmos">#REF!</definedName>
    <definedName name="conscomp">#REF!</definedName>
    <definedName name="consdates">#REF!</definedName>
    <definedName name="consloan">#REF!</definedName>
    <definedName name="consmonths">#REF!</definedName>
    <definedName name="consolidated">#REF!</definedName>
    <definedName name="consstart">#REF!</definedName>
    <definedName name="CONST">#N/A</definedName>
    <definedName name="const_debt">#N/A</definedName>
    <definedName name="CONST_PERIOD">#REF!</definedName>
    <definedName name="ConstLoan">#REF!</definedName>
    <definedName name="ConstLoanFunding">#REF!</definedName>
    <definedName name="ConstMngmtSvcFee">#REF!</definedName>
    <definedName name="Construction_Initial_Commit_Ratio">#REF!</definedName>
    <definedName name="Construction_Loan">#REF!</definedName>
    <definedName name="Construction_MF">#REF!</definedName>
    <definedName name="Construction_Period">#REF!</definedName>
    <definedName name="Construction_Period__Sources_of_Funds">#REF!</definedName>
    <definedName name="ConstructionLoan_Ori_Maturity">#REF!</definedName>
    <definedName name="ConstructionLoan_Payoff">#REF!</definedName>
    <definedName name="ConstStart">#REF!</definedName>
    <definedName name="constype">#REF!</definedName>
    <definedName name="constypelist">#REF!</definedName>
    <definedName name="Contents">#REF!</definedName>
    <definedName name="contotal">#REF!</definedName>
    <definedName name="CONTRACTACT">#REF!</definedName>
    <definedName name="ContractPrice">#REF!</definedName>
    <definedName name="CoNUM">#REF!</definedName>
    <definedName name="CONVERSION">#REF!</definedName>
    <definedName name="conversion_date">#REF!</definedName>
    <definedName name="CorporateSuite1">#REF!</definedName>
    <definedName name="Cost_of_Sale">#REF!</definedName>
    <definedName name="CostItem">#REF!</definedName>
    <definedName name="CostOfSales">#REF!</definedName>
    <definedName name="costperunit">#REF!</definedName>
    <definedName name="costpsf">#REF!</definedName>
    <definedName name="counter">5</definedName>
    <definedName name="countinreturn">#REF!</definedName>
    <definedName name="Coupon">#REF!</definedName>
    <definedName name="Coupon_Rate">#N/A</definedName>
    <definedName name="Coupon2">#REF!</definedName>
    <definedName name="Coupon3">#REF!</definedName>
    <definedName name="Coupon4">#REF!</definedName>
    <definedName name="Coupon5">#REF!</definedName>
    <definedName name="Coupon6">#REF!</definedName>
    <definedName name="Coupon7">#REF!</definedName>
    <definedName name="COVER">#N/A</definedName>
    <definedName name="CoverageTest">#REF!</definedName>
    <definedName name="CoveredbyInsurance">#REF!</definedName>
    <definedName name="CPI">#REF!</definedName>
    <definedName name="cpirent">#REF!</definedName>
    <definedName name="cpirent2">#REF!</definedName>
    <definedName name="CPM">#REF!</definedName>
    <definedName name="CPRATES">#REF!</definedName>
    <definedName name="CPRODADJ">#REF!</definedName>
    <definedName name="CREDIT">#REF!</definedName>
    <definedName name="CreditCkFeePerTurn">#REF!</definedName>
    <definedName name="CreditCkFeePerTurnYr2">#REF!</definedName>
    <definedName name="CreditCkFeePerTurnYr3">#REF!</definedName>
    <definedName name="creditcomm">#REF!</definedName>
    <definedName name="CreditLoss">#REF!</definedName>
    <definedName name="CreditSpread">#REF!</definedName>
    <definedName name="CREW">#REF!</definedName>
    <definedName name="_xlnm.Criteria">#REF!</definedName>
    <definedName name="CrptCleanContractPerTurn">#REF!</definedName>
    <definedName name="CrptCleanInHousePerTurn">#REF!</definedName>
    <definedName name="crtname">#REF!</definedName>
    <definedName name="CS">#N/A</definedName>
    <definedName name="CSP">#N/A</definedName>
    <definedName name="CSPRODADJ">#REF!</definedName>
    <definedName name="cSum">9</definedName>
    <definedName name="CSUMM">#REF!</definedName>
    <definedName name="ctHidden.CollateralType_table">#REF!</definedName>
    <definedName name="ctHidden.CollTypeGroup_Table">#REF!</definedName>
    <definedName name="ctHidden.IndexQuote_table">#REF!</definedName>
    <definedName name="ctHidden.Loan_Purpose_Table">#REF!</definedName>
    <definedName name="ctHidden.Loan_Type_Table">#REF!</definedName>
    <definedName name="ctHidden.OperatingStmtType_Table">#REF!</definedName>
    <definedName name="CTI">#REF!</definedName>
    <definedName name="ctpc">#N/A</definedName>
    <definedName name="ctss.in.collateral_0_.appraisalReport_0_.AppraisalReport.asIsValue">#REF!</definedName>
    <definedName name="ctss.in.collateral_0_.appraisalReport_0_.AppraisalReport.finalStabilizedValue">#REF!</definedName>
    <definedName name="ctss.in.collateral_0_.Collateral.city">#REF!</definedName>
    <definedName name="ctss.in.collateral_0_.Collateral.name">#REF!</definedName>
    <definedName name="ctss.in.collateral_0_.Collateral.occupancyRate">#REF!</definedName>
    <definedName name="ctss.in.collateral_0_.Collateral.squareFeetUnits">#REF!</definedName>
    <definedName name="ctss.in.collateral_0_.Collateral.state">#REF!</definedName>
    <definedName name="ctss.in.collateral_0_.Collateral.street">#REF!</definedName>
    <definedName name="ctss.in.collateral_0_.Collateral.yearBuilt">#REF!</definedName>
    <definedName name="ctss.in.collateral_0_.Collateral.yearRenovated">#REF!</definedName>
    <definedName name="ctss.in.collateral_0_.Collateral.zip">#REF!</definedName>
    <definedName name="ctss.in.collateral_0_.CollateralType.name">#REF!</definedName>
    <definedName name="ctss.in.collateral_0_.collToLoan_0_.Loan.externalId">#REF!</definedName>
    <definedName name="ctss.in.collateral_0_.collToLoan_0_.Loan.loanGroupTypeId">#REF!</definedName>
    <definedName name="ctss.in.collateral_0_.collToLoan_0_.LoanPurpose.name">#REF!</definedName>
    <definedName name="ctss.in.collateral_0_.collToLoan_0_.LoanTerms.amortizationTerm">#REF!</definedName>
    <definedName name="ctss.in.collateral_0_.collToLoan_0_.LoanTerms.cpnFloor">#REF!</definedName>
    <definedName name="ctss.in.collateral_0_.collToLoan_0_.LoanTerms.guidelineDscr">#REF!</definedName>
    <definedName name="ctss.in.collateral_0_.collToLoan_0_.LoanTerms.guidelineLtv">#REF!</definedName>
    <definedName name="ctss.in.collateral_0_.collToLoan_0_.LoanTerms.indexRate">#REF!</definedName>
    <definedName name="ctss.in.collateral_0_.collToLoan_0_.LoanTerms.loanAmount">#REF!</definedName>
    <definedName name="ctss.in.collateral_0_.collToLoan_0_.LoanTerms.loanTerm">#REF!</definedName>
    <definedName name="ctss.in.collateral_0_.collToLoan_0_.LoanTerms.requestedLoanAmount">#REF!</definedName>
    <definedName name="ctss.in.collateral_0_.collToLoan_0_.LoanTerms.spread">#REF!</definedName>
    <definedName name="ctss.in.collateral_0_.collToLoan_0_.LoanType.name">#REF!</definedName>
    <definedName name="ctss.in.collateral_0_.collToLoanA_0_.LoanTerms.amortizationTerm">#REF!</definedName>
    <definedName name="ctss.in.collateral_0_.collToLoanA_0_.LoanTerms.loanAmount">#REF!</definedName>
    <definedName name="ctss.in.collateral_0_.collToLoanA_0_.LoanTerms.loanId">#REF!</definedName>
    <definedName name="ctss.in.collateral_0_.collToLoanA_0_.LoanTerms.loanTerm">#REF!</definedName>
    <definedName name="ctss.in.collateral_0_.collToLoanA_0_.LoanTerms.spread">#REF!</definedName>
    <definedName name="ctss.in.collateral_0_.collToLoanA_1_.LoanTerms.amortizationTerm">#REF!</definedName>
    <definedName name="ctss.in.collateral_0_.collToLoanA_1_.LoanTerms.loanAmount">#REF!</definedName>
    <definedName name="ctss.in.collateral_0_.collToLoanA_1_.LoanTerms.loanId">#REF!</definedName>
    <definedName name="ctss.in.collateral_0_.collToLoanA_1_.LoanTerms.loanTerm">#REF!</definedName>
    <definedName name="ctss.in.collateral_0_.collToLoanA_1_.LoanTerms.spread">#REF!</definedName>
    <definedName name="ctss.in.collateral_0_.collToLoanA_2_.LoanTerms.amortizationTerm">#REF!</definedName>
    <definedName name="ctss.in.collateral_0_.collToLoanA_2_.LoanTerms.loanAmount">#REF!</definedName>
    <definedName name="ctss.in.collateral_0_.collToLoanA_2_.LoanTerms.loanId">#REF!</definedName>
    <definedName name="ctss.in.collateral_0_.collToLoanA_2_.LoanTerms.loanTerm">#REF!</definedName>
    <definedName name="ctss.in.collateral_0_.collToLoanA_2_.LoanTerms.spread">#REF!</definedName>
    <definedName name="ctss.in.collateral_0_.collToLoanA_3_.LoanTerms.amortizationTerm">#REF!</definedName>
    <definedName name="ctss.in.collateral_0_.collToLoanA_3_.LoanTerms.loanAmount">#REF!</definedName>
    <definedName name="ctss.in.collateral_0_.collToLoanA_3_.LoanTerms.loanId">#REF!</definedName>
    <definedName name="ctss.in.collateral_0_.collToLoanA_3_.LoanTerms.loanTerm">#REF!</definedName>
    <definedName name="ctss.in.collateral_0_.collToLoanA_3_.LoanTerms.spread">#REF!</definedName>
    <definedName name="ctss.in.collateral_0_.collToLoanA_4_.LoanTerms.amortizationTerm">#REF!</definedName>
    <definedName name="ctss.in.collateral_0_.collToLoanA_4_.LoanTerms.loanAmount">#REF!</definedName>
    <definedName name="ctss.in.collateral_0_.collToLoanA_4_.LoanTerms.loanId">#REF!</definedName>
    <definedName name="ctss.in.collateral_0_.collToLoanA_4_.LoanTerms.loanTerm">#REF!</definedName>
    <definedName name="ctss.in.collateral_0_.collToLoanA_4_.LoanTerms.spread">#REF!</definedName>
    <definedName name="ctss.in.collateral_0_.collToLoanB_0_.LoanTerms.amortizationTerm">#REF!</definedName>
    <definedName name="ctss.in.collateral_0_.collToLoanB_0_.LoanTerms.loanAmount">#REF!</definedName>
    <definedName name="ctss.in.collateral_0_.collToLoanB_0_.LoanTerms.loanId">#REF!</definedName>
    <definedName name="ctss.in.collateral_0_.collToLoanB_0_.LoanTerms.loanTerm">#REF!</definedName>
    <definedName name="ctss.in.collateral_0_.collToLoanB_0_.LoanTerms.spread">#REF!</definedName>
    <definedName name="ctss.in.collateral_0_.collToLoanB_1_.LoanTerms.amortizationTerm">#REF!</definedName>
    <definedName name="ctss.in.collateral_0_.collToLoanB_1_.LoanTerms.loanAmount">#REF!</definedName>
    <definedName name="ctss.in.collateral_0_.collToLoanB_1_.LoanTerms.loanId">#REF!</definedName>
    <definedName name="ctss.in.collateral_0_.collToLoanB_1_.LoanTerms.loanTerm">#REF!</definedName>
    <definedName name="ctss.in.collateral_0_.collToLoanB_1_.LoanTerms.spread">#REF!</definedName>
    <definedName name="ctss.in.collateral_0_.collToLoanB_2_.LoanTerms.amortizationTerm">#REF!</definedName>
    <definedName name="ctss.in.collateral_0_.collToLoanB_2_.LoanTerms.loanAmount">#REF!</definedName>
    <definedName name="ctss.in.collateral_0_.collToLoanB_2_.LoanTerms.loanId">#REF!</definedName>
    <definedName name="ctss.in.collateral_0_.collToLoanB_2_.LoanTerms.loanTerm">#REF!</definedName>
    <definedName name="ctss.in.collateral_0_.collToLoanB_2_.LoanTerms.spread">#REF!</definedName>
    <definedName name="ctss.in.collateral_0_.collToLoanB_3_.LoanTerms.amortizationTerm">#REF!</definedName>
    <definedName name="ctss.in.collateral_0_.collToLoanB_3_.LoanTerms.loanAmount">#REF!</definedName>
    <definedName name="ctss.in.collateral_0_.collToLoanB_3_.LoanTerms.loanId">#REF!</definedName>
    <definedName name="ctss.in.collateral_0_.collToLoanB_3_.LoanTerms.loanTerm">#REF!</definedName>
    <definedName name="ctss.in.collateral_0_.collToLoanB_3_.LoanTerms.spread">#REF!</definedName>
    <definedName name="ctss.in.collateral_0_.collToLoanB_4_.LoanTerms.amortizationTerm">#REF!</definedName>
    <definedName name="ctss.in.collateral_0_.collToLoanB_4_.LoanTerms.loanAmount">#REF!</definedName>
    <definedName name="ctss.in.collateral_0_.collToLoanB_4_.LoanTerms.loanId">#REF!</definedName>
    <definedName name="ctss.in.collateral_0_.collToLoanB_4_.LoanTerms.loanTerm">#REF!</definedName>
    <definedName name="ctss.in.collateral_0_.collToLoanB_4_.LoanTerms.spread">#REF!</definedName>
    <definedName name="ctss.in.collateral_0_.collToLoanM_0_.LoanTerms.amortizationTerm">#REF!</definedName>
    <definedName name="ctss.in.collateral_0_.collToLoanM_0_.LoanTerms.loanAmount">#REF!</definedName>
    <definedName name="ctss.in.collateral_0_.collToLoanM_0_.LoanTerms.loanId">#REF!</definedName>
    <definedName name="ctss.in.collateral_0_.collToLoanM_0_.LoanTerms.loanTerm">#REF!</definedName>
    <definedName name="ctss.in.collateral_0_.collToLoanM_0_.LoanTerms.spread">#REF!</definedName>
    <definedName name="ctss.in.collateral_0_.collToLoanM_1_.LoanTerms.amortizationTerm">#REF!</definedName>
    <definedName name="ctss.in.collateral_0_.collToLoanM_1_.LoanTerms.loanAmount">#REF!</definedName>
    <definedName name="ctss.in.collateral_0_.collToLoanM_1_.LoanTerms.loanId">#REF!</definedName>
    <definedName name="ctss.in.collateral_0_.collToLoanM_1_.LoanTerms.loanTerm">#REF!</definedName>
    <definedName name="ctss.in.collateral_0_.collToLoanM_1_.LoanTerms.spread">#REF!</definedName>
    <definedName name="ctss.in.collateral_0_.collToLoanM_2_.LoanTerms.amortizationTerm">#REF!</definedName>
    <definedName name="ctss.in.collateral_0_.collToLoanM_2_.LoanTerms.loanAmount">#REF!</definedName>
    <definedName name="ctss.in.collateral_0_.collToLoanM_2_.LoanTerms.loanId">#REF!</definedName>
    <definedName name="ctss.in.collateral_0_.collToLoanM_2_.LoanTerms.loanTerm">#REF!</definedName>
    <definedName name="ctss.in.collateral_0_.collToLoanM_2_.LoanTerms.spread">#REF!</definedName>
    <definedName name="ctss.in.collateral_0_.collToLoanM_3_.LoanTerms.amortizationTerm">#REF!</definedName>
    <definedName name="ctss.in.collateral_0_.collToLoanM_3_.LoanTerms.loanAmount">#REF!</definedName>
    <definedName name="ctss.in.collateral_0_.collToLoanM_3_.LoanTerms.loanId">#REF!</definedName>
    <definedName name="ctss.in.collateral_0_.collToLoanM_3_.LoanTerms.loanTerm">#REF!</definedName>
    <definedName name="ctss.in.collateral_0_.collToLoanM_3_.LoanTerms.spread">#REF!</definedName>
    <definedName name="ctss.in.collateral_0_.collToLoanM_4_.LoanTerms.amortizationTerm">#REF!</definedName>
    <definedName name="ctss.in.collateral_0_.collToLoanM_4_.LoanTerms.loanAmount">#REF!</definedName>
    <definedName name="ctss.in.collateral_0_.collToLoanM_4_.LoanTerms.loanId">#REF!</definedName>
    <definedName name="ctss.in.collateral_0_.collToLoanM_4_.LoanTerms.loanTerm">#REF!</definedName>
    <definedName name="ctss.in.collateral_0_.collToLoanM_4_.LoanTerms.spread">#REF!</definedName>
    <definedName name="ctss.in.collateral_0_.CollTypeGroup.name">#REF!</definedName>
    <definedName name="ctss.in.collateral_0_.underwriting_0_.IndexQuote.description">#REF!</definedName>
    <definedName name="ctss.in.collateral_0_.underwriting_0_.UwAnalysis.extAttributes.maxAsIsStressLtv">#REF!</definedName>
    <definedName name="ctss.in.collateral_0_.underwriting_0_.UwAnalysis.extAttributes.maxStabilizedLtv">#REF!</definedName>
    <definedName name="ctss.in.collateral_0_.underwriting_0_.UwAnalysis.extAttributes.maxStabilizedStressLtv">#REF!</definedName>
    <definedName name="ctss.in.collateral_0_.underwriting_0_.UwAnalysis.extAttributes.minStabilizedDscr">#REF!</definedName>
    <definedName name="ctss.in.mosaic.opStatement.collateral_0_.underwriting_0_.opStatement_2_">#REF!</definedName>
    <definedName name="ctss.in.mosaic.opStatement.collateral_0_.underwriting_0_.opStatement_3_">#REF!</definedName>
    <definedName name="ctss.in.mosaic.opStatementUW.collateral_0_.underwriting_0_.opStatement_4_">#REF!</definedName>
    <definedName name="ctss.in.mosaic.opStatementUW.collateral_0_.underwriting_0_.opStatement_5_">#REF!</definedName>
    <definedName name="ctss.meta.appName">#REF!</definedName>
    <definedName name="ctss.meta.appVersion">#REF!</definedName>
    <definedName name="ctss.meta.documentId">#REF!</definedName>
    <definedName name="ctss.meta.mosaic.opStatement">#REF!</definedName>
    <definedName name="ctss.meta.mosaic.opStatementComments">#REF!</definedName>
    <definedName name="ctss.meta.mosaic.opStatementUW">#REF!</definedName>
    <definedName name="ctss.meta.mosaic.opStmtCommentsSetup">#REF!</definedName>
    <definedName name="ctss.meta.mosaic.opStmtSetup">#REF!</definedName>
    <definedName name="ctss.meta.mosaic.opStmtUWSetup">#REF!</definedName>
    <definedName name="ctss.out.collateral_0_.appraisalReport_0_.AppraisalReport.asIsValue">#REF!</definedName>
    <definedName name="ctss.out.collateral_0_.appraisalReport_0_.AppraisalReport.finalStabilizedValue">#REF!</definedName>
    <definedName name="ctss.out.collateral_0_.Collateral.city">#REF!</definedName>
    <definedName name="ctss.out.collateral_0_.Collateral.collateralTypeId">#REF!</definedName>
    <definedName name="ctss.out.collateral_0_.Collateral.collTypeGroupId">#REF!</definedName>
    <definedName name="ctss.out.collateral_0_.Collateral.extAttributes.breakevenOccupancy">#REF!</definedName>
    <definedName name="ctss.out.collateral_0_.Collateral.occupancyRate">#REF!</definedName>
    <definedName name="ctss.out.collateral_0_.Collateral.squareFeetUnits">#REF!</definedName>
    <definedName name="ctss.out.collateral_0_.Collateral.state">#REF!</definedName>
    <definedName name="ctss.out.collateral_0_.Collateral.street">#REF!</definedName>
    <definedName name="ctss.out.collateral_0_.Collateral.yearBuilt">#REF!</definedName>
    <definedName name="ctss.out.collateral_0_.Collateral.yearRenovated">#REF!</definedName>
    <definedName name="ctss.out.collateral_0_.Collateral.zip">#REF!</definedName>
    <definedName name="ctss.out.collateral_0_.collToLoan_0_.LargeLoanSizer.a1Amortization">#REF!</definedName>
    <definedName name="ctss.out.collateral_0_.collToLoan_0_.LargeLoanSizer.a1LoanAmount">#REF!</definedName>
    <definedName name="ctss.out.collateral_0_.collToLoan_0_.LargeLoanSizer.a1LoanId">#REF!</definedName>
    <definedName name="ctss.out.collateral_0_.collToLoan_0_.LargeLoanSizer.a1Spread">#REF!</definedName>
    <definedName name="ctss.out.collateral_0_.collToLoan_0_.LargeLoanSizer.a1Terms">#REF!</definedName>
    <definedName name="ctss.out.collateral_0_.collToLoan_0_.LargeLoanSizer.a2Amortization">#REF!</definedName>
    <definedName name="ctss.out.collateral_0_.collToLoan_0_.LargeLoanSizer.a2LoanAmount">#REF!</definedName>
    <definedName name="ctss.out.collateral_0_.collToLoan_0_.LargeLoanSizer.a2LoanId">#REF!</definedName>
    <definedName name="ctss.out.collateral_0_.collToLoan_0_.LargeLoanSizer.a2Spread">#REF!</definedName>
    <definedName name="ctss.out.collateral_0_.collToLoan_0_.LargeLoanSizer.a2Terms">#REF!</definedName>
    <definedName name="ctss.out.collateral_0_.collToLoan_0_.LargeLoanSizer.a3Amortization">#REF!</definedName>
    <definedName name="ctss.out.collateral_0_.collToLoan_0_.LargeLoanSizer.a3LoanAmount">#REF!</definedName>
    <definedName name="ctss.out.collateral_0_.collToLoan_0_.LargeLoanSizer.a3LoanId">#REF!</definedName>
    <definedName name="ctss.out.collateral_0_.collToLoan_0_.LargeLoanSizer.a3Spread">#REF!</definedName>
    <definedName name="ctss.out.collateral_0_.collToLoan_0_.LargeLoanSizer.a3Terms">#REF!</definedName>
    <definedName name="ctss.out.collateral_0_.collToLoan_0_.LargeLoanSizer.a4Amortization">#REF!</definedName>
    <definedName name="ctss.out.collateral_0_.collToLoan_0_.LargeLoanSizer.a4LoanAmount">#REF!</definedName>
    <definedName name="ctss.out.collateral_0_.collToLoan_0_.LargeLoanSizer.a4LoanId">#REF!</definedName>
    <definedName name="ctss.out.collateral_0_.collToLoan_0_.LargeLoanSizer.a4Spread">#REF!</definedName>
    <definedName name="ctss.out.collateral_0_.collToLoan_0_.LargeLoanSizer.a4Terms">#REF!</definedName>
    <definedName name="ctss.out.collateral_0_.collToLoan_0_.LargeLoanSizer.a5Amortization">#REF!</definedName>
    <definedName name="ctss.out.collateral_0_.collToLoan_0_.LargeLoanSizer.a5LoanAmount">#REF!</definedName>
    <definedName name="ctss.out.collateral_0_.collToLoan_0_.LargeLoanSizer.a5LoanId">#REF!</definedName>
    <definedName name="ctss.out.collateral_0_.collToLoan_0_.LargeLoanSizer.a5Spread">#REF!</definedName>
    <definedName name="ctss.out.collateral_0_.collToLoan_0_.LargeLoanSizer.a5Terms">#REF!</definedName>
    <definedName name="ctss.out.collateral_0_.collToLoan_0_.LargeLoanSizer.b1Amortization">#REF!</definedName>
    <definedName name="ctss.out.collateral_0_.collToLoan_0_.LargeLoanSizer.b1LoanAmount">#REF!</definedName>
    <definedName name="ctss.out.collateral_0_.collToLoan_0_.LargeLoanSizer.b1LoanId">#REF!</definedName>
    <definedName name="ctss.out.collateral_0_.collToLoan_0_.LargeLoanSizer.b1Spread">#REF!</definedName>
    <definedName name="ctss.out.collateral_0_.collToLoan_0_.LargeLoanSizer.b1Terms">#REF!</definedName>
    <definedName name="ctss.out.collateral_0_.collToLoan_0_.LargeLoanSizer.b2Amortization">#REF!</definedName>
    <definedName name="ctss.out.collateral_0_.collToLoan_0_.LargeLoanSizer.b2LoanAmount">#REF!</definedName>
    <definedName name="ctss.out.collateral_0_.collToLoan_0_.LargeLoanSizer.b2LoanId">#REF!</definedName>
    <definedName name="ctss.out.collateral_0_.collToLoan_0_.LargeLoanSizer.b2Spread">#REF!</definedName>
    <definedName name="ctss.out.collateral_0_.collToLoan_0_.LargeLoanSizer.b2Terms">#REF!</definedName>
    <definedName name="ctss.out.collateral_0_.collToLoan_0_.LargeLoanSizer.b3Amortization">#REF!</definedName>
    <definedName name="ctss.out.collateral_0_.collToLoan_0_.LargeLoanSizer.b3LoanAmount">#REF!</definedName>
    <definedName name="ctss.out.collateral_0_.collToLoan_0_.LargeLoanSizer.b3LoanId">#REF!</definedName>
    <definedName name="ctss.out.collateral_0_.collToLoan_0_.LargeLoanSizer.b3Spread">#REF!</definedName>
    <definedName name="ctss.out.collateral_0_.collToLoan_0_.LargeLoanSizer.b3Terms">#REF!</definedName>
    <definedName name="ctss.out.collateral_0_.collToLoan_0_.LargeLoanSizer.b4Amortization">#REF!</definedName>
    <definedName name="ctss.out.collateral_0_.collToLoan_0_.LargeLoanSizer.b4LoanAmount">#REF!</definedName>
    <definedName name="ctss.out.collateral_0_.collToLoan_0_.LargeLoanSizer.b4LoanId">#REF!</definedName>
    <definedName name="ctss.out.collateral_0_.collToLoan_0_.LargeLoanSizer.b4Spread">#REF!</definedName>
    <definedName name="ctss.out.collateral_0_.collToLoan_0_.LargeLoanSizer.b4Terms">#REF!</definedName>
    <definedName name="ctss.out.collateral_0_.collToLoan_0_.LargeLoanSizer.b5Amortization">#REF!</definedName>
    <definedName name="ctss.out.collateral_0_.collToLoan_0_.LargeLoanSizer.b5LoanAmount">#REF!</definedName>
    <definedName name="ctss.out.collateral_0_.collToLoan_0_.LargeLoanSizer.b5LoanId">#REF!</definedName>
    <definedName name="ctss.out.collateral_0_.collToLoan_0_.LargeLoanSizer.b5Spread">#REF!</definedName>
    <definedName name="ctss.out.collateral_0_.collToLoan_0_.LargeLoanSizer.b5Terms">#REF!</definedName>
    <definedName name="ctss.out.collateral_0_.collToLoan_0_.LargeLoanSizer.loanId">#REF!</definedName>
    <definedName name="ctss.out.collateral_0_.collToLoan_0_.LargeLoanSizer.mezz1Amortization">#REF!</definedName>
    <definedName name="ctss.out.collateral_0_.collToLoan_0_.LargeLoanSizer.mezz1LoanAmount">#REF!</definedName>
    <definedName name="ctss.out.collateral_0_.collToLoan_0_.LargeLoanSizer.mezz1LoanId">#REF!</definedName>
    <definedName name="ctss.out.collateral_0_.collToLoan_0_.LargeLoanSizer.mezz1Spread">#REF!</definedName>
    <definedName name="ctss.out.collateral_0_.collToLoan_0_.LargeLoanSizer.mezz1Terms">#REF!</definedName>
    <definedName name="ctss.out.collateral_0_.collToLoan_0_.LargeLoanSizer.mezz2Amortization">#REF!</definedName>
    <definedName name="ctss.out.collateral_0_.collToLoan_0_.LargeLoanSizer.mezz2LoanAmount">#REF!</definedName>
    <definedName name="ctss.out.collateral_0_.collToLoan_0_.LargeLoanSizer.mezz2LoanId">#REF!</definedName>
    <definedName name="ctss.out.collateral_0_.collToLoan_0_.LargeLoanSizer.mezz2Spread">#REF!</definedName>
    <definedName name="ctss.out.collateral_0_.collToLoan_0_.LargeLoanSizer.mezz2Terms">#REF!</definedName>
    <definedName name="ctss.out.collateral_0_.collToLoan_0_.LargeLoanSizer.mezz3Amortization">#REF!</definedName>
    <definedName name="ctss.out.collateral_0_.collToLoan_0_.LargeLoanSizer.mezz3LoanAmount">#REF!</definedName>
    <definedName name="ctss.out.collateral_0_.collToLoan_0_.LargeLoanSizer.mezz3LoanId">#REF!</definedName>
    <definedName name="ctss.out.collateral_0_.collToLoan_0_.LargeLoanSizer.mezz3Spread">#REF!</definedName>
    <definedName name="ctss.out.collateral_0_.collToLoan_0_.LargeLoanSizer.mezz3Terms">#REF!</definedName>
    <definedName name="ctss.out.collateral_0_.collToLoan_0_.LargeLoanSizer.mezz4Amortization">#REF!</definedName>
    <definedName name="ctss.out.collateral_0_.collToLoan_0_.LargeLoanSizer.mezz4LoanAmount">#REF!</definedName>
    <definedName name="ctss.out.collateral_0_.collToLoan_0_.LargeLoanSizer.mezz4LoanId">#REF!</definedName>
    <definedName name="ctss.out.collateral_0_.collToLoan_0_.LargeLoanSizer.mezz4Spread">#REF!</definedName>
    <definedName name="ctss.out.collateral_0_.collToLoan_0_.LargeLoanSizer.mezz4Terms">#REF!</definedName>
    <definedName name="ctss.out.collateral_0_.collToLoan_0_.LargeLoanSizer.mezz5Amortization">#REF!</definedName>
    <definedName name="ctss.out.collateral_0_.collToLoan_0_.LargeLoanSizer.mezz5LoanAmount">#REF!</definedName>
    <definedName name="ctss.out.collateral_0_.collToLoan_0_.LargeLoanSizer.mezz5LoanId">#REF!</definedName>
    <definedName name="ctss.out.collateral_0_.collToLoan_0_.LargeLoanSizer.mezz5Spread">#REF!</definedName>
    <definedName name="ctss.out.collateral_0_.collToLoan_0_.LargeLoanSizer.mezz5Terms">#REF!</definedName>
    <definedName name="ctss.out.collateral_0_.collToLoan_0_.LoanTerms.cpnFloor">#REF!</definedName>
    <definedName name="ctss.out.collateral_0_.collToLoan_0_.LoanTerms.extAttributes.mltv">#REF!</definedName>
    <definedName name="ctss.out.collateral_0_.collToLoan_0_.LoanTerms.loanConstant">#REF!</definedName>
    <definedName name="ctss.out.collateral_0_.collToLoan_0_.LoanTerms.loanPurposeId">#REF!</definedName>
    <definedName name="ctss.out.collateral_0_.collToLoan_0_.LoanTerms.loanTypeId">#REF!</definedName>
    <definedName name="ctss.out.collateral_0_.underwriting_0_.Collateral.extAttributes.breakevenOccupancy">#REF!</definedName>
    <definedName name="ctss.out.collateral_0_.underwriting_0_.UwAnalysis.allInRate">#REF!</definedName>
    <definedName name="ctss.out.collateral_0_.underwriting_0_.UwAnalysis.amortizationTerm">#REF!</definedName>
    <definedName name="ctss.out.collateral_0_.underwriting_0_.UwAnalysis.dscr">#REF!</definedName>
    <definedName name="ctss.out.collateral_0_.underwriting_0_.UwAnalysis.extAttributes.annualDebtService">#REF!</definedName>
    <definedName name="ctss.out.collateral_0_.underwriting_0_.UwAnalysis.extAttributes.earnoutAmount">#REF!</definedName>
    <definedName name="ctss.out.collateral_0_.underwriting_0_.UwAnalysis.extAttributes.finalStressDscr">#REF!</definedName>
    <definedName name="ctss.out.collateral_0_.underwriting_0_.UwAnalysis.extAttributes.finalStressLtv">#REF!</definedName>
    <definedName name="ctss.out.collateral_0_.underwriting_0_.UwAnalysis.extAttributes.maxAsIsLtv">#REF!</definedName>
    <definedName name="ctss.out.collateral_0_.underwriting_0_.UwAnalysis.extAttributes.maxAsIsStressLtv">#REF!</definedName>
    <definedName name="ctss.out.collateral_0_.underwriting_0_.UwAnalysis.extAttributes.maxStabilizedLtv">#REF!</definedName>
    <definedName name="ctss.out.collateral_0_.underwriting_0_.UwAnalysis.extAttributes.maxStabilizedStressLtv">#REF!</definedName>
    <definedName name="ctss.out.collateral_0_.underwriting_0_.UwAnalysis.extAttributes.minAsIsDscr">#REF!</definedName>
    <definedName name="ctss.out.collateral_0_.underwriting_0_.UwAnalysis.extAttributes.minStabilizedDscr">#REF!</definedName>
    <definedName name="ctss.out.collateral_0_.underwriting_0_.UwAnalysis.extAttributes.uwOccupancyRate">#REF!</definedName>
    <definedName name="ctss.out.collateral_0_.underwriting_0_.UwAnalysis.guidelineDscr">#REF!</definedName>
    <definedName name="ctss.out.collateral_0_.underwriting_0_.UwAnalysis.guidelineLtv">#REF!</definedName>
    <definedName name="ctss.out.collateral_0_.underwriting_0_.UwAnalysis.indexQuoteId">#REF!</definedName>
    <definedName name="ctss.out.collateral_0_.underwriting_0_.UwAnalysis.indexRate">#REF!</definedName>
    <definedName name="ctss.out.collateral_0_.underwriting_0_.UwAnalysis.loanAmount">#REF!</definedName>
    <definedName name="ctss.out.collateral_0_.underwriting_0_.UwAnalysis.loanTerm">#REF!</definedName>
    <definedName name="ctss.out.collateral_0_.underwriting_0_.UwAnalysis.ltv">#REF!</definedName>
    <definedName name="ctss.out.collateral_0_.underwriting_0_.UwAnalysis.managementFee">#REF!</definedName>
    <definedName name="ctss.out.collateral_0_.underwriting_0_.UwAnalysis.netCashFlow">#REF!</definedName>
    <definedName name="ctss.out.collateral_0_.underwriting_0_.UwAnalysis.netOperatingIncome">#REF!</definedName>
    <definedName name="ctss.out.collateral_0_.underwriting_0_.UwAnalysis.requestedLoanAmount">#REF!</definedName>
    <definedName name="ctss.out.collateral_0_.underwriting_0_.UwAnalysis.spread">#REF!</definedName>
    <definedName name="ctss.out.collateral_0_.underwriting_0_.UwAnalysis.uwAssetValue">#REF!</definedName>
    <definedName name="ctss.out.mosaic.opStatement.collateral_0_.underwriting_0_.opStatement_h_">#REF!</definedName>
    <definedName name="ctss.out.mosaic.opStatementUW.collateral_0_.underwriting_0_.opStatement_4_">#REF!</definedName>
    <definedName name="ctss.out.mosaic.opStatementUW.collateral_0_.underwriting_0_.opStatement_5_">#REF!</definedName>
    <definedName name="ctss.out.mosaic.opStmtSetup.collateral_0_.underwriting_0_.opStatement_0_">#REF!</definedName>
    <definedName name="ctss.out.mosaic.opStmtUWSetup.collateral_0_.underwriting_0_.opStatement_4_">#REF!</definedName>
    <definedName name="Cum.Interest">IF(#REF!&lt;&gt;"",#REF!+#REF!,"")</definedName>
    <definedName name="Curocc">#REF!</definedName>
    <definedName name="CurrBps">#REF!</definedName>
    <definedName name="Currency">#REF!</definedName>
    <definedName name="CurrencyList">#REF!</definedName>
    <definedName name="Current">#REF!</definedName>
    <definedName name="Currentmonth">#REF!</definedName>
    <definedName name="CurrentStreetRents">#REF!</definedName>
    <definedName name="CurrentVacantUnits">#REF!</definedName>
    <definedName name="CurrMonth">#REF!</definedName>
    <definedName name="currocc">#REF!</definedName>
    <definedName name="CURROCCCAM">#REF!</definedName>
    <definedName name="CURROCCGLINS">#REF!</definedName>
    <definedName name="CURROCCINS">#REF!</definedName>
    <definedName name="CURROCCPROPINS">#REF!</definedName>
    <definedName name="CURROCCTAX">#REF!</definedName>
    <definedName name="CurveAvailable">#REF!</definedName>
    <definedName name="CUSHION">#REF!</definedName>
    <definedName name="Customize">#REF!</definedName>
    <definedName name="CustomMacro1">#REF!</definedName>
    <definedName name="CustomPayments">#REF!</definedName>
    <definedName name="Cwvu._Current_." hidden="1">#REF!,#REF!,#REF!,#REF!,#REF!,#REF!,#REF!,#REF!,#REF!,#REF!,#REF!,#REF!,#REF!,#REF!,#REF!,#REF!,#REF!,#REF!,#REF!,#REF!,#REF!,#REF!,#REF!,#REF!</definedName>
    <definedName name="Cwvu.ACCOUNT._.DETAIL." hidden="1">#REF!</definedName>
    <definedName name="Cwvu.annual." hidden="1">#REF!,#REF!,#REF!,#REF!,#REF!,#REF!,#REF!,#REF!,#REF!,#REF!,#REF!,#REF!,#REF!,#REF!,#REF!,#REF!,#REF!,#REF!,#REF!,#REF!,#REF!,#REF!,#REF!,#REF!</definedName>
    <definedName name="Cwvu.annual._.hotel." hidden="1">#REF!,#REF!,#REF!,#REF!,#REF!,#REF!,#REF!,#REF!,#REF!,#REF!,#REF!,#REF!,#REF!,#REF!,#REF!,#REF!,#REF!,#REF!,#REF!</definedName>
    <definedName name="Cwvu.bottom._.line." hidden="1">#REF!,#REF!,#REF!,#REF!,#REF!,#REF!,#REF!,#REF!,#REF!,#REF!,#REF!,#REF!,#REF!,#REF!,#REF!,#REF!,#REF!,#REF!,#REF!,#REF!,#REF!,#REF!</definedName>
    <definedName name="Cwvu.cash._.flow." hidden="1">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Cwvu.combo." hidden="1">#REF!,#REF!,#REF!,#REF!,#REF!,#REF!,#REF!,#REF!,#REF!,#REF!,#REF!,#REF!,#REF!,#REF!,#REF!,#REF!,#REF!,#REF!,#REF!,#REF!,#REF!,#REF!</definedName>
    <definedName name="Cwvu.WAT." hidden="1">#REF!</definedName>
    <definedName name="D">#REF!</definedName>
    <definedName name="DACF" hidden="1">{"mgmt forecast",#N/A,FALSE,"Mgmt Forecast";"dcf table",#N/A,FALSE,"Mgmt Forecast";"sensitivity",#N/A,FALSE,"Mgmt Forecast";"table inputs",#N/A,FALSE,"Mgmt Forecast";"calculations",#N/A,FALSE,"Mgmt Forecast"}</definedName>
    <definedName name="DALLAS_COUNTY">#REF!</definedName>
    <definedName name="DAT">#REF!</definedName>
    <definedName name="data">#REF!</definedName>
    <definedName name="DATA_01" hidden="1">#REF!</definedName>
    <definedName name="Data_Retrieve">#REF!</definedName>
    <definedName name="data_table">#REF!</definedName>
    <definedName name="data1">#N/A</definedName>
    <definedName name="data2">#N/A</definedName>
    <definedName name="data3">#N/A</definedName>
    <definedName name="data4">#N/A</definedName>
    <definedName name="data5">#N/A</definedName>
    <definedName name="data6">#N/A</definedName>
    <definedName name="data64">#REF!</definedName>
    <definedName name="data7">#N/A</definedName>
    <definedName name="_xlnm.Database">#N/A</definedName>
    <definedName name="date">#REF!</definedName>
    <definedName name="Date_CommOcc_Start">#REF!</definedName>
    <definedName name="Date_Const_End">#REF!</definedName>
    <definedName name="Date_End_AE">#REF!</definedName>
    <definedName name="Date_End_ConstMgmt">#REF!</definedName>
    <definedName name="Date_End_DevFee">#REF!</definedName>
    <definedName name="Date_End_FFE">#REF!</definedName>
    <definedName name="Date_End_GMP">#REF!</definedName>
    <definedName name="Date_End_HCCont">#REF!</definedName>
    <definedName name="Date_End_Insurance">#REF!</definedName>
    <definedName name="Date_End_LC">#REF!</definedName>
    <definedName name="Date_End_Marketing">#REF!</definedName>
    <definedName name="Date_End_Permits">#REF!</definedName>
    <definedName name="Date_End_ResOcc">#REF!</definedName>
    <definedName name="Date_End_SCCont">#REF!</definedName>
    <definedName name="Date_End_Site">#REF!</definedName>
    <definedName name="Date_End_Tax">#REF!</definedName>
    <definedName name="Date_End_TI">#REF!</definedName>
    <definedName name="Date_PermRefi">#REF!</definedName>
    <definedName name="Date_Sale_Date">#REF!</definedName>
    <definedName name="Date_Start_AE">#REF!</definedName>
    <definedName name="Date_Start_Analysis">#REF!</definedName>
    <definedName name="Date_Start_ConstMgmt">#REF!</definedName>
    <definedName name="Date_Start_DevFee">#REF!</definedName>
    <definedName name="Date_Start_FFE">#REF!</definedName>
    <definedName name="Date_Start_GMP">#REF!</definedName>
    <definedName name="Date_Start_HCCont">#REF!</definedName>
    <definedName name="Date_Start_Insurance">#REF!</definedName>
    <definedName name="Date_Start_LC">#REF!</definedName>
    <definedName name="Date_Start_Marketing">#REF!</definedName>
    <definedName name="Date_Start_Permits">#REF!</definedName>
    <definedName name="Date_Start_ResOcc">#REF!</definedName>
    <definedName name="Date_Start_SCCont">#REF!</definedName>
    <definedName name="Date_Start_Site">#REF!</definedName>
    <definedName name="Date_Start_Tax">#REF!</definedName>
    <definedName name="Date_Start_TI">#REF!</definedName>
    <definedName name="DATE_VALUE">#REF!</definedName>
    <definedName name="Date1">#REF!</definedName>
    <definedName name="date2">#REF!</definedName>
    <definedName name="DatePeriods">#REF!</definedName>
    <definedName name="dates">#N/A</definedName>
    <definedName name="DayCountConventions">#REF!</definedName>
    <definedName name="daysinyear">#REF!</definedName>
    <definedName name="DBSUM">#N/A</definedName>
    <definedName name="DCF_Value">#REF!</definedName>
    <definedName name="DD_93ADMIN">#REF!</definedName>
    <definedName name="DD_93CAM">#REF!</definedName>
    <definedName name="DD_93CAPITAL">#REF!</definedName>
    <definedName name="DD_93GPR">#REF!</definedName>
    <definedName name="DD_93GROUND">#REF!</definedName>
    <definedName name="DD_93INC1">#REF!</definedName>
    <definedName name="DD_93INC2">#REF!</definedName>
    <definedName name="DD_93INSUR">#REF!</definedName>
    <definedName name="DD_93LC">#REF!</definedName>
    <definedName name="DD_93LEASING">#REF!</definedName>
    <definedName name="DD_93MAINT">#REF!</definedName>
    <definedName name="DD_93MGT">#REF!</definedName>
    <definedName name="DD_93OTHER">#REF!</definedName>
    <definedName name="DD_93REIMB">#REF!</definedName>
    <definedName name="DD_93SAL">#REF!</definedName>
    <definedName name="DD_93TAX">#REF!</definedName>
    <definedName name="DD_93TI">#REF!</definedName>
    <definedName name="DD_93UTIL">#REF!</definedName>
    <definedName name="DD_94ADMIN">#REF!</definedName>
    <definedName name="DD_94CAM">#REF!</definedName>
    <definedName name="DD_94CRLOSS">#REF!</definedName>
    <definedName name="DD_94DEDUCT">#REF!</definedName>
    <definedName name="DD_94INC1">#REF!</definedName>
    <definedName name="DD_94INC2">#REF!</definedName>
    <definedName name="DD_94INSUR">#REF!</definedName>
    <definedName name="DD_94LC">#REF!</definedName>
    <definedName name="DD_94MAINT">#REF!</definedName>
    <definedName name="DD_94OTHER">#REF!</definedName>
    <definedName name="DD_94REIMB">#REF!</definedName>
    <definedName name="DD_94SAL">#REF!</definedName>
    <definedName name="DD_94TAX">#REF!</definedName>
    <definedName name="DD_94TI">#REF!</definedName>
    <definedName name="DD_94UTIL">#REF!</definedName>
    <definedName name="DD_94VACANCY">#REF!</definedName>
    <definedName name="DD_95ADMIN">#REF!</definedName>
    <definedName name="DD_95CAM">#REF!</definedName>
    <definedName name="DD_95CRLOSS">#REF!</definedName>
    <definedName name="DD_95DEDUCT">#REF!</definedName>
    <definedName name="DD_95INC1">#REF!</definedName>
    <definedName name="DD_95INC2">#REF!</definedName>
    <definedName name="DD_95INSUR">#REF!</definedName>
    <definedName name="DD_95LC">#REF!</definedName>
    <definedName name="DD_95MAINT">#REF!</definedName>
    <definedName name="DD_95OTHER">#REF!</definedName>
    <definedName name="DD_95REIMB">#REF!</definedName>
    <definedName name="DD_95SAL">#REF!</definedName>
    <definedName name="DD_95TAX">#REF!</definedName>
    <definedName name="DD_95TI">#REF!</definedName>
    <definedName name="DD_95UTIL">#REF!</definedName>
    <definedName name="DD_95VACANCY">#REF!</definedName>
    <definedName name="DD_96ADMIN">#REF!</definedName>
    <definedName name="DD_96CAM">#REF!</definedName>
    <definedName name="DD_96CAPITAL">#REF!</definedName>
    <definedName name="DD_96CRLOSS">#REF!</definedName>
    <definedName name="DD_96DEDUCT">#REF!</definedName>
    <definedName name="DD_96GPR">#REF!</definedName>
    <definedName name="DD_96GROUND">#REF!</definedName>
    <definedName name="DD_96INC1">#REF!</definedName>
    <definedName name="DD_96INC2">#REF!</definedName>
    <definedName name="DD_96INSUR">#REF!</definedName>
    <definedName name="DD_96LC">#REF!</definedName>
    <definedName name="DD_96LEASING">#REF!</definedName>
    <definedName name="DD_96MAINT">#REF!</definedName>
    <definedName name="DD_96MGT">#REF!</definedName>
    <definedName name="DD_96OTHER">#REF!</definedName>
    <definedName name="DD_96REIMB">#REF!</definedName>
    <definedName name="DD_96SAL">#REF!</definedName>
    <definedName name="DD_96TAX">#REF!</definedName>
    <definedName name="DD_96TI">#REF!</definedName>
    <definedName name="DD_96UTIL">#REF!</definedName>
    <definedName name="DD_96VACANCY">#REF!</definedName>
    <definedName name="DD_CYADMIN">#REF!</definedName>
    <definedName name="DD_CYCAM">#REF!</definedName>
    <definedName name="DD_CYCAPITAL">#REF!</definedName>
    <definedName name="DD_CYCRLOSS">#REF!</definedName>
    <definedName name="DD_CYDEDUCT">#REF!</definedName>
    <definedName name="DD_CYGPR">#REF!</definedName>
    <definedName name="DD_CYGROUND">#REF!</definedName>
    <definedName name="DD_CYINC1">#REF!</definedName>
    <definedName name="DD_CYINC2">#REF!</definedName>
    <definedName name="DD_CYINSUR">#REF!</definedName>
    <definedName name="DD_CYLC">#REF!</definedName>
    <definedName name="DD_CYLEASING">#REF!</definedName>
    <definedName name="DD_CYMAINT">#REF!</definedName>
    <definedName name="DD_CYMGT">#REF!</definedName>
    <definedName name="DD_CYOTHER">#REF!</definedName>
    <definedName name="DD_CYREIMB">#REF!</definedName>
    <definedName name="DD_CYSAL">#REF!</definedName>
    <definedName name="DD_CYTAX">#REF!</definedName>
    <definedName name="DD_CYTI">#REF!</definedName>
    <definedName name="DD_CYUTIL">#REF!</definedName>
    <definedName name="DD_CYVACANCY">#REF!</definedName>
    <definedName name="DDC_Contact">#REF!</definedName>
    <definedName name="DDC_Name">#REF!</definedName>
    <definedName name="DDC_Phone">#REF!</definedName>
    <definedName name="DDC_Site_Visit_Date">#REF!</definedName>
    <definedName name="dddddd" hidden="1">{#N/A,#N/A,FALSE,"CAPREIT"}</definedName>
    <definedName name="dddddd2" hidden="1">{#N/A,#N/A,FALSE,"CAPREIT"}</definedName>
    <definedName name="ddddddd" hidden="1">{#N/A,#N/A,FALSE,"CAPREIT"}</definedName>
    <definedName name="ddddddd2" hidden="1">{#N/A,#N/A,FALSE,"CAPREIT"}</definedName>
    <definedName name="deal_no">#REF!</definedName>
    <definedName name="dealname">#REF!</definedName>
    <definedName name="Debt">#REF!</definedName>
    <definedName name="Debt_Calc1_Amort" hidden="1">#REF!</definedName>
    <definedName name="Debt_Calc1_CapExEnd" hidden="1">#REF!</definedName>
    <definedName name="Debt_Calc1_Draw" hidden="1">#REF!</definedName>
    <definedName name="Debt_Calc1_End" hidden="1">#REF!</definedName>
    <definedName name="Debt_Calc1_InitialBalance" hidden="1">#REF!</definedName>
    <definedName name="Debt_Calc1_IO" hidden="1">#REF!</definedName>
    <definedName name="Debt_Calc1_IsPrepaid" hidden="1">#REF!</definedName>
    <definedName name="Debt_Calc1_IsRefied" hidden="1">#REF!</definedName>
    <definedName name="Debt_Calc1_Maturity" hidden="1">#REF!</definedName>
    <definedName name="Debt_Calc1_Start" hidden="1">#REF!</definedName>
    <definedName name="Debt_Calc1_Term" hidden="1">#REF!</definedName>
    <definedName name="Debt_Calc1_Year" hidden="1">#REF!</definedName>
    <definedName name="Debt_Calc2_Amort" hidden="1">#REF!</definedName>
    <definedName name="Debt_Calc2_CapExEnd" hidden="1">#REF!</definedName>
    <definedName name="Debt_Calc2_Draw" hidden="1">#REF!</definedName>
    <definedName name="Debt_Calc2_End" hidden="1">#REF!</definedName>
    <definedName name="Debt_Calc2_InitialBalance" hidden="1">#REF!</definedName>
    <definedName name="Debt_Calc2_IO" hidden="1">#REF!</definedName>
    <definedName name="Debt_Calc2_IsPrepaid" hidden="1">#REF!</definedName>
    <definedName name="Debt_Calc2_IsRefied" hidden="1">#REF!</definedName>
    <definedName name="Debt_Calc2_Maturity" hidden="1">#REF!</definedName>
    <definedName name="Debt_Calc2_Start" hidden="1">#REF!</definedName>
    <definedName name="Debt_Calc2_Term" hidden="1">#REF!</definedName>
    <definedName name="Debt_Calc2_Year" hidden="1">#REF!</definedName>
    <definedName name="Debt_Calc3_Amort" hidden="1">#REF!</definedName>
    <definedName name="Debt_Calc3_CapExEnd" hidden="1">#REF!</definedName>
    <definedName name="Debt_Calc3_Draw" hidden="1">#REF!</definedName>
    <definedName name="Debt_Calc3_End" hidden="1">#REF!</definedName>
    <definedName name="Debt_Calc3_InitialBalance" hidden="1">#REF!</definedName>
    <definedName name="Debt_Calc3_IO" hidden="1">#REF!</definedName>
    <definedName name="Debt_Calc3_IsPrepaid" hidden="1">#REF!</definedName>
    <definedName name="Debt_Calc3_Maturity" hidden="1">#REF!</definedName>
    <definedName name="Debt_Calc3_Refi1" hidden="1">#REF!</definedName>
    <definedName name="Debt_Calc3_Refi2" hidden="1">#REF!</definedName>
    <definedName name="Debt_Calc3_Start" hidden="1">#REF!</definedName>
    <definedName name="Debt_Calc3_Term" hidden="1">#REF!</definedName>
    <definedName name="Debt_CalcType2" hidden="1">#REF!</definedName>
    <definedName name="Debt_CalcType3" hidden="1">#REF!</definedName>
    <definedName name="Debt_CalcType4" hidden="1">#REF!</definedName>
    <definedName name="Debt_CalcType5" hidden="1">#REF!</definedName>
    <definedName name="Debt_CalcTypes" hidden="1">#REF!</definedName>
    <definedName name="Debt_FundType1" hidden="1">#REF!</definedName>
    <definedName name="Debt_FundType2" hidden="1">#REF!</definedName>
    <definedName name="Debt_FundType3" hidden="1">#REF!</definedName>
    <definedName name="Debt_FundTypes" hidden="1">#REF!</definedName>
    <definedName name="DEBT_InitialBalance" hidden="1">#REF!</definedName>
    <definedName name="Debt_InitialBOPBalance" hidden="1">#REF!</definedName>
    <definedName name="DEBT_InitialCapital" hidden="1">#REF!</definedName>
    <definedName name="DEBT_InitialFunding" hidden="1">#REF!</definedName>
    <definedName name="DEBT_InitialInterest" hidden="1">#REF!</definedName>
    <definedName name="Debt_InitialLoanFee" hidden="1">#REF!</definedName>
    <definedName name="DEBT_InitialMaturity" hidden="1">#REF!</definedName>
    <definedName name="Debt_InitialPrepaymentFee" hidden="1">#REF!</definedName>
    <definedName name="DEBT_InitialPrincipal" hidden="1">#REF!</definedName>
    <definedName name="DEBT_InitialRefi" hidden="1">#REF!</definedName>
    <definedName name="Debt_InitialSeniorBalance" hidden="1">#REF!</definedName>
    <definedName name="Debt_InitialSeniorBOPBalance" hidden="1">#REF!</definedName>
    <definedName name="Debt_InitialSeniorInterest" hidden="1">#REF!</definedName>
    <definedName name="Debt_InitialSeniorPrincipal" hidden="1">#REF!</definedName>
    <definedName name="Debt_Label1_Amort" hidden="1">#REF!</definedName>
    <definedName name="Debt_Label1_Amount" hidden="1">#REF!</definedName>
    <definedName name="Debt_Label1_InitialRate" hidden="1">#REF!</definedName>
    <definedName name="Debt_Label1_IO" hidden="1">#REF!</definedName>
    <definedName name="Debt_Label1_Maturity" hidden="1">#REF!</definedName>
    <definedName name="Debt_Label1_Percent" hidden="1">#REF!</definedName>
    <definedName name="Debt_Label1_Term" hidden="1">#REF!</definedName>
    <definedName name="Debt_Label1_Value" hidden="1">#REF!</definedName>
    <definedName name="Debt_Label2_Amort" hidden="1">#REF!</definedName>
    <definedName name="Debt_Label2_Amount" hidden="1">#REF!</definedName>
    <definedName name="Debt_Label2_InitialRate" hidden="1">#REF!</definedName>
    <definedName name="Debt_Label2_IO" hidden="1">#REF!</definedName>
    <definedName name="Debt_Label2_Maturity" hidden="1">#REF!</definedName>
    <definedName name="Debt_Label2_Percent" hidden="1">#REF!</definedName>
    <definedName name="Debt_Label2_Term" hidden="1">#REF!</definedName>
    <definedName name="Debt_Label2_Value" hidden="1">#REF!</definedName>
    <definedName name="Debt_Label3_Amort" hidden="1">#REF!</definedName>
    <definedName name="Debt_Label3_Amount" hidden="1">#REF!</definedName>
    <definedName name="Debt_Label3_InitialRate" hidden="1">#REF!</definedName>
    <definedName name="Debt_Label3_IO" hidden="1">#REF!</definedName>
    <definedName name="Debt_Label3_Maturity" hidden="1">#REF!</definedName>
    <definedName name="Debt_Label3_Percent" hidden="1">#REF!</definedName>
    <definedName name="Debt_Label3_Term" hidden="1">#REF!</definedName>
    <definedName name="Debt_Label3_Value" hidden="1">#REF!</definedName>
    <definedName name="Debt_LoanType1" hidden="1">#REF!</definedName>
    <definedName name="Debt_LoanType2" hidden="1">#REF!</definedName>
    <definedName name="Debt_LoanType4" hidden="1">#REF!</definedName>
    <definedName name="Debt_LoanTypes" hidden="1">#REF!</definedName>
    <definedName name="DEBT_PaymentType1" hidden="1">#REF!</definedName>
    <definedName name="DEBT_PaymentType5" hidden="1">#REF!</definedName>
    <definedName name="DEBT_PaymentTypes" hidden="1">#REF!</definedName>
    <definedName name="DEBT_PERCENT">#REF!</definedName>
    <definedName name="Debt_PurchaseRange" hidden="1">0</definedName>
    <definedName name="Debt_RefiTypes" hidden="1">#REF!</definedName>
    <definedName name="Debt_Show1_Amort" hidden="1">#REF!</definedName>
    <definedName name="Debt_Show1_Amount" hidden="1">#REF!</definedName>
    <definedName name="Debt_Show1_CapEx" hidden="1">#REF!</definedName>
    <definedName name="Debt_Show1_FundDate" hidden="1">#REF!</definedName>
    <definedName name="Debt_Show1_FundMethod" hidden="1">#REF!</definedName>
    <definedName name="Debt_Show1_FundPercent" hidden="1">#REF!</definedName>
    <definedName name="Debt_Show1_FundPoints" hidden="1">#REF!</definedName>
    <definedName name="Debt_Show1_Loan" hidden="1">#REF!</definedName>
    <definedName name="Debt_Show1_Rate" hidden="1">#REF!</definedName>
    <definedName name="Debt_Show1_Spread" hidden="1">#REF!</definedName>
    <definedName name="Debt_Show2_Amort" hidden="1">#REF!</definedName>
    <definedName name="Debt_Show2_Amount" hidden="1">#REF!</definedName>
    <definedName name="Debt_Show2_CapEx" hidden="1">#REF!</definedName>
    <definedName name="Debt_Show2_FundDate" hidden="1">#REF!</definedName>
    <definedName name="Debt_Show2_FundMethod" hidden="1">#REF!</definedName>
    <definedName name="Debt_Show2_FundPercent" hidden="1">#REF!</definedName>
    <definedName name="Debt_Show2_FundPoints" hidden="1">#REF!</definedName>
    <definedName name="Debt_Show2_Loan" hidden="1">#REF!</definedName>
    <definedName name="Debt_Show2_Rate" hidden="1">#REF!</definedName>
    <definedName name="Debt_Show2_Spread" hidden="1">#REF!</definedName>
    <definedName name="Debt_Show3_Amort" hidden="1">#REF!</definedName>
    <definedName name="Debt_Show3_Amount" hidden="1">#REF!</definedName>
    <definedName name="Debt_Show3_CapEx" hidden="1">#REF!</definedName>
    <definedName name="Debt_Show3_FundDate" hidden="1">#REF!</definedName>
    <definedName name="Debt_Show3_FundMethod" hidden="1">#REF!</definedName>
    <definedName name="Debt_Show3_FundPercent" hidden="1">#REF!</definedName>
    <definedName name="Debt_Show3_FundPoints" hidden="1">#REF!</definedName>
    <definedName name="Debt_Show3_Loan" hidden="1">#REF!</definedName>
    <definedName name="Debt_Show3_Rate" hidden="1">#REF!</definedName>
    <definedName name="Debt_Show3_Refi" hidden="1">#REF!</definedName>
    <definedName name="Debt_Show3_Refi1" hidden="1">#REF!</definedName>
    <definedName name="Debt_Show3_Refi2" hidden="1">#REF!</definedName>
    <definedName name="Debt_Show3_Spread" hidden="1">#REF!</definedName>
    <definedName name="debt_spread_base">#REF!</definedName>
    <definedName name="debt_spread_scen1">#REF!</definedName>
    <definedName name="debt_spread_scen2">#REF!</definedName>
    <definedName name="debt_spread_scen3">#REF!</definedName>
    <definedName name="debt_spread_scen4">#REF!</definedName>
    <definedName name="debt_spread_scen5">#REF!</definedName>
    <definedName name="Debt_SubordinationType2" hidden="1">#REF!</definedName>
    <definedName name="Debt_SubordinationTypes" hidden="1">#REF!</definedName>
    <definedName name="Debt_Yes" hidden="1">#REF!</definedName>
    <definedName name="Debt_YesNo" hidden="1">#REF!</definedName>
    <definedName name="debt2">#N/A</definedName>
    <definedName name="debt3">#REF!</definedName>
    <definedName name="debtperc">#REF!</definedName>
    <definedName name="DebtService">#REF!</definedName>
    <definedName name="DEC">#REF!</definedName>
    <definedName name="decinc">#REF!</definedName>
    <definedName name="decis">#REF!</definedName>
    <definedName name="DECTRASH">#REF!</definedName>
    <definedName name="def_maint">#REF!</definedName>
    <definedName name="Default_TBL">#REF!</definedName>
    <definedName name="DefExpenseGrowthRate">#REF!</definedName>
    <definedName name="deffee">#REF!</definedName>
    <definedName name="defunits">#REF!</definedName>
    <definedName name="del" hidden="1">{"Page1",#N/A,FALSE,"7979";"Page2",#N/A,FALSE,"7979";"Page3",#N/A,FALSE,"7979"}</definedName>
    <definedName name="DelCFYr">#REF!</definedName>
    <definedName name="DeleteBonus">#REF!</definedName>
    <definedName name="DeleteMe">"Button 2"</definedName>
    <definedName name="DelExpYr">#REF!</definedName>
    <definedName name="DelinqPct">#REF!</definedName>
    <definedName name="DelLevClear">#REF!,#REF!,#REF!,#REF!,#REF!,#REF!,#REF!</definedName>
    <definedName name="delLevClearExec">#REF!,#REF!</definedName>
    <definedName name="DelLevYr">#REF!</definedName>
    <definedName name="DelNCF">#REF!</definedName>
    <definedName name="DelOccupYr">#REF!</definedName>
    <definedName name="DelRtnLev">#REF!</definedName>
    <definedName name="depr">#REF!</definedName>
    <definedName name="Dept_Expenses">#REF!</definedName>
    <definedName name="DESCRIPTION">#REF!</definedName>
    <definedName name="DesiredYield">#REF!</definedName>
    <definedName name="Detail">#REF!</definedName>
    <definedName name="Detail_Table">#REF!</definedName>
    <definedName name="DEV_FEE">#REF!</definedName>
    <definedName name="DevCost">#REF!</definedName>
    <definedName name="Development_Costs">#REF!</definedName>
    <definedName name="Development_Team">#REF!</definedName>
    <definedName name="DEVFEE">#REF!</definedName>
    <definedName name="devsummprint">#REF!,#REF!+#REF!,#REF!,#REF!</definedName>
    <definedName name="devt_fees96">#N/A</definedName>
    <definedName name="devt_fees97">#N/A</definedName>
    <definedName name="devt_fees98">#N/A</definedName>
    <definedName name="devt_fees99">#N/A</definedName>
    <definedName name="DevTitle">#REF!</definedName>
    <definedName name="dfh">#REF!</definedName>
    <definedName name="dflt1">#N/A</definedName>
    <definedName name="DIRECT">#REF!</definedName>
    <definedName name="DISBURSE">#REF!</definedName>
    <definedName name="DISC">#REF!</definedName>
    <definedName name="DISCLAIMER">#REF!</definedName>
    <definedName name="Discount_Rate">#REF!</definedName>
    <definedName name="DiscRate">#REF!</definedName>
    <definedName name="DISD">#REF!</definedName>
    <definedName name="DISP_DATE">#REF!</definedName>
    <definedName name="DISP_FEE">#REF!</definedName>
    <definedName name="display_area_2">#N/A</definedName>
    <definedName name="display_area_3">#N/A</definedName>
    <definedName name="display_area_4">#N/A</definedName>
    <definedName name="Display_Mode_Indicator">#REF!</definedName>
    <definedName name="DisplayColumns">#REF!</definedName>
    <definedName name="DisplayDNU">#REF!</definedName>
    <definedName name="DisplayDoNotUse">#REF!</definedName>
    <definedName name="DisplayGoodwill">#REF!</definedName>
    <definedName name="DisplayWholeRange">#REF!</definedName>
    <definedName name="dispofee">#REF!</definedName>
    <definedName name="DISPOSITION">#REF!</definedName>
    <definedName name="DispValuationType" hidden="1">#REF!</definedName>
    <definedName name="DIVIDENDS">#REF!</definedName>
    <definedName name="Division">#REF!</definedName>
    <definedName name="Dlg_TitleOfProject">"Edit Box 4"</definedName>
    <definedName name="Dominion_Capital">#N/A</definedName>
    <definedName name="DOREPORT">#REF!</definedName>
    <definedName name="down">#REF!</definedName>
    <definedName name="down04">#REF!</definedName>
    <definedName name="DOWNLOAD">#REF!</definedName>
    <definedName name="download1">#REF!</definedName>
    <definedName name="download3">#REF!</definedName>
    <definedName name="Downtime">#REF!</definedName>
    <definedName name="Draft">#REF!</definedName>
    <definedName name="DrapeCleanPerUnit">#REF!</definedName>
    <definedName name="DRM_EID">46</definedName>
    <definedName name="DRM_EntityName">"Meadowbrook Tower/Mid-Cities"</definedName>
    <definedName name="Drop_down_list_Capital_Funded_method_for_Inputs">#REF!</definedName>
    <definedName name="Drop_down_list_Cash_Flow_Shortfalls">#REF!</definedName>
    <definedName name="Drop_down_list_Data_Input_for_Monthly_CF">#REF!</definedName>
    <definedName name="Drop_down_list_Equity_Compounding_Method_for_Inputs">#REF!</definedName>
    <definedName name="Drop_down_list_Equity_Debt_Contribution_Method">#REF!</definedName>
    <definedName name="Drop_down_list_Pay_down_of_Debt_or_Equity_with_Positive_Cash_Flow">#REF!</definedName>
    <definedName name="Drop_down_list_Yes_or_No">#REF!</definedName>
    <definedName name="DSC">#REF!</definedName>
    <definedName name="DSCR">#REF!</definedName>
    <definedName name="DSCR_CashReserve_ConstructionLoan">#REF!</definedName>
    <definedName name="dscscore">#REF!</definedName>
    <definedName name="dscwgt">#REF!</definedName>
    <definedName name="dscwgtscore">#REF!</definedName>
    <definedName name="DSP">#N/A</definedName>
    <definedName name="DSPIMO">#N/A</definedName>
    <definedName name="DSPMO">#N/A</definedName>
    <definedName name="DSPTLMO">#N/A</definedName>
    <definedName name="DT_AVG">#REF!</definedName>
    <definedName name="DT_AVGFULL">#REF!</definedName>
    <definedName name="DTS">#N/A</definedName>
    <definedName name="duedilifee">#REF!</definedName>
    <definedName name="DvpFund_Pref_Return">#REF!</definedName>
    <definedName name="DvpFund_Pro_Rata">#REF!</definedName>
    <definedName name="E" hidden="1">{"mgmt forecast",#N/A,FALSE,"Mgmt Forecast";"dcf table",#N/A,FALSE,"Mgmt Forecast";"sensitivity",#N/A,FALSE,"Mgmt Forecast";"table inputs",#N/A,FALSE,"Mgmt Forecast";"calculations",#N/A,FALSE,"Mgmt Forecast"}</definedName>
    <definedName name="EconExpYr3Toggle">#REF!</definedName>
    <definedName name="EconomicCaps">#REF!</definedName>
    <definedName name="EconomicCollars">#REF!</definedName>
    <definedName name="EconomicExpToggle">#REF!</definedName>
    <definedName name="EconomicRents">#REF!</definedName>
    <definedName name="EconomicSwaps">#REF!</definedName>
    <definedName name="EconomicUpdate">#REF!</definedName>
    <definedName name="EconRubsPerUnit">#REF!</definedName>
    <definedName name="EconVacancyRate">#REF!</definedName>
    <definedName name="ee" hidden="1">{"Assump",#N/A,TRUE,"Proforma";"first",#N/A,TRUE,"Proforma";"second",#N/A,TRUE,"Proforma";"lease1",#N/A,TRUE,"Proforma";"lease2",#N/A,TRUE,"Proforma"}</definedName>
    <definedName name="eee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EGI">#REF!</definedName>
    <definedName name="Elc_R1998TotRepairMaintExpPSF">#REF!</definedName>
    <definedName name="Elc_R1999TotRepairMaintExpPSF">#REF!</definedName>
    <definedName name="Elc_RDiffBtwnYrTotRepairMaintExpPSF">#REF!</definedName>
    <definedName name="ELECTACT">#REF!</definedName>
    <definedName name="ELGARCON">#REF!</definedName>
    <definedName name="ELGARM">#REF!</definedName>
    <definedName name="ELOFFCON">#REF!</definedName>
    <definedName name="ELOFFM">#REF!</definedName>
    <definedName name="ELRESCON">#REF!</definedName>
    <definedName name="ELRESM">#REF!</definedName>
    <definedName name="ELRETCON">#REF!</definedName>
    <definedName name="ELRETM">#REF!</definedName>
    <definedName name="Employee_Contrib">#REF!</definedName>
    <definedName name="EmployeeBonus">#REF!,#REF!</definedName>
    <definedName name="emptype">#REF!</definedName>
    <definedName name="EmpUnits">#REF!</definedName>
    <definedName name="End_Date">#REF!</definedName>
    <definedName name="enddate">#REF!</definedName>
    <definedName name="Ending.Balance">IF(#REF!&lt;&gt;"",#REF!-#REF!,"")</definedName>
    <definedName name="EndYear">#REF!</definedName>
    <definedName name="EndYear1">#REF!</definedName>
    <definedName name="eng_date">#REF!</definedName>
    <definedName name="Engineering_Eng_Ongoing_Years">#REF!</definedName>
    <definedName name="Entered_payment">#REF!</definedName>
    <definedName name="Entered_Pmt">#N/A</definedName>
    <definedName name="EnterPayCode">#REF!</definedName>
    <definedName name="env_phase1_date">#REF!</definedName>
    <definedName name="env_phase2_date">#REF!</definedName>
    <definedName name="EOEAnnualDiffBtwnCostAndBase">#REF!</definedName>
    <definedName name="EOEAprDiffBtwnCostAndBase">#REF!</definedName>
    <definedName name="EOEAugDiffBtwnCostAndBase">#REF!</definedName>
    <definedName name="EOEDecDiffBtwnCostAndBase">#REF!</definedName>
    <definedName name="EOEFebDiffBtwnCostAndBase">#REF!</definedName>
    <definedName name="EOEJanDiffBtwnCostAndBase">#REF!</definedName>
    <definedName name="EOEJulDiffBtwnCostAndBase">#REF!</definedName>
    <definedName name="EOEJunDiffBtwnCostAndBase">#REF!</definedName>
    <definedName name="EOEMarDiffBtwnCostAndBase">#REF!</definedName>
    <definedName name="EOEMayDiffBtwnCostAndBase">#REF!</definedName>
    <definedName name="EOENovDiffBtwnCostAndBase">#REF!</definedName>
    <definedName name="EOEOctDiffBtwnCostAndBase">#REF!</definedName>
    <definedName name="EOERecExp">#REF!</definedName>
    <definedName name="EOERecExpColK">#REF!</definedName>
    <definedName name="EOESepDiffBtwnCostAndBase">#REF!</definedName>
    <definedName name="EOESqFt">#REF!</definedName>
    <definedName name="EOETotAnnualDiffBtwnCostAndBase">#REF!</definedName>
    <definedName name="EOETotAprDiffBtwnCostAndBase">#REF!</definedName>
    <definedName name="EOETotAugDiffBtwnCostAndBase">#REF!</definedName>
    <definedName name="EOETotDecDiffBtwnCostAndBase">#REF!</definedName>
    <definedName name="EOETotFebDiffBtwnCostAndBase">#REF!</definedName>
    <definedName name="EOETotJanDiffBtwnCostAndBase">#REF!</definedName>
    <definedName name="EOETotJulDiffBtwnCostAndBase">#REF!</definedName>
    <definedName name="EOETotJunDiffBtwnCostAndBase">#REF!</definedName>
    <definedName name="EOETotMarDiffBtwnCostAndBase">#REF!</definedName>
    <definedName name="EOETotMayDiffBtwnCostAndBase">#REF!</definedName>
    <definedName name="EOETotNovDiffBtwnCostAndBase">#REF!</definedName>
    <definedName name="EOETotOctDiffBtwnCostAndBase">#REF!</definedName>
    <definedName name="EOETotRecExp">#REF!</definedName>
    <definedName name="EOETotSepDiffBtwnCostAndBase">#REF!</definedName>
    <definedName name="EOETotSqFt">#REF!</definedName>
    <definedName name="EOETotType1RecExp">#REF!</definedName>
    <definedName name="EOETyp2RecExp">#REF!</definedName>
    <definedName name="EOETyp3RecExp">#REF!</definedName>
    <definedName name="EOEType1RecExp">#REF!</definedName>
    <definedName name="eq_inv_base">#REF!</definedName>
    <definedName name="eq_inv_scen1">#REF!</definedName>
    <definedName name="eq_inv_scen2">#REF!</definedName>
    <definedName name="eq_inv_scen3">#REF!</definedName>
    <definedName name="eq_inv_scen4">#REF!</definedName>
    <definedName name="eq_inv_scen5">#REF!</definedName>
    <definedName name="equit">#REF!</definedName>
    <definedName name="Equity">#REF!</definedName>
    <definedName name="Equity_AssetFee">#REF!</definedName>
    <definedName name="Equity_B">#REF!</definedName>
    <definedName name="Equity_ClosingDate">#REF!</definedName>
    <definedName name="Equity_GP_Amount">#REF!</definedName>
    <definedName name="Equity_GP_Share">#REF!</definedName>
    <definedName name="Equity_Initial">#REF!</definedName>
    <definedName name="Equity_initial_capital_Investor">#REF!</definedName>
    <definedName name="Equity_initial_capital_TPG">#REF!</definedName>
    <definedName name="Equity_LP_Amount">#REF!</definedName>
    <definedName name="Equity_LP_Share">#REF!</definedName>
    <definedName name="Equity_MgmtFee">#REF!</definedName>
    <definedName name="Equity_NetFunds">#REF!</definedName>
    <definedName name="EQUITY_PERCENT">#REF!</definedName>
    <definedName name="Equity_Total">#REF!</definedName>
    <definedName name="equity2">#N/A</definedName>
    <definedName name="equity96">#N/A</definedName>
    <definedName name="equity9697">#N/A</definedName>
    <definedName name="equity97">#N/A</definedName>
    <definedName name="equity971Q">#N/A</definedName>
    <definedName name="equity972Q">#N/A</definedName>
    <definedName name="equity9798">#N/A</definedName>
    <definedName name="equity98">#N/A</definedName>
    <definedName name="equity9899">#N/A</definedName>
    <definedName name="equity99">#N/A</definedName>
    <definedName name="erasdf" hidden="1">{"Assump",#N/A,TRUE,"Proforma";"first",#N/A,TRUE,"Proforma";"second",#N/A,TRUE,"Proforma";"lease1",#N/A,TRUE,"Proforma";"lease2",#N/A,TRUE,"Proforma"}</definedName>
    <definedName name="ErrorCap">#REF!</definedName>
    <definedName name="erte" hidden="1">{"page1",#N/A,FALSE,"CTT_CLO";"page2",#N/A,FALSE,"CTT_CLO";"schedules",#N/A,FALSE,"CTT_CLO";"scheduleA",#N/A,FALSE,"CTT_CLO";"scheduleBC",#N/A,FALSE,"CTT_CLO";"scheduleDE",#N/A,FALSE,"CTT_CLO";"scheduleF",#N/A,FALSE,"CTT_CLO"}</definedName>
    <definedName name="esAnchorGLA">#N/A</definedName>
    <definedName name="EsbApplication1">#REF!</definedName>
    <definedName name="EsbDatabase1">#REF!</definedName>
    <definedName name="EsbDetail1">#REF!</definedName>
    <definedName name="EsbHeader1">#REF!</definedName>
    <definedName name="EsbRetrieve1">#REF!</definedName>
    <definedName name="ESC">#REF!</definedName>
    <definedName name="esClosingCosts">#REF!</definedName>
    <definedName name="esCollectionLoss">#REF!</definedName>
    <definedName name="esDiscount">#REF!</definedName>
    <definedName name="esExitCap">#REF!</definedName>
    <definedName name="esFloors">#REF!</definedName>
    <definedName name="esInlineCount">#N/A</definedName>
    <definedName name="esInlineGLA">#N/A</definedName>
    <definedName name="esLandAcres">#REF!</definedName>
    <definedName name="esLandSF">#REF!</definedName>
    <definedName name="esLevHeader">#REF!,#REF!</definedName>
    <definedName name="esParkingSpaces">#REF!</definedName>
    <definedName name="esPropDesc">#REF!</definedName>
    <definedName name="esPropDescEnd">#REF!</definedName>
    <definedName name="esPropType">#REF!</definedName>
    <definedName name="esPurchasePrice">#REF!</definedName>
    <definedName name="esPurchasePricePSF">#REF!</definedName>
    <definedName name="esReplacementCost">#REF!</definedName>
    <definedName name="esReserves">#REF!</definedName>
    <definedName name="esSellingExp">#REF!</definedName>
    <definedName name="esTaxRate">#REF!</definedName>
    <definedName name="ESTCAM">#REF!</definedName>
    <definedName name="ESTFEE">#REF!</definedName>
    <definedName name="ESTGLINS">#REF!</definedName>
    <definedName name="Estimate" hidden="1">{#N/A,#N/A,FALSE,"Detail";#N/A,#N/A,FALSE,"Totals"}</definedName>
    <definedName name="ESTINS">#REF!</definedName>
    <definedName name="esTotalInvestment">#REF!</definedName>
    <definedName name="ESTPROPINS">#REF!</definedName>
    <definedName name="ESTTAX">#REF!</definedName>
    <definedName name="esVacancy">#REF!</definedName>
    <definedName name="EV__LASTREFTIME__" hidden="1">40574.7767361111</definedName>
    <definedName name="EvictionsinProgress">#REF!</definedName>
    <definedName name="ewfef" hidden="1">{"scheduleB",#N/A,FALSE,"CTT_CLO"}</definedName>
    <definedName name="EX_GROWTH">#REF!</definedName>
    <definedName name="ExCap">#REF!</definedName>
    <definedName name="execHold">10</definedName>
    <definedName name="exhibitb">#N/A</definedName>
    <definedName name="EXHIBITF1">#N/A</definedName>
    <definedName name="EXIST_AMORT">#REF!</definedName>
    <definedName name="EXIST_BAL">#REF!</definedName>
    <definedName name="EXIST_DEBT">#REF!</definedName>
    <definedName name="EXIST_DS">#REF!</definedName>
    <definedName name="EXIST_INTEREST">#REF!</definedName>
    <definedName name="EXIST_ORIGDATE">#REF!</definedName>
    <definedName name="EXIST_TERM">#REF!</definedName>
    <definedName name="EXIT">#REF!</definedName>
    <definedName name="Exit_CapRate">#REF!</definedName>
    <definedName name="Exit_GrossSales">#REF!</definedName>
    <definedName name="Exit_SaleCostPer">#REF!</definedName>
    <definedName name="ExitCap">#REF!</definedName>
    <definedName name="ExitCapRate">#REF!</definedName>
    <definedName name="ExitCapYr1">#REF!</definedName>
    <definedName name="ExitCOS">#REF!</definedName>
    <definedName name="ExitCostPercentage">#REF!</definedName>
    <definedName name="exitfee">#REF!</definedName>
    <definedName name="exitfee?">#REF!</definedName>
    <definedName name="exitfeeeq?">#REF!</definedName>
    <definedName name="ExitGRM">#REF!</definedName>
    <definedName name="ExitInfo">#REF!</definedName>
    <definedName name="ExitInterest">#REF!</definedName>
    <definedName name="ExitMgtFee">#REF!</definedName>
    <definedName name="ExitPriceMethod" hidden="1">#REF!</definedName>
    <definedName name="ExitVacancy">#REF!</definedName>
    <definedName name="Exp_As_Pct_Revenues">#N/A</definedName>
    <definedName name="Exp1stYr">#REF!</definedName>
    <definedName name="Expense">#REF!</definedName>
    <definedName name="Expenses">#REF!</definedName>
    <definedName name="ExpenseTitle">#REF!</definedName>
    <definedName name="ExpGrowth">#REF!</definedName>
    <definedName name="expinet">"Option Button 20"</definedName>
    <definedName name="EXPIRATION_YEAR">#REF!</definedName>
    <definedName name="expire1">#N/A</definedName>
    <definedName name="expire2">#N/A</definedName>
    <definedName name="EXPLENDER">#REF!</definedName>
    <definedName name="exportgrid">#REF!</definedName>
    <definedName name="EXPRESS_EXP">#REF!</definedName>
    <definedName name="EXPRESS_SQ">#REF!</definedName>
    <definedName name="ExpRowDiff">ROW()-5</definedName>
    <definedName name="EXPTABLE">#REF!</definedName>
    <definedName name="extfee">#REF!</definedName>
    <definedName name="ExtFloor1">#REF!</definedName>
    <definedName name="ExtFloor2">#REF!</definedName>
    <definedName name="ExtFloor3">#REF!</definedName>
    <definedName name="EXTRACT2">#REF!</definedName>
    <definedName name="f">#N/A</definedName>
    <definedName name="FACILITY">#REF!</definedName>
    <definedName name="Factor">#N/A</definedName>
    <definedName name="FAMERangeCHG0620E11">#REF!</definedName>
    <definedName name="FAMERangeCHG0620E21">#REF!</definedName>
    <definedName name="FAMERangeCHG0620E22">#REF!</definedName>
    <definedName name="FAMERangeCHG0620G11">#REF!</definedName>
    <definedName name="FAMERangeCHG0620G13">#REF!</definedName>
    <definedName name="FAR_ARCH">#REF!</definedName>
    <definedName name="FCRC_ExternalCommissions">"Budget!$D$42"</definedName>
    <definedName name="fd" hidden="1">#REF!</definedName>
    <definedName name="fdfdfd" hidden="1">{#N/A,#N/A,FALSE,"CAPREIT"}</definedName>
    <definedName name="fdfdfdf" hidden="1">{#N/A,#N/A,FALSE,"CAPREIT"}</definedName>
    <definedName name="FEBTRASH">#REF!</definedName>
    <definedName name="fedtaxes">#REF!</definedName>
    <definedName name="fee">#REF!</definedName>
    <definedName name="FEE_HEAD">#REF!</definedName>
    <definedName name="FEES">#REF!</definedName>
    <definedName name="fees9610">#N/A</definedName>
    <definedName name="fees9611">#N/A</definedName>
    <definedName name="fees9612">#N/A</definedName>
    <definedName name="fees964">#N/A</definedName>
    <definedName name="fees965">#N/A</definedName>
    <definedName name="fees966">#N/A</definedName>
    <definedName name="fees967">#N/A</definedName>
    <definedName name="fees968">#N/A</definedName>
    <definedName name="fees969">#N/A</definedName>
    <definedName name="FEET">#REF!</definedName>
    <definedName name="FF">#N/A</definedName>
    <definedName name="FFY">#REF!</definedName>
    <definedName name="FileName">#REF!</definedName>
    <definedName name="FILESETTING">#REF!</definedName>
    <definedName name="Finacials_Date">#N/A</definedName>
    <definedName name="FinalizedDate">#REF!</definedName>
    <definedName name="FinalNOI">#REF!</definedName>
    <definedName name="finalrating">#REF!</definedName>
    <definedName name="FinalYearNom">#REF!</definedName>
    <definedName name="Financing_Information">#REF!</definedName>
    <definedName name="FINCriteriaType">1</definedName>
    <definedName name="FinePrint">#REF!</definedName>
    <definedName name="finform">#REF!</definedName>
    <definedName name="FINOptions">"0,0,1,1,1,0,0,-1,0,0,2,0,"</definedName>
    <definedName name="FIRST">#REF!</definedName>
    <definedName name="FIRST_">#N/A</definedName>
    <definedName name="First_Accrual_Date">#REF!</definedName>
    <definedName name="first_Loan_Amount">#REF!</definedName>
    <definedName name="first_Loan_Payment">#REF!</definedName>
    <definedName name="first_pay">#REF!</definedName>
    <definedName name="First_Payment_Date">#REF!</definedName>
    <definedName name="First_payment_due">#REF!</definedName>
    <definedName name="First_payment_no">#REF!</definedName>
    <definedName name="FirstGeneration" hidden="1">#REF!</definedName>
    <definedName name="Firstmo">#REF!</definedName>
    <definedName name="FirstMortgage">#REF!</definedName>
    <definedName name="FirstTD">#REF!</definedName>
    <definedName name="FirstTDLessRehab">#REF!</definedName>
    <definedName name="FirstUnits">#REF!</definedName>
    <definedName name="FirstYear">#REF!</definedName>
    <definedName name="Five_Yr_UST">#REF!</definedName>
    <definedName name="Fixed1">#REF!</definedName>
    <definedName name="Fixed5">#REF!</definedName>
    <definedName name="fldfjlsd" hidden="1">#REF!</definedName>
    <definedName name="Follow">#REF!</definedName>
    <definedName name="format">#REF!</definedName>
    <definedName name="forward_switch">#REF!</definedName>
    <definedName name="ForwardLength">#REF!</definedName>
    <definedName name="ForwardRate">#REF!</definedName>
    <definedName name="ForwardRateOutput">#REF!</definedName>
    <definedName name="Forwards">#REF!</definedName>
    <definedName name="FPRODADJ">#REF!</definedName>
    <definedName name="FR_AVG">#REF!</definedName>
    <definedName name="FR_AVGFULL">#REF!</definedName>
    <definedName name="FRADEND">#REF!</definedName>
    <definedName name="FRADSTART">#REF!</definedName>
    <definedName name="FRADSTARTDATE">#REF!</definedName>
    <definedName name="FRCLOSING">#REF!</definedName>
    <definedName name="FRDEVFEE">#REF!</definedName>
    <definedName name="FRDURATION">#REF!</definedName>
    <definedName name="FreeRent">#REF!</definedName>
    <definedName name="freerent2">#REF!</definedName>
    <definedName name="FREILICH__ETHEL">#N/A</definedName>
    <definedName name="FRGROSSSF">#REF!</definedName>
    <definedName name="FRLANDACR">#REF!</definedName>
    <definedName name="FRLEND">#REF!</definedName>
    <definedName name="FRMUNIFAR">#REF!</definedName>
    <definedName name="FRNETSF">#REF!</definedName>
    <definedName name="FRSALEDATE">#REF!</definedName>
    <definedName name="FRSELLFEE">#REF!</definedName>
    <definedName name="FRVSTARTDATE">#REF!</definedName>
    <definedName name="fs_summary_comment">#REF!</definedName>
    <definedName name="FS1STMOSALES">#REF!</definedName>
    <definedName name="FSADCOSTS">#REF!</definedName>
    <definedName name="FSADEND">#REF!</definedName>
    <definedName name="FSADSTART">#REF!</definedName>
    <definedName name="FSADSTARTDATE">#REF!</definedName>
    <definedName name="FSCEND">#REF!</definedName>
    <definedName name="FSCLOSING">#REF!</definedName>
    <definedName name="FSCSTART">#REF!</definedName>
    <definedName name="FSDEVFEE">#REF!</definedName>
    <definedName name="FSDURATION">#REF!</definedName>
    <definedName name="FSGROSSSF">#REF!</definedName>
    <definedName name="FSHOAFEE">#REF!</definedName>
    <definedName name="FSINHOUSE">#REF!</definedName>
    <definedName name="FSLANDACR">#REF!</definedName>
    <definedName name="FSMUNIFAR">#REF!</definedName>
    <definedName name="FSNETSF">#REF!</definedName>
    <definedName name="FSOTHERCOSTS">#REF!</definedName>
    <definedName name="FSOUTOFHOUSE">#REF!</definedName>
    <definedName name="FSPERCENTOOH">#REF!</definedName>
    <definedName name="FSSALESCOSTS">#REF!</definedName>
    <definedName name="FSSALESPERMO">#REF!</definedName>
    <definedName name="FSVEND">#REF!</definedName>
    <definedName name="FSVSTART">#REF!</definedName>
    <definedName name="FSVSTARTDATE">#REF!</definedName>
    <definedName name="fundfee">#REF!</definedName>
    <definedName name="Funding">#REF!</definedName>
    <definedName name="Future_Rent">#REF!</definedName>
    <definedName name="FYYears">#REF!</definedName>
    <definedName name="g" hidden="1">{"mgmt forecast",#N/A,FALSE,"Mgmt Forecast";"dcf table",#N/A,FALSE,"Mgmt Forecast";"sensitivity",#N/A,FALSE,"Mgmt Forecast";"table inputs",#N/A,FALSE,"Mgmt Forecast";"calculations",#N/A,FALSE,"Mgmt Forecast"}</definedName>
    <definedName name="G0A_DS_80_FS_PEX__DISNEY">#REF!</definedName>
    <definedName name="G1IMP">#N/A</definedName>
    <definedName name="G2IMP">#N/A</definedName>
    <definedName name="GardenGLA">#REF!</definedName>
    <definedName name="GenDescr">"Text 4"</definedName>
    <definedName name="GeneralLinks">#REF!</definedName>
    <definedName name="GENOP">#REF!</definedName>
    <definedName name="GenVac">#REF!</definedName>
    <definedName name="GetData">#REF!</definedName>
    <definedName name="ghhg" hidden="1">{"taxes",#N/A,FALSE,"CTT_CLO"}</definedName>
    <definedName name="Gid">#REF!</definedName>
    <definedName name="gla">#REF!</definedName>
    <definedName name="GLA_1">#REF!</definedName>
    <definedName name="GLA_3">#REF!</definedName>
    <definedName name="GLA_3.15">#REF!</definedName>
    <definedName name="glid">#REF!</definedName>
    <definedName name="GLINSPSF">#REF!</definedName>
    <definedName name="GlobalInflate">#REF!</definedName>
    <definedName name="GlobalInflateYr2">#REF!</definedName>
    <definedName name="GlobalInflateYr3">#REF!</definedName>
    <definedName name="GlobalInflateYr4">#REF!</definedName>
    <definedName name="GlobalInflateYr5">#REF!</definedName>
    <definedName name="GMP">#N/A</definedName>
    <definedName name="GMP_SCHEDULE">#N/A</definedName>
    <definedName name="GO">#REF!</definedName>
    <definedName name="GOAEXT">#REF!</definedName>
    <definedName name="GOAPEX">#REF!</definedName>
    <definedName name="GoAssetChart">#REF!</definedName>
    <definedName name="GoBack">#REF!</definedName>
    <definedName name="GoBalanceSheet">#REF!</definedName>
    <definedName name="GoCashFlow">#REF!</definedName>
    <definedName name="GoData">#REF!</definedName>
    <definedName name="GoIncomeChart">#REF!</definedName>
    <definedName name="GoingInCap">#REF!</definedName>
    <definedName name="GoingInCapRateSensitivityInput" hidden="1">#REF!</definedName>
    <definedName name="goinginroe">#REF!</definedName>
    <definedName name="GP_H1">#REF!</definedName>
    <definedName name="GP_H2">#REF!</definedName>
    <definedName name="GP_PR">#REF!</definedName>
    <definedName name="GPProceeds_DvpFund">#REF!</definedName>
    <definedName name="GPProceeds_MstFund">#REF!</definedName>
    <definedName name="GPProceeds_RefiFund">#REF!</definedName>
    <definedName name="GPSHAREPR">#REF!</definedName>
    <definedName name="gr" hidden="1">{"three",#N/A,FALSE,"Capital";"four",#N/A,FALSE,"Capital"}</definedName>
    <definedName name="GRAND">#REF!</definedName>
    <definedName name="Grant_Amount">#REF!</definedName>
    <definedName name="Grant_Choice">#REF!</definedName>
    <definedName name="Grant_Months">#REF!</definedName>
    <definedName name="GRAPHS">#N/A</definedName>
    <definedName name="GRI">#REF!</definedName>
    <definedName name="GridAnchor">#REF!</definedName>
    <definedName name="GridBase">#REF!</definedName>
    <definedName name="GROSRETONCOST">#REF!</definedName>
    <definedName name="GROSS_LEASABLE_AREA">#REF!</definedName>
    <definedName name="Gross_Margin">#REF!</definedName>
    <definedName name="Gross_SF">#REF!</definedName>
    <definedName name="GROSSSQFOOTAGE">#REF!</definedName>
    <definedName name="growth">#REF!</definedName>
    <definedName name="GrpInsRate">#REF!</definedName>
    <definedName name="GrpInsurRate">#REF!</definedName>
    <definedName name="GRR">#REF!</definedName>
    <definedName name="GS_own">#REF!</definedName>
    <definedName name="GSF">#REF!</definedName>
    <definedName name="GSP">#REF!</definedName>
    <definedName name="gsper">#REF!</definedName>
    <definedName name="GT">#REF!</definedName>
    <definedName name="guarscore">#REF!</definedName>
    <definedName name="guarwgtscore">#REF!</definedName>
    <definedName name="GVKey">""</definedName>
    <definedName name="H">#REF!</definedName>
    <definedName name="hard_cost">#N/A</definedName>
    <definedName name="Hard_Costs_Draw">#REF!</definedName>
    <definedName name="hardcost">#REF!</definedName>
    <definedName name="hardcostperunit">#REF!</definedName>
    <definedName name="hardcostpsf">#REF!</definedName>
    <definedName name="HBADEND">#REF!</definedName>
    <definedName name="HBADSTART">#REF!</definedName>
    <definedName name="HBADSTARTDATE">#REF!</definedName>
    <definedName name="HBCEND">#REF!</definedName>
    <definedName name="HBCLOSING">#REF!</definedName>
    <definedName name="HBCSTART">#REF!</definedName>
    <definedName name="HBDURATION">#REF!</definedName>
    <definedName name="HBVEND">#REF!</definedName>
    <definedName name="HBVSTART">#REF!</definedName>
    <definedName name="HBVSTARTDATE">#REF!</definedName>
    <definedName name="HDCDSC">#REF!</definedName>
    <definedName name="HEADASS">#REF!</definedName>
    <definedName name="HEADER">#REF!</definedName>
    <definedName name="Header_Area">#N/A</definedName>
    <definedName name="HEALTH">#REF!</definedName>
    <definedName name="health1">#REF!</definedName>
    <definedName name="Hedge_Advantage">#REF!</definedName>
    <definedName name="Hedge10">#REF!</definedName>
    <definedName name="Hedge120">#REF!</definedName>
    <definedName name="Hedge50">#REF!</definedName>
    <definedName name="Hedge520">#REF!</definedName>
    <definedName name="hello">#REF!</definedName>
    <definedName name="HeritageGLA">#REF!</definedName>
    <definedName name="HeritageGLAlesssepassessed">#REF!</definedName>
    <definedName name="hh">#N/A</definedName>
    <definedName name="HH_SizeA">#REF!</definedName>
    <definedName name="HH_SizeBC">#REF!</definedName>
    <definedName name="HIDDEN_VALLEY_ESTATES">#REF!</definedName>
    <definedName name="HiddenRows">#REF!</definedName>
    <definedName name="HIDECOLUMNS">#REF!</definedName>
    <definedName name="HideGoodwill">#REF!</definedName>
    <definedName name="HIDELOOP">#REF!</definedName>
    <definedName name="Hist">#REF!</definedName>
    <definedName name="HIST_R_E">#REF!</definedName>
    <definedName name="hist1">#N/A</definedName>
    <definedName name="HISTORICAL">#REF!</definedName>
    <definedName name="Historical_Operations_1_AsOfDate">#REF!</definedName>
    <definedName name="Historical_Operations_1_EGI">#REF!</definedName>
    <definedName name="Historical_Operations_1_Financial_Type">#REF!</definedName>
    <definedName name="Historical_Operations_1_NCF">#REF!</definedName>
    <definedName name="Historical_Operations_1_Occupancy">#REF!</definedName>
    <definedName name="Historical_Operations_1_Title">#REF!</definedName>
    <definedName name="Historical_Operations_2_AsOfDate">#REF!</definedName>
    <definedName name="Historical_Operations_2_EGI">#REF!</definedName>
    <definedName name="Historical_Operations_2_Financial_Type">#REF!</definedName>
    <definedName name="Historical_Operations_2_NCF">#REF!</definedName>
    <definedName name="Historical_Operations_2_Occupancy">#REF!</definedName>
    <definedName name="Historical_Operations_2_Title">#REF!</definedName>
    <definedName name="Historical_Operations_3_AsOfDate">#REF!</definedName>
    <definedName name="Historical_Operations_3_EGI">#REF!</definedName>
    <definedName name="Historical_Operations_3_Financial_Type">#REF!</definedName>
    <definedName name="Historical_Operations_3_NCF">#REF!</definedName>
    <definedName name="Historical_Operations_3_Occupancy">#REF!</definedName>
    <definedName name="Historical_Operations_3_Title">#REF!</definedName>
    <definedName name="Historical_Operations_4_AsOfDate">#REF!</definedName>
    <definedName name="Historical_Operations_4_EGI">#REF!</definedName>
    <definedName name="Historical_Operations_4_Financial_Type">#REF!</definedName>
    <definedName name="Historical_Operations_4_NCF">#REF!</definedName>
    <definedName name="Historical_Operations_4_Occupancy">#REF!</definedName>
    <definedName name="Historical_Operations_4_Title">#REF!</definedName>
    <definedName name="Historical_Operations_5_AsOfDate">#REF!</definedName>
    <definedName name="Historical_Operations_5_EGI">#REF!</definedName>
    <definedName name="Historical_Operations_5_Financial_Type">#REF!</definedName>
    <definedName name="Historical_Operations_5_NCF">#REF!</definedName>
    <definedName name="Historical_Operations_5_Occupancy">#REF!</definedName>
    <definedName name="Historical_Operations_5_Title">#REF!</definedName>
    <definedName name="Historical_Operations_6_AsOfDate">#REF!</definedName>
    <definedName name="Historical_Operations_6_EGI">#REF!</definedName>
    <definedName name="Historical_Operations_6_Financial_Type">#REF!</definedName>
    <definedName name="Historical_Operations_6_NCF">#REF!</definedName>
    <definedName name="Historical_Operations_6_Occupancy">#REF!</definedName>
    <definedName name="Historical_Operations_6_Title">#REF!</definedName>
    <definedName name="Historical_Summary">#REF!</definedName>
    <definedName name="HistoricalRate">#REF!</definedName>
    <definedName name="HistoricalRateOutput">#REF!</definedName>
    <definedName name="HISTORYA?">#N/A</definedName>
    <definedName name="HISTORYP?">#N/A</definedName>
    <definedName name="hj">#REF!</definedName>
    <definedName name="HlookupArrayModel">#REF!</definedName>
    <definedName name="hlookuprange">#REF!</definedName>
    <definedName name="hnyny" hidden="1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name="HOBBY1997">#REF!</definedName>
    <definedName name="HOBBY1998">#REF!</definedName>
    <definedName name="HOBBY1999">#REF!</definedName>
    <definedName name="HOBBY2000">#REF!</definedName>
    <definedName name="Hold_MF">#REF!</definedName>
    <definedName name="Hold_Period">#REF!</definedName>
    <definedName name="Hold_Rtl">#REF!</definedName>
    <definedName name="HoldLength">#REF!</definedName>
    <definedName name="holdper">#REF!</definedName>
    <definedName name="HoldPeriod">#REF!</definedName>
    <definedName name="HoldPeriod2">#REF!</definedName>
    <definedName name="HoldVacancyTbl">#REF!</definedName>
    <definedName name="HOOD__AGNES">#N/A</definedName>
    <definedName name="HOSPITAL_DISTRICT">#REF!</definedName>
    <definedName name="HOTEL">#N/A</definedName>
    <definedName name="housingallowance">#REF!</definedName>
    <definedName name="HousingBurdenRate">#REF!</definedName>
    <definedName name="HousingCrdtCost">#REF!</definedName>
    <definedName name="Housingcredit">#REF!</definedName>
    <definedName name="HOZMAN__DOROTHY">#N/A</definedName>
    <definedName name="html" hidden="1">{"'Assump'!$F$6:$J$6"}</definedName>
    <definedName name="HTML_CodePage" hidden="1">1252</definedName>
    <definedName name="HTML_Control" hidden="1">{"'Assump'!$F$6:$J$6"}</definedName>
    <definedName name="HTML_Description" hidden="1">""</definedName>
    <definedName name="HTML_Email" hidden="1">""</definedName>
    <definedName name="HTML_Header" hidden="1">"Assump"</definedName>
    <definedName name="HTML_LastUpdate" hidden="1">"7/24/98"</definedName>
    <definedName name="HTML_LineAfter" hidden="1">FALSE</definedName>
    <definedName name="HTML_LineBefore" hidden="1">FALSE</definedName>
    <definedName name="HTML_Name" hidden="1">"Russell Caplin"</definedName>
    <definedName name="HTML_OBDlg2" hidden="1">TRUE</definedName>
    <definedName name="HTML_OBDlg4" hidden="1">TRUE</definedName>
    <definedName name="HTML_OS" hidden="1">0</definedName>
    <definedName name="HTML_PathFile" hidden="1">"C:\acg\MyHTML.htm"</definedName>
    <definedName name="HTML_Title" hidden="1">"ashish"</definedName>
    <definedName name="htmlnew" hidden="1">{"'Assump'!$F$6:$J$6"}</definedName>
    <definedName name="HURDLE1">#REF!</definedName>
    <definedName name="HURDLE2">#REF!</definedName>
    <definedName name="Hurdle3">#N/A</definedName>
    <definedName name="hurdone">#REF!</definedName>
    <definedName name="hurdtwo">#REF!</definedName>
    <definedName name="HUSKIEWICZ__MAR">#N/A</definedName>
    <definedName name="I">#REF!</definedName>
    <definedName name="ID">#REF!</definedName>
    <definedName name="ID_BUILD">#REF!</definedName>
    <definedName name="iii" hidden="1">{"taxes",#N/A,FALSE,"CTT_CLO"}</definedName>
    <definedName name="IL_SQ">#REF!</definedName>
    <definedName name="IMPORT_1">#REF!</definedName>
    <definedName name="IMPORT_10">#REF!</definedName>
    <definedName name="IMPORT_11">#REF!</definedName>
    <definedName name="IMPORT_12">#REF!</definedName>
    <definedName name="IMPORT_13">#REF!</definedName>
    <definedName name="IMPORT_14">#REF!</definedName>
    <definedName name="IMPORT_15">#REF!</definedName>
    <definedName name="IMPORT_16">#REF!</definedName>
    <definedName name="IMPORT_17">#REF!</definedName>
    <definedName name="IMPORT_18">#REF!</definedName>
    <definedName name="IMPORT_19">#REF!</definedName>
    <definedName name="IMPORT_2">#REF!</definedName>
    <definedName name="IMPORT_20">#REF!</definedName>
    <definedName name="IMPORT_21">#REF!</definedName>
    <definedName name="IMPORT_22">#REF!</definedName>
    <definedName name="IMPORT_23">#REF!</definedName>
    <definedName name="IMPORT_24">#REF!</definedName>
    <definedName name="IMPORT_25">#REF!</definedName>
    <definedName name="IMPORT_26">#REF!</definedName>
    <definedName name="IMPORT_27">#REF!</definedName>
    <definedName name="IMPORT_28">#REF!</definedName>
    <definedName name="IMPORT_29">#REF!</definedName>
    <definedName name="IMPORT_3">#REF!</definedName>
    <definedName name="IMPORT_30">#REF!</definedName>
    <definedName name="IMPORT_31">#REF!</definedName>
    <definedName name="IMPORT_32">#REF!</definedName>
    <definedName name="IMPORT_33">#REF!</definedName>
    <definedName name="IMPORT_34">#REF!</definedName>
    <definedName name="IMPORT_35">#REF!</definedName>
    <definedName name="IMPORT_36">#REF!</definedName>
    <definedName name="IMPORT_37">#REF!</definedName>
    <definedName name="IMPORT_38">#REF!</definedName>
    <definedName name="IMPORT_39">#REF!</definedName>
    <definedName name="IMPORT_4">#REF!</definedName>
    <definedName name="IMPORT_40">#REF!</definedName>
    <definedName name="IMPORT_41">#REF!</definedName>
    <definedName name="IMPORT_42">#REF!</definedName>
    <definedName name="IMPORT_43">#REF!</definedName>
    <definedName name="IMPORT_44">#REF!</definedName>
    <definedName name="IMPORT_45">#REF!</definedName>
    <definedName name="IMPORT_46">#REF!</definedName>
    <definedName name="IMPORT_47">#REF!</definedName>
    <definedName name="IMPORT_48">#REF!</definedName>
    <definedName name="IMPORT_49">#REF!</definedName>
    <definedName name="IMPORT_5">#REF!</definedName>
    <definedName name="IMPORT_50">#REF!</definedName>
    <definedName name="IMPORT_51">#REF!</definedName>
    <definedName name="IMPORT_52">#REF!</definedName>
    <definedName name="IMPORT_53">#REF!</definedName>
    <definedName name="IMPORT_54">#REF!</definedName>
    <definedName name="IMPORT_55">#REF!</definedName>
    <definedName name="IMPORT_56">#REF!</definedName>
    <definedName name="IMPORT_57">#REF!</definedName>
    <definedName name="IMPORT_58">#REF!</definedName>
    <definedName name="IMPORT_59">#REF!</definedName>
    <definedName name="IMPORT_6">#REF!</definedName>
    <definedName name="IMPORT_7">#REF!</definedName>
    <definedName name="IMPORT_8">#REF!</definedName>
    <definedName name="IMPORT_9">#REF!</definedName>
    <definedName name="IMPORTADJ">#REF!</definedName>
    <definedName name="IMPORTDATA">#REF!</definedName>
    <definedName name="IMPORTLIST">#REF!</definedName>
    <definedName name="IMPORTPOB1">#N/A</definedName>
    <definedName name="ImportRange1">#REF!</definedName>
    <definedName name="In_Place_NOI">#REF!</definedName>
    <definedName name="INC_EXP_SUMMARY">#REF!</definedName>
    <definedName name="IncGrowth">#REF!</definedName>
    <definedName name="inctot">#REF!</definedName>
    <definedName name="INDEX">#REF!</definedName>
    <definedName name="IndexId">#REF!</definedName>
    <definedName name="IndexList">#REF!</definedName>
    <definedName name="IndexLookup">#REF!</definedName>
    <definedName name="IndexName">#REF!</definedName>
    <definedName name="INF">#N/A</definedName>
    <definedName name="infExpense">#REF!</definedName>
    <definedName name="inflat">#REF!</definedName>
    <definedName name="Inflation">#REF!</definedName>
    <definedName name="inflationrate">#N/A</definedName>
    <definedName name="infRent">#REF!</definedName>
    <definedName name="INIT">#REF!</definedName>
    <definedName name="InitAmortPeriod">#REF!</definedName>
    <definedName name="InitAnnualDebtService">#REF!</definedName>
    <definedName name="InitDCR">#REF!</definedName>
    <definedName name="InitialBookValue">#REF!</definedName>
    <definedName name="InitialEquity">#REF!</definedName>
    <definedName name="InitialLosstoLease">#REF!</definedName>
    <definedName name="Initials">#REF!</definedName>
    <definedName name="InitLoanAmt">#REF!</definedName>
    <definedName name="InitLoanIntRate">#REF!</definedName>
    <definedName name="InitLoanPts">#REF!</definedName>
    <definedName name="InitTaxesNoAssessment">#REF!</definedName>
    <definedName name="InPlaceNOI" hidden="1">#N/A</definedName>
    <definedName name="InPlaceRents">#REF!</definedName>
    <definedName name="INPUT">#REF!</definedName>
    <definedName name="INPUT_2">#REF!</definedName>
    <definedName name="INPUT_32">#REF!</definedName>
    <definedName name="INPUT_47">#REF!</definedName>
    <definedName name="INPUT_60">#REF!</definedName>
    <definedName name="Input_CDC_Loan___on_INPUT_Sheet">#REF!</definedName>
    <definedName name="inputdate">#REF!</definedName>
    <definedName name="InputMethod">#REF!</definedName>
    <definedName name="inputtype">#REF!</definedName>
    <definedName name="INS">#REF!</definedName>
    <definedName name="INSAnnualDiffBtwnCostAndBase">#REF!</definedName>
    <definedName name="INSAprDiffBtwnCostAndBase">#REF!</definedName>
    <definedName name="INSAugDiffBtwnCostAndBase">#REF!</definedName>
    <definedName name="insclaims">#REF!</definedName>
    <definedName name="INSCODE">#REF!</definedName>
    <definedName name="INSDecDiffBtwnCostAndBase">#REF!</definedName>
    <definedName name="INSEXP">#REF!</definedName>
    <definedName name="INSFebDiffBtwnCostAndBase">#REF!</definedName>
    <definedName name="INSInsExp">#REF!</definedName>
    <definedName name="INSInsExpPSF">#REF!</definedName>
    <definedName name="INSInsType1Exp">#REF!</definedName>
    <definedName name="INSInsType1ExpPSF">#REF!</definedName>
    <definedName name="INSInsType2Exp">#REF!</definedName>
    <definedName name="INSInsType2ExpPSF">#REF!</definedName>
    <definedName name="INSJanDiffBtwnCostAndBase">#REF!</definedName>
    <definedName name="INSJulDiffBtwnCostAndBase">#REF!</definedName>
    <definedName name="INSJunDiffBtwnCostAndBase">#REF!</definedName>
    <definedName name="INSMarDiffBtwnCostAndBase">#REF!</definedName>
    <definedName name="INSMayDiffBtwnCostAndBase">#REF!</definedName>
    <definedName name="INSNovDiffBtwnCostAndBase">#REF!</definedName>
    <definedName name="INSOctDiffBtwnCostAndBase">#REF!</definedName>
    <definedName name="INSOGNA__PIA">#N/A</definedName>
    <definedName name="inspsf">#REF!</definedName>
    <definedName name="INSSepDiffBtwnCostAndBase">#REF!</definedName>
    <definedName name="INSSF96">#REF!</definedName>
    <definedName name="INSSF97">#REF!</definedName>
    <definedName name="INSSqFt">#REF!</definedName>
    <definedName name="inst_equity">#N/A</definedName>
    <definedName name="InstitutionalExitToggle">#REF!</definedName>
    <definedName name="InstitutionalExitVac">#REF!</definedName>
    <definedName name="INSTotAnnualDiffBtwnCostAndBase">#REF!</definedName>
    <definedName name="INSTotAprDiffBtwnCostAndBase">#REF!</definedName>
    <definedName name="INSTotAugDiffBtwnCostAndBase">#REF!</definedName>
    <definedName name="INSTotDecDiffBtwnCostAndBase">#REF!</definedName>
    <definedName name="INSTotFebDiffBtwnCostAndBase">#REF!</definedName>
    <definedName name="INSTotInsExp">#REF!</definedName>
    <definedName name="INSTotInsType1Exp">#REF!</definedName>
    <definedName name="INSTotInsType2Exp">#REF!</definedName>
    <definedName name="INSTotJanDiffBtwnCostAndBase">#REF!</definedName>
    <definedName name="INSTotJulDiffBtwnCostAndBase">#REF!</definedName>
    <definedName name="INSTotJunDiffBtwnCostAndBase">#REF!</definedName>
    <definedName name="INSTotMarDiffBtwnCostAndBase">#REF!</definedName>
    <definedName name="INSTotMayDiffBtwnCostAndBase">#REF!</definedName>
    <definedName name="INSTotNovDiffBtwnCostAndBase">#REF!</definedName>
    <definedName name="INSTotOctDiffBtwnCostAndBase">#REF!</definedName>
    <definedName name="INSTotSepDiffBtwnCostAndBase">#REF!</definedName>
    <definedName name="INSTotSqFt">#REF!</definedName>
    <definedName name="INSTRUCT">#REF!</definedName>
    <definedName name="INSTRUCTIONS">#N/A</definedName>
    <definedName name="Insurance">#N/A</definedName>
    <definedName name="InsurancePerUnit">#REF!</definedName>
    <definedName name="INT">#N/A</definedName>
    <definedName name="Int_rate">#REF!</definedName>
    <definedName name="Interest">#REF!</definedName>
    <definedName name="Interest_Rate">#N/A</definedName>
    <definedName name="interestexpense">#REF!</definedName>
    <definedName name="InterestRate">#REF!</definedName>
    <definedName name="InterestReserve">#REF!</definedName>
    <definedName name="Interpolated_Treasury_Term">#REF!</definedName>
    <definedName name="IntIncr">#REF!</definedName>
    <definedName name="IntOnly">#REF!</definedName>
    <definedName name="IntRate">#REF!</definedName>
    <definedName name="IntReserve">#REF!</definedName>
    <definedName name="intro">"Dialog Frame 1"</definedName>
    <definedName name="IntroPrintArea" hidden="1">#REF!</definedName>
    <definedName name="inv_equity">#N/A</definedName>
    <definedName name="Investment_Yields">#REF!</definedName>
    <definedName name="INVESTMENTPARAMETERS">#REF!</definedName>
    <definedName name="INVESTOR">#N/A</definedName>
    <definedName name="Investor_Capital">#N/A</definedName>
    <definedName name="Investor_Pct">#REF!</definedName>
    <definedName name="Investor_Split">#N/A</definedName>
    <definedName name="Invoice">#REF!</definedName>
    <definedName name="IO_Period">#REF!</definedName>
    <definedName name="IPRODADJ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42184.5659375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 hidden="1">39118.6601273148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RR_GP_DvpFund_Total">#REF!</definedName>
    <definedName name="IRR_GP_MstFund_Total">#REF!</definedName>
    <definedName name="IRR_HurdleRate">#REF!</definedName>
    <definedName name="IRR_LP_DvpFund_Total">#REF!</definedName>
    <definedName name="IRR_LP_MstFund_Total">#REF!</definedName>
    <definedName name="IRR_net">#REF!</definedName>
    <definedName name="IRR_unlevered">#REF!</definedName>
    <definedName name="irrhurdle?">#REF!</definedName>
    <definedName name="irrhurdleeq?">#REF!</definedName>
    <definedName name="IRRIncr">#REF!</definedName>
    <definedName name="IRRless25">#REF!</definedName>
    <definedName name="IRRless50">#REF!</definedName>
    <definedName name="IRRplus25">#REF!</definedName>
    <definedName name="IRRplus50">#REF!</definedName>
    <definedName name="IRRS">#N/A</definedName>
    <definedName name="irrStream">#REF!</definedName>
    <definedName name="irrStreamLev">#REF!</definedName>
    <definedName name="irrTiers">#REF!</definedName>
    <definedName name="IRRYear1">#REF!</definedName>
    <definedName name="IsBudget">#REF!</definedName>
    <definedName name="IsDisplay">#REF!</definedName>
    <definedName name="isFood">#REF!</definedName>
    <definedName name="isFurnished">#REF!</definedName>
    <definedName name="IsStudent">#REF!</definedName>
    <definedName name="ITEM">#REF!</definedName>
    <definedName name="J">#REF!</definedName>
    <definedName name="JANSAL">#REF!</definedName>
    <definedName name="JANTRASH">#REF!</definedName>
    <definedName name="JAY">#N/A</definedName>
    <definedName name="JBoeb">#REF!</definedName>
    <definedName name="jjlj" hidden="1">{"scheduleB",#N/A,FALSE,"CTT_CLO"}</definedName>
    <definedName name="JobNumber">#REF!</definedName>
    <definedName name="Joel">#REF!</definedName>
    <definedName name="JORDAN__VIRGINI">#N/A</definedName>
    <definedName name="JR_PAGE_ANCHOR_0_1">#REF!</definedName>
    <definedName name="JULTRASH">#REF!</definedName>
    <definedName name="June" hidden="1">{"three",#N/A,FALSE,"Capital";"four",#N/A,FALSE,"Capital"}</definedName>
    <definedName name="junk">#REF!</definedName>
    <definedName name="JUNTRASH">#REF!</definedName>
    <definedName name="JUSTP">#N/A</definedName>
    <definedName name="JV_ADMIN">#REF!</definedName>
    <definedName name="JV_CAM">#REF!</definedName>
    <definedName name="JV_CAPITAL">#REF!</definedName>
    <definedName name="JV_CASHFLOW">#REF!</definedName>
    <definedName name="JV_CREDIT">#REF!</definedName>
    <definedName name="JV_DEDUCT">#REF!</definedName>
    <definedName name="JV_GPR">#REF!</definedName>
    <definedName name="JV_GROUND">#REF!</definedName>
    <definedName name="JV_INC1">#REF!</definedName>
    <definedName name="JV_INC2">#REF!</definedName>
    <definedName name="JV_INSUR">#REF!</definedName>
    <definedName name="JV_LC">#REF!</definedName>
    <definedName name="JV_LEASING">#REF!</definedName>
    <definedName name="JV_MAINT">#REF!</definedName>
    <definedName name="JV_MGT">#REF!</definedName>
    <definedName name="JV_NOI">#REF!</definedName>
    <definedName name="JV_OTHER">#REF!</definedName>
    <definedName name="JV_REIMB">#REF!</definedName>
    <definedName name="JV_SAL">#REF!</definedName>
    <definedName name="JV_SIZE">#REF!</definedName>
    <definedName name="JV_TAX">#REF!</definedName>
    <definedName name="JV_TI">#REF!</definedName>
    <definedName name="JV_UTIL">#REF!</definedName>
    <definedName name="JV_VACANCY">#REF!</definedName>
    <definedName name="JVEQUITY2">#N/A</definedName>
    <definedName name="JVPREFERREDRETURN">#N/A</definedName>
    <definedName name="K2_WBEVMODE" hidden="1">-1</definedName>
    <definedName name="KESTER__SARAH">#N/A</definedName>
    <definedName name="KOEPPE__LAURA">#N/A</definedName>
    <definedName name="L">#REF!</definedName>
    <definedName name="L_B_AA_CL">#REF!</definedName>
    <definedName name="L_B_AA_GPRI">#REF!</definedName>
    <definedName name="L_B_AA_NRI">#REF!</definedName>
    <definedName name="L_B_AA_OCC">#REF!</definedName>
    <definedName name="L_B_AA_OI">#REF!</definedName>
    <definedName name="L_B_AA_R">#REF!</definedName>
    <definedName name="L_B_AA_TR">#REF!</definedName>
    <definedName name="L_B_AA_VL">#REF!</definedName>
    <definedName name="L_B_ADJNOI">#REF!</definedName>
    <definedName name="L_B_Comment">#REF!</definedName>
    <definedName name="L_B_DS_DSC">#REF!</definedName>
    <definedName name="L_B_DS_IR">#REF!</definedName>
    <definedName name="L_B_DS_PB">#REF!</definedName>
    <definedName name="L_B_DS_RA">#REF!</definedName>
    <definedName name="L_B_DS_TAP">#REF!</definedName>
    <definedName name="L_B_FE_GLP">#REF!</definedName>
    <definedName name="L_B_FE_HRR">#REF!</definedName>
    <definedName name="L_B_FE_I">#REF!</definedName>
    <definedName name="L_B_FE_T">#REF!</definedName>
    <definedName name="L_B_FE_TFE">#REF!</definedName>
    <definedName name="L_B_FE_TOE">#REF!</definedName>
    <definedName name="L_B_FYE_1">#REF!</definedName>
    <definedName name="L_B_FYE_2">#REF!</definedName>
    <definedName name="L_B_Lien1">#REF!</definedName>
    <definedName name="L_B_Lien2">#REF!</definedName>
    <definedName name="L_B_Lien3">#REF!</definedName>
    <definedName name="L_B_LOSD">#REF!</definedName>
    <definedName name="L_B_MM1">#REF!</definedName>
    <definedName name="L_B_MM2">#REF!</definedName>
    <definedName name="L_B_MM3">#REF!</definedName>
    <definedName name="L_B_MTA">#REF!</definedName>
    <definedName name="L_B_NA1">#REF!</definedName>
    <definedName name="L_B_NA2">#REF!</definedName>
    <definedName name="L_B_NA3">#REF!</definedName>
    <definedName name="L_B_NOI">#REF!</definedName>
    <definedName name="L_B_NPCF">#REF!</definedName>
    <definedName name="L_B_OE_P">#REF!</definedName>
    <definedName name="L_B_OE_SDS">#REF!</definedName>
    <definedName name="L_B_OE_TOE">#REF!</definedName>
    <definedName name="L_B_RR">#REF!</definedName>
    <definedName name="L_B_VE_AM">#REF!</definedName>
    <definedName name="L_B_VE_BSS">#REF!</definedName>
    <definedName name="L_B_VE_GM">#REF!</definedName>
    <definedName name="L_B_VE_HDE">#REF!</definedName>
    <definedName name="L_B_VE_MF">#REF!</definedName>
    <definedName name="L_B_VE_NRE">#REF!</definedName>
    <definedName name="L_B_VE_OSO">#REF!</definedName>
    <definedName name="L_B_VE_PB">#REF!</definedName>
    <definedName name="L_B_VE_RM">#REF!</definedName>
    <definedName name="L_B_VE_SEC">#REF!</definedName>
    <definedName name="L_B_VE_TVE">#REF!</definedName>
    <definedName name="L_B_VE_UTIL">#REF!</definedName>
    <definedName name="L_B_YEAR_1">#REF!</definedName>
    <definedName name="L_B_YEAR_2">#REF!</definedName>
    <definedName name="L_B_YTD1">#REF!</definedName>
    <definedName name="L_B_YTD2">#REF!</definedName>
    <definedName name="L_B_YTD3">#REF!</definedName>
    <definedName name="L2LCapture">#REF!</definedName>
    <definedName name="L2LCaptureEnd">#REF!</definedName>
    <definedName name="L2LCaptureStart">#REF!</definedName>
    <definedName name="LA">#REF!</definedName>
    <definedName name="LABORERRATES">#REF!</definedName>
    <definedName name="LagVac">#REF!</definedName>
    <definedName name="LAND">#REF!</definedName>
    <definedName name="Land_Cost">#REF!</definedName>
    <definedName name="Land_Price">#N/A</definedName>
    <definedName name="LAND_SF">#REF!</definedName>
    <definedName name="LANDACRES">#REF!</definedName>
    <definedName name="LANDACT">#REF!</definedName>
    <definedName name="LANDCOST">#REF!</definedName>
    <definedName name="LANDCOST_SF">#REF!</definedName>
    <definedName name="landpriceformula">#REF!</definedName>
    <definedName name="LandPurchDate1">#REF!</definedName>
    <definedName name="LandPurchDate2">#REF!</definedName>
    <definedName name="LandPurchDate3">#REF!</definedName>
    <definedName name="LandPurchdate4">#REF!</definedName>
    <definedName name="landscape">#REF!</definedName>
    <definedName name="LANDSF">#REF!</definedName>
    <definedName name="Last_Row">#N/A</definedName>
    <definedName name="lastmo">#REF!</definedName>
    <definedName name="LastPrintRow">#REF!</definedName>
    <definedName name="LastRow">#REF!</definedName>
    <definedName name="LastRowA">4</definedName>
    <definedName name="LastUnits">#REF!</definedName>
    <definedName name="LastYrEquity">#REF!</definedName>
    <definedName name="LateChgFeesPct">#REF!</definedName>
    <definedName name="LC">#N/A</definedName>
    <definedName name="LC_AVG">#REF!</definedName>
    <definedName name="LC_AVGFULL">#REF!</definedName>
    <definedName name="LCDeposit">#N/A</definedName>
    <definedName name="LCMonths">#REF!</definedName>
    <definedName name="LCNew">#N/A</definedName>
    <definedName name="LCRenew">#N/A</definedName>
    <definedName name="LEASE_DATE">#REF!</definedName>
    <definedName name="LeaseCredit">#REF!</definedName>
    <definedName name="leased">#N/A</definedName>
    <definedName name="LeaseEnd">#REF!</definedName>
    <definedName name="LeaseType">#REF!</definedName>
    <definedName name="leasetypename">#REF!</definedName>
    <definedName name="LeaseUp">#REF!</definedName>
    <definedName name="Leaseup_AL">#N/A</definedName>
    <definedName name="Leaseup_Alz">#N/A</definedName>
    <definedName name="Leaseup_IL">#N/A</definedName>
    <definedName name="Leaseup_start">#N/A</definedName>
    <definedName name="LeaseupConc">#REF!</definedName>
    <definedName name="leaseupmonth">#REF!</definedName>
    <definedName name="leasing_A">#REF!</definedName>
    <definedName name="LEASING_COM">#REF!</definedName>
    <definedName name="Ledger">#REF!</definedName>
    <definedName name="LEFT">#N/A</definedName>
    <definedName name="Leg1Override">#REF!</definedName>
    <definedName name="Leg2Override">#REF!</definedName>
    <definedName name="LENGTH">#REF!</definedName>
    <definedName name="LessCapital">#REF!</definedName>
    <definedName name="Lev">#REF!+1</definedName>
    <definedName name="lev_dm_base">#REF!</definedName>
    <definedName name="lev_dm_scen1">#REF!</definedName>
    <definedName name="lev_dm_scen2">#REF!</definedName>
    <definedName name="lev_dm_scen3">#REF!</definedName>
    <definedName name="lev_dm_scen4">#REF!</definedName>
    <definedName name="lev_dm_scen5">#REF!</definedName>
    <definedName name="lev_irr_base">#REF!</definedName>
    <definedName name="lev_irr_scen1">#REF!</definedName>
    <definedName name="lev_irr_scen2">#REF!</definedName>
    <definedName name="lev_irr_scen3">#REF!</definedName>
    <definedName name="lev_irr_scen4">#REF!</definedName>
    <definedName name="lev_irr_scen5">#REF!</definedName>
    <definedName name="LevCOF">#REF!*(#REF!/(#REF!+1))</definedName>
    <definedName name="levConCaverageYear1">#REF!</definedName>
    <definedName name="levConCYear1">#REF!</definedName>
    <definedName name="LevCutPt">#REF!</definedName>
    <definedName name="LevDelArea">#REF!,#REF!,#REF!,#REF!,#REF!</definedName>
    <definedName name="Level">#REF!</definedName>
    <definedName name="LeveredFundingReq" hidden="1">#REF!</definedName>
    <definedName name="LeveredIRR" hidden="1">#REF!</definedName>
    <definedName name="levIRRYear1">#REF!</definedName>
    <definedName name="LevPlusIncr">#REF!</definedName>
    <definedName name="LIBOR">#REF!</definedName>
    <definedName name="LIBORCap1">#REF!</definedName>
    <definedName name="LiborCap2">#REF!</definedName>
    <definedName name="LiborSwap">#REF!</definedName>
    <definedName name="LiborSwap20">#REF!</definedName>
    <definedName name="LifeCycle">#REF!</definedName>
    <definedName name="limcount" hidden="1">1</definedName>
    <definedName name="limited">#REF!</definedName>
    <definedName name="lineItem_0_.OperatingStmtItem.value">#REF!</definedName>
    <definedName name="LIST">#REF!</definedName>
    <definedName name="list_leaseTypes">#REF!</definedName>
    <definedName name="List_Property_Detail">#REF!</definedName>
    <definedName name="List_Property_Summary">#REF!</definedName>
    <definedName name="List_Scenarios">#REF!</definedName>
    <definedName name="List_Years">#REF!</definedName>
    <definedName name="ljh">#N/A</definedName>
    <definedName name="lkl">#REF!</definedName>
    <definedName name="LL">#REF!</definedName>
    <definedName name="lll" hidden="1">{#N/A,#N/A,FALSE,"Income Stmt";#N/A,#N/A,FALSE,"Income Summary"}</definedName>
    <definedName name="LLORENS__MABEL">#N/A</definedName>
    <definedName name="LOAN">#REF!</definedName>
    <definedName name="Loan_Amortization">#REF!</definedName>
    <definedName name="Loan_Amount">#REF!</definedName>
    <definedName name="LOAN_AMT">#REF!</definedName>
    <definedName name="LOAN_BORD">#REF!</definedName>
    <definedName name="Loan_Collateral_Type">#REF!</definedName>
    <definedName name="Loan_Committment">#REF!</definedName>
    <definedName name="Loan_Const_Initial">#REF!</definedName>
    <definedName name="Loan_Const_IntReserve">#REF!</definedName>
    <definedName name="Loan_Const_LTC">#REF!</definedName>
    <definedName name="Loan_Const_OpReserve">#REF!</definedName>
    <definedName name="Loan_Const_PayDown">#REF!</definedName>
    <definedName name="Loan_Const_Rate">#REF!</definedName>
    <definedName name="Loan_Const_Total">#REF!</definedName>
    <definedName name="Loan_Equity">#N/A</definedName>
    <definedName name="Loan_Hyperamortization">#REF!</definedName>
    <definedName name="Loan_Index">#REF!</definedName>
    <definedName name="Loan_Initial_Fund">#REF!</definedName>
    <definedName name="Loan_Lock_Box">#REF!</definedName>
    <definedName name="Loan_Lock_Box_Type">#REF!</definedName>
    <definedName name="Loan_Mezz">#REF!</definedName>
    <definedName name="Loan_Mezz_Accrue">#REF!</definedName>
    <definedName name="Loan_Mezz_Amt_CF">#REF!</definedName>
    <definedName name="Loan_Mezz_Current">#REF!</definedName>
    <definedName name="Loan_Mezz_End_Date_CF">#REF!</definedName>
    <definedName name="Loan_Mezz_Initial">#REF!</definedName>
    <definedName name="Loan_Mezz_IntRate_Pct_CF">#REF!</definedName>
    <definedName name="Loan_Mezz_IntReserve">#REF!</definedName>
    <definedName name="Loan_Mezz_LTC">#REF!</definedName>
    <definedName name="Loan_Mezz_LTVratio_Pct_DI">#REF!</definedName>
    <definedName name="Loan_Mezz_NetTotal">#REF!</definedName>
    <definedName name="Loan_Mezz_Rate">#REF!</definedName>
    <definedName name="Loan_Mezz_Start_Date_CF">#REF!</definedName>
    <definedName name="Loan_Mezz_Total">#REF!</definedName>
    <definedName name="Loan_Minimum_DSC">#REF!</definedName>
    <definedName name="Loan_MiniPerm">#REF!</definedName>
    <definedName name="Loan_Name">#REF!</definedName>
    <definedName name="Loan_Perm">#REF!</definedName>
    <definedName name="Loan_Perm_Amnt">#REF!</definedName>
    <definedName name="Loan_Perm_Amort">#REF!</definedName>
    <definedName name="Loan_Perm_CapRate">#REF!</definedName>
    <definedName name="Loan_Perm_DSCR">#REF!</definedName>
    <definedName name="Loan_Perm_LTV">#REF!</definedName>
    <definedName name="Loan_Perm_Rate">#REF!</definedName>
    <definedName name="Loan_Perm_RefiCost">#REF!</definedName>
    <definedName name="Loan_Preferred_Equity">#REF!</definedName>
    <definedName name="Loan_Preferred_Equity_Amount">#REF!</definedName>
    <definedName name="Loan_Purpose">#REF!</definedName>
    <definedName name="Loan_Rate_Locked">#REF!</definedName>
    <definedName name="Loan_Securitization_Pool">#REF!</definedName>
    <definedName name="Loan_Spread">#REF!</definedName>
    <definedName name="Loan_Spread_base">#REF!</definedName>
    <definedName name="loan_spread_scen1">#REF!</definedName>
    <definedName name="loan_spread_scen2">#REF!</definedName>
    <definedName name="loan_spread_scen3">#REF!</definedName>
    <definedName name="loan_spread_scen4">#REF!</definedName>
    <definedName name="loan_spread_scen5">#REF!</definedName>
    <definedName name="Loan_Term">#REF!</definedName>
    <definedName name="Loan_to_Value">#N/A</definedName>
    <definedName name="Loan_WC_IntRate_Annual_Pct_CF">#REF!</definedName>
    <definedName name="Loan_WC_LTVratio_CF">#REF!</definedName>
    <definedName name="Loan_WrkCap_Amt_CF">#REF!</definedName>
    <definedName name="loan1">#REF!</definedName>
    <definedName name="Loan2">#REF!</definedName>
    <definedName name="LoanAmount">#REF!</definedName>
    <definedName name="LoanBal5">#REF!</definedName>
    <definedName name="LoanBalance">#REF!</definedName>
    <definedName name="LoanBalLast">#REF!</definedName>
    <definedName name="loancosts">#REF!</definedName>
    <definedName name="LoanExFee">#REF!</definedName>
    <definedName name="LoanFeeAmt">#REF!</definedName>
    <definedName name="LoanFeePerc">#REF!</definedName>
    <definedName name="LoanPoints">#REF!</definedName>
    <definedName name="LOANPRICE">#REF!</definedName>
    <definedName name="LoanTable">#N/A</definedName>
    <definedName name="loantakeoutdate">#REF!</definedName>
    <definedName name="LoanType">#REF!</definedName>
    <definedName name="LOC">#N/A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SF">#REF!</definedName>
    <definedName name="Location">#N/A</definedName>
    <definedName name="Location_Information">#REF!</definedName>
    <definedName name="lockbox">#REF!</definedName>
    <definedName name="look_up_yield">#REF!</definedName>
    <definedName name="LOOKUP_COM">#REF!</definedName>
    <definedName name="LOOKUP_DATE">#REF!</definedName>
    <definedName name="LOOKUP_DATE1">#REF!</definedName>
    <definedName name="LOOKUP_MI">#REF!</definedName>
    <definedName name="LOOKUP_SP">#REF!</definedName>
    <definedName name="LOOKUP_TEN">#REF!</definedName>
    <definedName name="LOOKUP_TI">#REF!</definedName>
    <definedName name="LOOKUP_YEAR">#REF!</definedName>
    <definedName name="LOOPSUM">#N/A</definedName>
    <definedName name="lorin" hidden="1">{"schedules",#N/A,FALSE,"CTT_CLO";"scheduleA",#N/A,FALSE,"CTT_CLO";"scheduleB",#N/A,FALSE,"CTT_CLO";"scheduleCD",#N/A,FALSE,"CTT_CLO";"scheduleEF",#N/A,FALSE,"CTT_CLO"}</definedName>
    <definedName name="LOTPROFIT">#REF!</definedName>
    <definedName name="LOTRELEASE">#REF!</definedName>
    <definedName name="LP_H1">#REF!</definedName>
    <definedName name="LP_H2">#REF!</definedName>
    <definedName name="LP_PR">#REF!</definedName>
    <definedName name="LPFirstRow">#REF!</definedName>
    <definedName name="LPRODADJ">#REF!</definedName>
    <definedName name="LPS">#REF!</definedName>
    <definedName name="LS">#REF!</definedName>
    <definedName name="LSF">#N/A</definedName>
    <definedName name="Lst_T12s">#REF!</definedName>
    <definedName name="LTC">#REF!</definedName>
    <definedName name="LtL_2">#REF!</definedName>
    <definedName name="LtL_3">#REF!</definedName>
    <definedName name="LtL_4">#REF!</definedName>
    <definedName name="LtL_5">#REF!</definedName>
    <definedName name="LtL_6">#REF!</definedName>
    <definedName name="LTL_RR">#REF!</definedName>
    <definedName name="LTV">#REF!</definedName>
    <definedName name="LTV_show">#REF!</definedName>
    <definedName name="LTVIncr">#REF!</definedName>
    <definedName name="LTVPerc">#REF!</definedName>
    <definedName name="ltvscore">#REF!</definedName>
    <definedName name="ltvwgt">#REF!</definedName>
    <definedName name="ltvwgtscore">#REF!</definedName>
    <definedName name="LUP">#N/A</definedName>
    <definedName name="LY">#REF!</definedName>
    <definedName name="LYYTD">#REF!</definedName>
    <definedName name="M">#REF!</definedName>
    <definedName name="Macro2">[0]!Macro2</definedName>
    <definedName name="MAIN">#REF!</definedName>
    <definedName name="Maint">#REF!</definedName>
    <definedName name="Maint_Exp_Override">#N/A</definedName>
    <definedName name="Maint_Expense">#N/A</definedName>
    <definedName name="maintbonusgl">#REF!</definedName>
    <definedName name="maintsal">#REF!</definedName>
    <definedName name="Major_Capital_Expenditure_Program">#REF!</definedName>
    <definedName name="ManageFee">#REF!</definedName>
    <definedName name="managementfeeleaseup">#REF!</definedName>
    <definedName name="managementfeeopening">#REF!</definedName>
    <definedName name="managementfeestabilized">#REF!</definedName>
    <definedName name="MapBudMos">#REF!</definedName>
    <definedName name="MapBudStart">#REF!</definedName>
    <definedName name="MapDispMos">#REF!</definedName>
    <definedName name="MapDispStart">#REF!</definedName>
    <definedName name="MARKET">#REF!</definedName>
    <definedName name="Market_Occupancy">#REF!</definedName>
    <definedName name="MARKET02">#REF!</definedName>
    <definedName name="marketrentnom">#REF!</definedName>
    <definedName name="marketrentnominal">#REF!</definedName>
    <definedName name="marketrentpsf">#REF!</definedName>
    <definedName name="MarketRents">#N/A</definedName>
    <definedName name="markets">#REF!</definedName>
    <definedName name="marketscore">#REF!</definedName>
    <definedName name="marketunits">#REF!</definedName>
    <definedName name="marketunitsize">#REF!</definedName>
    <definedName name="MarketUpdate">#REF!</definedName>
    <definedName name="marketwgt">#REF!</definedName>
    <definedName name="marketwgtscore">#REF!</definedName>
    <definedName name="MARQUEZ__ELVIRA">#N/A</definedName>
    <definedName name="MARTRASH">#REF!</definedName>
    <definedName name="master_def">#REF!</definedName>
    <definedName name="MATADJ">#REF!</definedName>
    <definedName name="MatchPayCode">#REF!</definedName>
    <definedName name="MATHESON__JOHN">#N/A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TAX">#REF!</definedName>
    <definedName name="Max_LTV">#REF!</definedName>
    <definedName name="MaxNumExt">#REF!</definedName>
    <definedName name="MAYTRASH">#REF!</definedName>
    <definedName name="MCFADDEN__CECIL">#N/A</definedName>
    <definedName name="Meals_Associate">#N/A</definedName>
    <definedName name="Meals_Avg_Guest">#N/A</definedName>
    <definedName name="Meals_Avg_Residents">#N/A</definedName>
    <definedName name="Mel">#REF!</definedName>
    <definedName name="mem">#REF!</definedName>
    <definedName name="MENU">#REF!</definedName>
    <definedName name="MERRY_EXP">#REF!</definedName>
    <definedName name="MERRY_SQ">#REF!</definedName>
    <definedName name="Mezz_Int_Rate">#REF!</definedName>
    <definedName name="Mezz_Int_Reserve">#REF!</definedName>
    <definedName name="Mezz_Interest_Rate">#N/A</definedName>
    <definedName name="Mezz_Loan">#REF!</definedName>
    <definedName name="Mezz_Ori_Ratio">#REF!</definedName>
    <definedName name="Mezz_PayRate">#REF!</definedName>
    <definedName name="Mezz_Prepay">#REF!</definedName>
    <definedName name="mezzlev">#REF!</definedName>
    <definedName name="mezzlevfee">#REF!</definedName>
    <definedName name="mezzlevir">#REF!</definedName>
    <definedName name="MezzLoan_Ori_Maturity">#REF!</definedName>
    <definedName name="MezzLoan_Payoff">#REF!</definedName>
    <definedName name="MezzLoan_Subsequent_Disbursement">#REF!</definedName>
    <definedName name="mezzpoints">#REF!</definedName>
    <definedName name="mezzterm">#REF!</definedName>
    <definedName name="MF_Absptn_Unit">#REF!</definedName>
    <definedName name="MF_Occupancy_Economic">#REF!</definedName>
    <definedName name="MF_Units">#REF!</definedName>
    <definedName name="mgmt">#REF!</definedName>
    <definedName name="Mgmt_Fee">#N/A</definedName>
    <definedName name="MgmtBadDebt">#REF!</definedName>
    <definedName name="MgmtConcierge">#REF!</definedName>
    <definedName name="MgmtElectric">#REF!</definedName>
    <definedName name="MgmtFee">#REF!</definedName>
    <definedName name="MgmtGas">#REF!</definedName>
    <definedName name="MgmtOfficer">#REF!</definedName>
    <definedName name="MgmtPest">#REF!</definedName>
    <definedName name="MgmtTrash">#REF!</definedName>
    <definedName name="MgmtWater">#REF!</definedName>
    <definedName name="MGT">#N/A</definedName>
    <definedName name="MGTCO">#N/A</definedName>
    <definedName name="MgtFee">#REF!</definedName>
    <definedName name="MgtFeePct">#REF!</definedName>
    <definedName name="Midway">#REF!</definedName>
    <definedName name="midwayequityin">#REF!</definedName>
    <definedName name="midwayequityshare">#REF!</definedName>
    <definedName name="midwaypref">#REF!</definedName>
    <definedName name="Millage">#REF!</definedName>
    <definedName name="MillageRate">#REF!</definedName>
    <definedName name="MILLER__OLGA">#N/A</definedName>
    <definedName name="milrate">#REF!</definedName>
    <definedName name="Min_Constant">#REF!</definedName>
    <definedName name="Min_K_Loan_Size">#REF!</definedName>
    <definedName name="MinMgmtFee">#REF!</definedName>
    <definedName name="MinMgtFee">#REF!</definedName>
    <definedName name="MISCACT">#REF!</definedName>
    <definedName name="MiscInc">#REF!</definedName>
    <definedName name="MiscIncome">#REF!</definedName>
    <definedName name="MiscRev">#REF!</definedName>
    <definedName name="MissingText">#REF!</definedName>
    <definedName name="mixeduse">#REF!</definedName>
    <definedName name="mixeduselist">#REF!</definedName>
    <definedName name="MKRows">#REF!</definedName>
    <definedName name="mkt">#REF!</definedName>
    <definedName name="Mkt_Retail_Rent_PSF">#N/A</definedName>
    <definedName name="MKTG">#REF!</definedName>
    <definedName name="Mktg_Exp_Override">#N/A</definedName>
    <definedName name="Mktg_Expense">#N/A</definedName>
    <definedName name="mktrnt">#REF!</definedName>
    <definedName name="mlaLastRow">#REF!</definedName>
    <definedName name="MM_AssistantManager">#REF!</definedName>
    <definedName name="MM_Bookkeeper">#REF!</definedName>
    <definedName name="MM_LeasingConsultant">#REF!</definedName>
    <definedName name="MM_Manager">#REF!</definedName>
    <definedName name="mnum">#REF!</definedName>
    <definedName name="Model">#REF!</definedName>
    <definedName name="Model_5yr">#REF!</definedName>
    <definedName name="ModelMngr">#REF!</definedName>
    <definedName name="ModelType">#REF!</definedName>
    <definedName name="Module1.PRINT_2">#REF!</definedName>
    <definedName name="Module1.PRINT_3">#REF!</definedName>
    <definedName name="Module1.PRINT_A">#REF!</definedName>
    <definedName name="Module1.PRINT_BCCAM">#REF!</definedName>
    <definedName name="Module1.PRINT_BCMR">#REF!</definedName>
    <definedName name="Module1.PRINT_BCTAX">#REF!</definedName>
    <definedName name="Module1.PRINT_D">#REF!</definedName>
    <definedName name="Module1.PRINT_DETAILS">#REF!</definedName>
    <definedName name="Module1.PRINT_EDET">#REF!</definedName>
    <definedName name="Module1.PRINT_ESUM">#REF!</definedName>
    <definedName name="Module1.PRINT_F">#REF!</definedName>
    <definedName name="Module1.PRINT_GDET">#REF!</definedName>
    <definedName name="Module1.PRINT_GSUM">#REF!</definedName>
    <definedName name="Module1.PRINT_HDET">#REF!</definedName>
    <definedName name="Module1.PRINT_HSUM">#REF!</definedName>
    <definedName name="Module1.PRINT_J">#REF!</definedName>
    <definedName name="Module1.PRINT_OCCUPANCY">#REF!</definedName>
    <definedName name="Module1.PRINT_RECRATES">#REF!</definedName>
    <definedName name="Module1.PRINT_REVENUES">#REF!</definedName>
    <definedName name="Module2.PRINT_2">#REF!</definedName>
    <definedName name="Module2.PRINT_BCCAM">#REF!</definedName>
    <definedName name="Module2.PRINT_BCMR">#REF!</definedName>
    <definedName name="Module2.PRINT_BCPR">#REF!</definedName>
    <definedName name="Module2.PRINT_BCTAX">#REF!</definedName>
    <definedName name="Module2.PRINT_D">#REF!</definedName>
    <definedName name="Module2.PRINT_DETAILS">#REF!</definedName>
    <definedName name="Module2.PRINT_EDET">#REF!</definedName>
    <definedName name="Module2.PRINT_EXPENSES">#REF!</definedName>
    <definedName name="Module2.PRINT_F">#REF!</definedName>
    <definedName name="Module2.PRINT_GDET">#REF!</definedName>
    <definedName name="Module2.PRINT_HDET">#REF!</definedName>
    <definedName name="Module2.PRINT_HSUM">#REF!</definedName>
    <definedName name="Module2.PRINT_IDET">#REF!</definedName>
    <definedName name="Module2.PRINT_ISUM">#REF!</definedName>
    <definedName name="Module2.PRINT_J">#REF!</definedName>
    <definedName name="Module2.PRINT_REVENUES">#REF!</definedName>
    <definedName name="Module3.PRINT_GSUM">#REF!</definedName>
    <definedName name="Module4.PRINT_A">#REF!</definedName>
    <definedName name="Module4.PRINT_ESUM">#REF!</definedName>
    <definedName name="Module4.PRINT_REVENUES">#REF!</definedName>
    <definedName name="MOLY_ROW">#N/A</definedName>
    <definedName name="month">#REF!</definedName>
    <definedName name="month_table">#N/A</definedName>
    <definedName name="MonthLastYear">#REF!</definedName>
    <definedName name="Monthly">#N/A</definedName>
    <definedName name="MonthlyActuals">#REF!</definedName>
    <definedName name="monthlydraw">#N/A</definedName>
    <definedName name="Monthlytrends">#REF!</definedName>
    <definedName name="MonthRange">#REF!</definedName>
    <definedName name="Months">#REF!</definedName>
    <definedName name="Months_X">#REF!</definedName>
    <definedName name="monthstomovein">#REF!</definedName>
    <definedName name="MonthsToStabilize">#REF!</definedName>
    <definedName name="MOORE__FLETCHER">#N/A</definedName>
    <definedName name="MOORE__RUTH">#N/A</definedName>
    <definedName name="MOORIS__ALICE">#N/A</definedName>
    <definedName name="MortTerm">#REF!</definedName>
    <definedName name="movein">#REF!</definedName>
    <definedName name="MPRODADJ">#REF!</definedName>
    <definedName name="MSA">#REF!</definedName>
    <definedName name="MstFund_Pref_Return">#REF!</definedName>
    <definedName name="MstFund_Pro_Rata">#REF!</definedName>
    <definedName name="mths">#REF!</definedName>
    <definedName name="MTM">#REF!</definedName>
    <definedName name="MTP">#REF!</definedName>
    <definedName name="MULLER__MARJORI">#N/A</definedName>
    <definedName name="MULTI1STMOLEASES">#REF!</definedName>
    <definedName name="MULTIFIXEDOPEX">#REF!</definedName>
    <definedName name="MULTILEASESPERMO">#REF!</definedName>
    <definedName name="MULTIMGMTFEE">#REF!</definedName>
    <definedName name="MULTIMOCONCESS">#REF!</definedName>
    <definedName name="MULTIOPEXUNIT">#REF!</definedName>
    <definedName name="MULTISTABOCC">#REF!</definedName>
    <definedName name="MULTITURNRATE">#REF!</definedName>
    <definedName name="myDialog">"dial"</definedName>
    <definedName name="NACC_GPR">#REF!</definedName>
    <definedName name="NACC_TEGI">#REF!</definedName>
    <definedName name="Nada">#REF!</definedName>
    <definedName name="NAME">#REF!</definedName>
    <definedName name="name1" hidden="1">{"SIMPLIFD_P1",#N/A,FALSE,"SIMPLIFD"}</definedName>
    <definedName name="Nane2" hidden="1">{"TEST1",#N/A,FALSE,"SIMPLIFD"}</definedName>
    <definedName name="NAProb">#N/A</definedName>
    <definedName name="NCCONEST">#REF!</definedName>
    <definedName name="NELSON__CARRIE">#N/A</definedName>
    <definedName name="net_cash_base">#REF!</definedName>
    <definedName name="net_cash_scen1">#REF!</definedName>
    <definedName name="net_cash_scen2">#REF!</definedName>
    <definedName name="net_cash_scen3">#REF!</definedName>
    <definedName name="net_cash_scen4">#REF!</definedName>
    <definedName name="net_cash_scen5">#REF!</definedName>
    <definedName name="NET_INCOME_MTD">#REF!</definedName>
    <definedName name="NET_INCOME_YTD">#REF!</definedName>
    <definedName name="net_sales_proceeds">#N/A</definedName>
    <definedName name="NetAcreage">#REF!</definedName>
    <definedName name="NetProceedFinal">#REF!</definedName>
    <definedName name="netpurchaseprice">#REF!</definedName>
    <definedName name="NetSalesPrice">#REF!</definedName>
    <definedName name="NetSalesPricePV">#REF!</definedName>
    <definedName name="NETSF">#REF!</definedName>
    <definedName name="networkingcapital">#REF!</definedName>
    <definedName name="new" hidden="1">#REF!</definedName>
    <definedName name="New_Prop">#REF!</definedName>
    <definedName name="New_Table">#REF!</definedName>
    <definedName name="NewAccount">#REF!</definedName>
    <definedName name="newdeals">#N/A</definedName>
    <definedName name="NEWDEBT">#REF!</definedName>
    <definedName name="NewEmployee">#REF!</definedName>
    <definedName name="newhtml" hidden="1">{"'Assump'!$F$6:$J$6"}</definedName>
    <definedName name="NewPrint">#REF!</definedName>
    <definedName name="NEWSTARTDATE">#N/A</definedName>
    <definedName name="NextBuyerSaleLookup">#REF!</definedName>
    <definedName name="NiacCapital">#N/A</definedName>
    <definedName name="nn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n">#REF!</definedName>
    <definedName name="no_bldgs">#REF!</definedName>
    <definedName name="No_Financial_Months">#N/A</definedName>
    <definedName name="NOI">#REF!</definedName>
    <definedName name="NOI_Description">#REF!</definedName>
    <definedName name="NOI_offset">#REF!</definedName>
    <definedName name="noibaseyear">#REF!</definedName>
    <definedName name="noicategory">#REF!</definedName>
    <definedName name="NOILENDER">#REF!</definedName>
    <definedName name="noiReturnYear1">#REF!</definedName>
    <definedName name="noistabilizedyear">#REF!</definedName>
    <definedName name="NOMO">#N/A</definedName>
    <definedName name="NONAdmin.EquipmentRentalRep.">#REF!</definedName>
    <definedName name="NONAdmin.SupportAssetMgt.">#REF!</definedName>
    <definedName name="NONAdmin.SupportFinancial">#REF!</definedName>
    <definedName name="NONAdmin.SupportLeasing">#REF!</definedName>
    <definedName name="NONAdmin.SupportMIS">#REF!</definedName>
    <definedName name="NONAdmin.SupportTenantRel.">#REF!</definedName>
    <definedName name="NONArchitectureSpacePlanning">#REF!</definedName>
    <definedName name="NONAuto">#REF!</definedName>
    <definedName name="NONBadDebtExpense">#REF!</definedName>
    <definedName name="NONBillableElectricity">#REF!</definedName>
    <definedName name="NONCableCosts">#REF!</definedName>
    <definedName name="NONCarpetFloorRepairMaint.">#REF!</definedName>
    <definedName name="NONCentralPlantCost">#REF!</definedName>
    <definedName name="NONCentralPlantElectricity">#REF!</definedName>
    <definedName name="NONCharitableContributions">#REF!</definedName>
    <definedName name="NONCleaningSupplies">#REF!</definedName>
    <definedName name="NONClubDues">#REF!</definedName>
    <definedName name="NONCommunications">#REF!</definedName>
    <definedName name="NONConciergeExpense">#REF!</definedName>
    <definedName name="NONConsultingFees">#REF!</definedName>
    <definedName name="NONContractServicesCleaning">#REF!</definedName>
    <definedName name="NONContractServicesElectrical">#REF!</definedName>
    <definedName name="NONContractServicesElevator">#REF!</definedName>
    <definedName name="NONContractServicesHVAC">#REF!</definedName>
    <definedName name="NONContractServicesSecurity">#REF!</definedName>
    <definedName name="NONContractSvc.Ext.Landscape">#REF!</definedName>
    <definedName name="NONContractSvc.FireLifeSafety">#REF!</definedName>
    <definedName name="NONContractSvc.Gen.Building">#REF!</definedName>
    <definedName name="NONContractSvc.Int.Landscape">#REF!</definedName>
    <definedName name="NONCourierDeliveryCharges">#REF!</definedName>
    <definedName name="NONDataProcessingExpense">#REF!</definedName>
    <definedName name="NONDayCleaningLabor">#REF!</definedName>
    <definedName name="NONDecoratingPublicArea">#REF!</definedName>
    <definedName name="NONdvertisingPromotion">#REF!</definedName>
    <definedName name="NONE">#REF!</definedName>
    <definedName name="NONEIC">#REF!</definedName>
    <definedName name="NONElectricalSupplies">#REF!</definedName>
    <definedName name="NONElectricity">#REF!</definedName>
    <definedName name="NONElevatorServiceCalls">#REF!</definedName>
    <definedName name="NONElevatorSupplies">#REF!</definedName>
    <definedName name="NONEmployeeBenefits">#REF!</definedName>
    <definedName name="NONEmployeeParking">#REF!</definedName>
    <definedName name="NONEmployeeRelations">#REF!</definedName>
    <definedName name="NONEngineeringEIC">#REF!</definedName>
    <definedName name="NONEngineeringEmployeeBenefits">#REF!</definedName>
    <definedName name="NONEngineeringHealthLife">#REF!</definedName>
    <definedName name="NONEngineeringLTD">#REF!</definedName>
    <definedName name="NONEngineeringPRTaxes">#REF!</definedName>
    <definedName name="NONEngineeringPRTaxesFUI">#REF!</definedName>
    <definedName name="NONEngineeringPRTaxesSUI">#REF!</definedName>
    <definedName name="NONEngineeringSalaries">#REF!</definedName>
    <definedName name="NONEngineeringSupplies">#REF!</definedName>
    <definedName name="NONEntertainment">#REF!</definedName>
    <definedName name="NONEquipmentRental">#REF!</definedName>
    <definedName name="NONExteriorRepairsMaint.">#REF!</definedName>
    <definedName name="NONFireLifeSafetySupplies">#REF!</definedName>
    <definedName name="NONGarageExpense">#REF!</definedName>
    <definedName name="NONGas">#REF!</definedName>
    <definedName name="NONGeneralBuildingSupplies">#REF!</definedName>
    <definedName name="NONGiftLeasebackExpense">#REF!</definedName>
    <definedName name="NONGlassRepair">#REF!</definedName>
    <definedName name="NONGroundLeaseExpense">#REF!</definedName>
    <definedName name="NONHealthAndLifeInsurance">#REF!</definedName>
    <definedName name="NONHiringFees">#REF!</definedName>
    <definedName name="NONHVCSupplies">#REF!</definedName>
    <definedName name="NONInteriorMaintenanceRepair">#REF!</definedName>
    <definedName name="NONLandscapeSupplies">#REF!</definedName>
    <definedName name="NONLeasingClubDues">#REF!</definedName>
    <definedName name="NONLeasingEntertainment">#REF!</definedName>
    <definedName name="NONLeasingGeneral">#REF!</definedName>
    <definedName name="NONLeasingMeals">#REF!</definedName>
    <definedName name="NONLeasingProfessionalDues">#REF!</definedName>
    <definedName name="NONLeasingTravelExpense">#REF!</definedName>
    <definedName name="NONLegalFees">#REF!</definedName>
    <definedName name="NONLightBulbs">#REF!</definedName>
    <definedName name="NONLockSetKeys">#REF!</definedName>
    <definedName name="NONLongTermDisability">#REF!</definedName>
    <definedName name="NONManagementFee">#REF!</definedName>
    <definedName name="NONMeals">#REF!</definedName>
    <definedName name="NONMetalRefinishing">#REF!</definedName>
    <definedName name="NonMkt_Retail_Rent_PSF">#N/A</definedName>
    <definedName name="NONMovingExpense">#REF!</definedName>
    <definedName name="NONNewPlantPurchase">#REF!</definedName>
    <definedName name="NONNightCleaningLabor">#REF!</definedName>
    <definedName name="NONOfficeSupplies">#REF!</definedName>
    <definedName name="NONOtherInsuranceClaims">#REF!</definedName>
    <definedName name="NONOtherManagementFee">#REF!</definedName>
    <definedName name="NONOtherTaxAssessments">#REF!</definedName>
    <definedName name="NONPaintingSupplies">#REF!</definedName>
    <definedName name="NONParkingLotRentExpense">#REF!</definedName>
    <definedName name="NONParkingLotRepairs">#REF!</definedName>
    <definedName name="NONPayrollProcessing">#REF!</definedName>
    <definedName name="NONPayrollTaxes">#REF!</definedName>
    <definedName name="NONPayrollTaxesFUI">#REF!</definedName>
    <definedName name="NONPayrollTaxesSUI">#REF!</definedName>
    <definedName name="NONPensionPlan">#REF!</definedName>
    <definedName name="NONPestControl">#REF!</definedName>
    <definedName name="NONPlumbingSuppliesRepairs">#REF!</definedName>
    <definedName name="NONPostage">#REF!</definedName>
    <definedName name="NONPrinting">#REF!</definedName>
    <definedName name="NONProfessionalDues">#REF!</definedName>
    <definedName name="NONPropertyInsurance">#REF!</definedName>
    <definedName name="NONPropertyManagementCost">#REF!</definedName>
    <definedName name="NONPropertyTaxes">#REF!</definedName>
    <definedName name="NONRecycling">#REF!</definedName>
    <definedName name="NonRefFeePerTurn">#REF!</definedName>
    <definedName name="NonRefFeePerTurnYr2">#REF!</definedName>
    <definedName name="NonRefFeePerTurnYr3">#REF!</definedName>
    <definedName name="NONRentExpense">#REF!</definedName>
    <definedName name="NONRepairsMaint.Electrical">#REF!</definedName>
    <definedName name="NONRepairsMaint.FireLifeSafety">#REF!</definedName>
    <definedName name="NONRepairsMaint.HVAC">#REF!</definedName>
    <definedName name="NONRepairsMaint.Security">#REF!</definedName>
    <definedName name="Nonrevenue">#REF!</definedName>
    <definedName name="NONREVUN">#N/A</definedName>
    <definedName name="NONRoofTopRepairs">#REF!</definedName>
    <definedName name="NONSalaries">#REF!</definedName>
    <definedName name="NONSalesTaxExpense">#REF!</definedName>
    <definedName name="NONSecurityEIC">#REF!</definedName>
    <definedName name="NONSecurityEmployeeBenefits">#REF!</definedName>
    <definedName name="NONSecurityHealthLifeIns.">#REF!</definedName>
    <definedName name="NONSecurityLTD">#REF!</definedName>
    <definedName name="NONSecurityPRTaxes">#REF!</definedName>
    <definedName name="NONSecurityPRTaxesFUI">#REF!</definedName>
    <definedName name="NONSecurityPRTaxesSUI">#REF!</definedName>
    <definedName name="NONSecuritySalaries">#REF!</definedName>
    <definedName name="NONSecuritySupplies">#REF!</definedName>
    <definedName name="NONSecuritySystemMonitoring">#REF!</definedName>
    <definedName name="NONSecurityTelephone">#REF!</definedName>
    <definedName name="NONSewer">#REF!</definedName>
    <definedName name="NONSignage">#REF!</definedName>
    <definedName name="NONSnowRemoval">#REF!</definedName>
    <definedName name="NONSteam">#REF!</definedName>
    <definedName name="NONSubscriptionsPublications">#REF!</definedName>
    <definedName name="NONTelephone">#REF!</definedName>
    <definedName name="NONTemporaryWages">#REF!</definedName>
    <definedName name="NONTenantRelations">#REF!</definedName>
    <definedName name="NONThriftPlan401K">#REF!</definedName>
    <definedName name="NONTrainingSeminars">#REF!</definedName>
    <definedName name="NONTrashPickup">#REF!</definedName>
    <definedName name="NONTravelExpense">#REF!</definedName>
    <definedName name="NONUnemploymentTax">#REF!</definedName>
    <definedName name="NONUniformRental">#REF!</definedName>
    <definedName name="NONValetParking">#REF!</definedName>
    <definedName name="NONWater">#REF!</definedName>
    <definedName name="NONWaterTreatment">#REF!</definedName>
    <definedName name="NONWindowWashing">#REF!</definedName>
    <definedName name="NONWorkersCompensationIns.">#REF!</definedName>
    <definedName name="NOP">#REF!</definedName>
    <definedName name="notes">#REF!</definedName>
    <definedName name="Notional">#REF!</definedName>
    <definedName name="NOVTRASH">#REF!</definedName>
    <definedName name="NPV_Project">#N/A</definedName>
    <definedName name="NPVSUMMARY">#REF!</definedName>
    <definedName name="NPYA">#REF!</definedName>
    <definedName name="NRA">#REF!</definedName>
    <definedName name="NRA_SF">#REF!</definedName>
    <definedName name="nratot">#REF!</definedName>
    <definedName name="nrCFHistActualsDate">#REF!</definedName>
    <definedName name="nrClearRange1">#REF!</definedName>
    <definedName name="nrClearRange2">#REF!</definedName>
    <definedName name="nrClearRange3">#REF!</definedName>
    <definedName name="nrDownloadRange1">#REF!</definedName>
    <definedName name="nrDownloadRange2">#REF!</definedName>
    <definedName name="nrDownloadRange3">#REF!</definedName>
    <definedName name="nrEffYear">#REF!</definedName>
    <definedName name="NRPinflation">#REF!</definedName>
    <definedName name="NRSF">#REF!</definedName>
    <definedName name="nrSheetB">#REF!</definedName>
    <definedName name="NRUnit01">#REF!</definedName>
    <definedName name="NRUnit01AnnualDiscount">#REF!</definedName>
    <definedName name="NRUnit01Description">#REF!</definedName>
    <definedName name="NRUnit01Discount">#REF!</definedName>
    <definedName name="NRUnit01Discountpercent">#REF!</definedName>
    <definedName name="NRUnit01ProjectedRent">#REF!</definedName>
    <definedName name="NRUnit01Type">#REF!</definedName>
    <definedName name="NRUnit01Use">#REF!</definedName>
    <definedName name="NRUnit02">#REF!</definedName>
    <definedName name="NRUnit02Annualdiscount">#REF!</definedName>
    <definedName name="NRUnit02Description">#REF!</definedName>
    <definedName name="NRUnit02Discountpercent">#REF!</definedName>
    <definedName name="NRUnit02ProjectedRent">#REF!</definedName>
    <definedName name="NRUnit02Type">#REF!</definedName>
    <definedName name="NRUnit02Use">#REF!</definedName>
    <definedName name="NRUnit03">#REF!</definedName>
    <definedName name="NRUnit03AnnualDiscount">#REF!</definedName>
    <definedName name="NRUnit03Description">#REF!</definedName>
    <definedName name="NRUnit03Discountpercent">#REF!</definedName>
    <definedName name="NRUnit03ProjectedRent">#REF!</definedName>
    <definedName name="NRUnit03Type">#REF!</definedName>
    <definedName name="NRUnit03Use">#REF!</definedName>
    <definedName name="NRUnitsTotal">#REF!</definedName>
    <definedName name="NRUnitsTotalAnnualDiscount">#REF!</definedName>
    <definedName name="NRUnitsTotalDiscountPercent">#REF!</definedName>
    <definedName name="NRUnitsTotalProjectedRent">#REF!</definedName>
    <definedName name="nrVersion">#REF!</definedName>
    <definedName name="NS">#N/A</definedName>
    <definedName name="nsf">#REF!</definedName>
    <definedName name="nssss">#REF!</definedName>
    <definedName name="Number">#REF!</definedName>
    <definedName name="Number_of_Payments">MATCH(0.01,End_Bal,-1)+1</definedName>
    <definedName name="NumberYears">#REF!</definedName>
    <definedName name="NUMCHECK">#N/A</definedName>
    <definedName name="NUMCOPIES">#REF!</definedName>
    <definedName name="NUMENTRIES">#N/A</definedName>
    <definedName name="numext_base">#REF!</definedName>
    <definedName name="numext_scen1">#REF!</definedName>
    <definedName name="numext_scen2">#REF!</definedName>
    <definedName name="numext_scen3">#REF!</definedName>
    <definedName name="numext_scen4">#REF!</definedName>
    <definedName name="numext_scen5">#REF!</definedName>
    <definedName name="NumGrids">#REF!</definedName>
    <definedName name="NumMonths">#REF!</definedName>
    <definedName name="NUMUNITS">#REF!</definedName>
    <definedName name="NumUnitsByType">#REF!</definedName>
    <definedName name="NUSSBAUM__ANNA">#N/A</definedName>
    <definedName name="NvsAnswerCol">"[MA0610701_PC008.xls]Sheet2!$A$4:$A$7628"</definedName>
    <definedName name="NvsASD">"V2007-09-30"</definedName>
    <definedName name="NvsAutoDrillOk">"VY"</definedName>
    <definedName name="NvsElapsedTime">0.000277777777228039</definedName>
    <definedName name="NvsEndTime">39364.4517824074</definedName>
    <definedName name="NvsInstanceHook">"formatDates()"</definedName>
    <definedName name="NvsInstLang">"VENG"</definedName>
    <definedName name="NvsInstSpec">"%,FPROJECT_ID,VMA0610701"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"%,XZF.ACCOUNT.PSDetail"</definedName>
    <definedName name="NvsPanelBusUnit">"V"</definedName>
    <definedName name="NvsPanelEffdt">"V1999-01-01"</definedName>
    <definedName name="NvsPanelSetid">"V04000"</definedName>
    <definedName name="NvsReqBU">"V04000"</definedName>
    <definedName name="NvsReqBUOnly">"VN"</definedName>
    <definedName name="NvsTransLed">"VN"</definedName>
    <definedName name="NvsTreeASD">"V2007-09-30"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PRODUCT">"PRODUCT_TBL"</definedName>
    <definedName name="NvsValTbl.RESOURCE_CATEGORY">"PROJ_CATG_TBL"</definedName>
    <definedName name="NvsValTbl.STATISTICS_CODE">"STAT_TBL"</definedName>
    <definedName name="nyny" hidden="1">{#N/A,#N/A,FALSE,"Income Stmt";#N/A,#N/A,FALSE,"Income Summary"}</definedName>
    <definedName name="OAAbatementModifier">#REF!</definedName>
    <definedName name="OAAccountCodes">#REF!</definedName>
    <definedName name="OAApartment">#REF!</definedName>
    <definedName name="OAAreaMeasures">#REF!</definedName>
    <definedName name="OABreakpoints">#REF!</definedName>
    <definedName name="OAConProps">#REF!</definedName>
    <definedName name="OACPIRent">#REF!</definedName>
    <definedName name="OACriteria">#REF!</definedName>
    <definedName name="OADebt">#REF!</definedName>
    <definedName name="OADefault">#REF!</definedName>
    <definedName name="OADetailedReimbursementMethods">#REF!</definedName>
    <definedName name="OADistribution">#REF!</definedName>
    <definedName name="OADIV">#REF!</definedName>
    <definedName name="OADIV2">#REF!</definedName>
    <definedName name="OAEscrow">#REF!</definedName>
    <definedName name="OAExpenseGrp">#REF!</definedName>
    <definedName name="OAFootnotes">#REF!</definedName>
    <definedName name="OAGCur">#REF!</definedName>
    <definedName name="OAGDIV">#REF!</definedName>
    <definedName name="OAGDIVC">#REF!</definedName>
    <definedName name="OAGFor">#REF!</definedName>
    <definedName name="OAGIGroups">#REF!</definedName>
    <definedName name="OAGLeaseType">#REF!</definedName>
    <definedName name="OAGLMod">#REF!</definedName>
    <definedName name="OAGLV">#REF!</definedName>
    <definedName name="OAGPLabels">#REF!</definedName>
    <definedName name="OAGPType">#REF!</definedName>
    <definedName name="OAGRepPackage">#REF!</definedName>
    <definedName name="OAGTenantCat">#REF!</definedName>
    <definedName name="OAHotelRooms">#REF!</definedName>
    <definedName name="OAIntelligentRenewals">#REF!</definedName>
    <definedName name="OALAssoc">#REF!</definedName>
    <definedName name="OALeaseType">#REF!</definedName>
    <definedName name="OALevels">#REF!</definedName>
    <definedName name="OALGroup">#REF!</definedName>
    <definedName name="OALPart">#REF!</definedName>
    <definedName name="OAMarketLeasing">#REF!</definedName>
    <definedName name="OAMaster">#REF!</definedName>
    <definedName name="OAMasterScenario">#REF!</definedName>
    <definedName name="OAMiscellaneousRent">#REF!</definedName>
    <definedName name="OAMonthsInput">#REF!</definedName>
    <definedName name="OAMultipleScenarios">#REF!</definedName>
    <definedName name="OAMVA">#REF!</definedName>
    <definedName name="OANPV">#REF!</definedName>
    <definedName name="OAOutput">#REF!</definedName>
    <definedName name="OAPartnerGroups">#REF!</definedName>
    <definedName name="OAPayOpt">#REF!</definedName>
    <definedName name="OAPercentOfLine">#REF!</definedName>
    <definedName name="OAPeriodicity">#REF!</definedName>
    <definedName name="OAPortersWage">#REF!</definedName>
    <definedName name="OAPortfolio">#REF!</definedName>
    <definedName name="OAPropDescription">#REF!</definedName>
    <definedName name="OAProperty">#REF!</definedName>
    <definedName name="OAPropertyRange">#REF!</definedName>
    <definedName name="OAPRRColumn">#REF!</definedName>
    <definedName name="OARange">#REF!</definedName>
    <definedName name="OARefDate">#REF!</definedName>
    <definedName name="OARentRoll">#REF!</definedName>
    <definedName name="OAReportOptions">#REF!</definedName>
    <definedName name="OARepPackage">#REF!</definedName>
    <definedName name="OARevCurve">#REF!</definedName>
    <definedName name="OARevEx">#REF!</definedName>
    <definedName name="OASales">#REF!</definedName>
    <definedName name="OASalesVolume">#REF!</definedName>
    <definedName name="OAScenario">#REF!</definedName>
    <definedName name="OASCurve">#REF!</definedName>
    <definedName name="OAStatus">#REF!</definedName>
    <definedName name="OASteppedInput">#REF!</definedName>
    <definedName name="OATax">#REF!</definedName>
    <definedName name="OATenantCat">#REF!</definedName>
    <definedName name="OATenantGroups">#REF!</definedName>
    <definedName name="OATenantRange">#REF!</definedName>
    <definedName name="OAUnitData">#REF!</definedName>
    <definedName name="OAYearsCategory">#REF!</definedName>
    <definedName name="OAYearsInput">#REF!</definedName>
    <definedName name="OCC">#N/A</definedName>
    <definedName name="Occ_2">#REF!</definedName>
    <definedName name="Occ_3">#REF!</definedName>
    <definedName name="Occ_4">#REF!</definedName>
    <definedName name="Occ_5">#REF!</definedName>
    <definedName name="Occ_6">#REF!</definedName>
    <definedName name="occ_mkt">#REF!</definedName>
    <definedName name="occ_submkt">#REF!</definedName>
    <definedName name="occcost">#REF!</definedName>
    <definedName name="OccUnits">#REF!</definedName>
    <definedName name="occupancy">#N/A</definedName>
    <definedName name="OccupBorder">#REF!</definedName>
    <definedName name="OccupEcon">#REF!</definedName>
    <definedName name="OccupEconAvg">#REF!</definedName>
    <definedName name="OccupPerc">#REF!</definedName>
    <definedName name="occupscore">#REF!</definedName>
    <definedName name="OccupSF">#REF!</definedName>
    <definedName name="OccupStart">#REF!</definedName>
    <definedName name="occupwgt">#REF!</definedName>
    <definedName name="occupwgtscore">#REF!</definedName>
    <definedName name="OCTTRASH">#REF!</definedName>
    <definedName name="OEIPSF">#REF!</definedName>
    <definedName name="oeirent">#REF!</definedName>
    <definedName name="oeirent2">#REF!</definedName>
    <definedName name="OFFICE">#REF!</definedName>
    <definedName name="oldhtl" hidden="1">{"'Assump'!$F$6:$J$6"}</definedName>
    <definedName name="om" hidden="1">{#N/A,#N/A,FALSE,"Matrix";#N/A,#N/A,FALSE,"Cash Flow";#N/A,#N/A,FALSE,"10 Year Cost Analysis"}</definedName>
    <definedName name="omm" hidden="1">{#N/A,#N/A,FALSE,"matx B4 DS";#N/A,#N/A,FALSE,"matx B4 DS Hac";#N/A,#N/A,FALSE,"matx B4 DS Chabot";#N/A,#N/A,FALSE,"matx B4 DS Diablo"}</definedName>
    <definedName name="OneBRData">#REF!</definedName>
    <definedName name="OneBRRents">#REF!</definedName>
    <definedName name="onoff">#REF!</definedName>
    <definedName name="Op_Stmt_Lookup_Key">#REF!</definedName>
    <definedName name="Op_Stmt_Lookup_Range">#REF!</definedName>
    <definedName name="Op_Stmt_Reconciliation_Lookup_Date_1994">#REF!</definedName>
    <definedName name="Op_Stmt_Reconciliation_Lookup_Date_1995">#REF!</definedName>
    <definedName name="Op_Stmt_Reconciliation_Lookup_Date_1996">#REF!</definedName>
    <definedName name="Op_Stmt_Reconciliation_Lookup_Date_T12">#REF!</definedName>
    <definedName name="Op_Stmt_Reconciliation_Lookup_Date_YTD">#REF!</definedName>
    <definedName name="Op_Stmt_Reconciliation_Lookup_Date_YTD_Annual">#REF!</definedName>
    <definedName name="OpDef">#N/A</definedName>
    <definedName name="OPENGRATES">#REF!</definedName>
    <definedName name="openingrent">#REF!</definedName>
    <definedName name="Operating_Budget">#REF!</definedName>
    <definedName name="OperatingComparison">#N/A</definedName>
    <definedName name="operatingdeficit">#REF!</definedName>
    <definedName name="OPRODADJ">#REF!</definedName>
    <definedName name="OpSt_Date">#REF!</definedName>
    <definedName name="opt1pp">#REF!</definedName>
    <definedName name="optPrint">#REF!</definedName>
    <definedName name="Ori_AmortizationTerm">#REF!</definedName>
    <definedName name="Orig_AIC">#REF!</definedName>
    <definedName name="OriginalDealID" hidden="1">#REF!</definedName>
    <definedName name="Originator_Application_No">#REF!</definedName>
    <definedName name="Originator_City">#REF!</definedName>
    <definedName name="Originator_Contact">#REF!</definedName>
    <definedName name="Originator_Fax">#REF!</definedName>
    <definedName name="Originator_Name">#REF!</definedName>
    <definedName name="Originator_Phone">#REF!</definedName>
    <definedName name="Originator_Site_Visit_Date">#REF!</definedName>
    <definedName name="Originator_State">#REF!</definedName>
    <definedName name="Originator_Street">#REF!</definedName>
    <definedName name="Originator_UW_Cash_Flow">#REF!</definedName>
    <definedName name="Originator_UW_Net_Cash_Flow">#REF!</definedName>
    <definedName name="Originator_Zip">#REF!</definedName>
    <definedName name="origs">#N/A</definedName>
    <definedName name="OSF">#REF!</definedName>
    <definedName name="OTHER">#N/A</definedName>
    <definedName name="OTHER_FEE">#REF!</definedName>
    <definedName name="Other_Revenue">#N/A</definedName>
    <definedName name="OTHERACT">#REF!</definedName>
    <definedName name="OtherClosingCosts">#REF!</definedName>
    <definedName name="OtherClosingCosts2">#REF!</definedName>
    <definedName name="otherincome">#N/A</definedName>
    <definedName name="outputs">#REF!</definedName>
    <definedName name="Outs">#REF!</definedName>
    <definedName name="over">#N/A</definedName>
    <definedName name="Overage">#REF!</definedName>
    <definedName name="override_insurance">#N/A</definedName>
    <definedName name="override_taxes">#N/A</definedName>
    <definedName name="override_utilities">#N/A</definedName>
    <definedName name="own_pct">#REF!</definedName>
    <definedName name="Owner">#REF!</definedName>
    <definedName name="Ownership">#REF!</definedName>
    <definedName name="P_A">#REF!</definedName>
    <definedName name="Package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CT_BUD">#REF!</definedName>
    <definedName name="PACTBUD">#REF!</definedName>
    <definedName name="PadAmount">#REF!</definedName>
    <definedName name="PaddingAmounts">#REF!</definedName>
    <definedName name="PAGE1">#REF!</definedName>
    <definedName name="PAGE10">#N/A</definedName>
    <definedName name="PAGE11">#N/A</definedName>
    <definedName name="PAGE12">#N/A</definedName>
    <definedName name="PAGE2">#REF!</definedName>
    <definedName name="PAGE3">#REF!</definedName>
    <definedName name="PAGE4">#REF!</definedName>
    <definedName name="PAGE4A">#REF!</definedName>
    <definedName name="PAGE5">#N/A</definedName>
    <definedName name="PAGE6">#REF!</definedName>
    <definedName name="PAGE7">#REF!</definedName>
    <definedName name="PAGE8">#REF!</definedName>
    <definedName name="PAGE9">#REF!</definedName>
    <definedName name="PageBreak1">#REF!</definedName>
    <definedName name="PaintContractPerTurn">#REF!</definedName>
    <definedName name="PaintInHousePerTurn">#REF!</definedName>
    <definedName name="PAPAR">#REF!</definedName>
    <definedName name="Param_CumRent" hidden="1">#REF!</definedName>
    <definedName name="Param_CurrentDate" hidden="1">#REF!</definedName>
    <definedName name="Param_DRCredit" hidden="1">#REF!</definedName>
    <definedName name="Param_DRNonCredit" hidden="1">#REF!</definedName>
    <definedName name="Param_IncludeCPI" hidden="1">#REF!</definedName>
    <definedName name="Param_IncludePercentRent" hidden="1">#REF!</definedName>
    <definedName name="Param_IncludePW" hidden="1">#REF!</definedName>
    <definedName name="Param_Inclusion" hidden="1">#REF!</definedName>
    <definedName name="Param_PVAbatement" hidden="1">#REF!</definedName>
    <definedName name="Param_SLAbatement" hidden="1">#REF!</definedName>
    <definedName name="Param_VacMarket" hidden="1">#REF!</definedName>
    <definedName name="Param_VacRenew" hidden="1">#REF!</definedName>
    <definedName name="Param_VacVacate" hidden="1">#REF!</definedName>
    <definedName name="PARKERSON__NETT">#N/A</definedName>
    <definedName name="PARKING">#REF!</definedName>
    <definedName name="Parking_Rate_Monthly">#N/A</definedName>
    <definedName name="parkingratio">#REF!</definedName>
    <definedName name="parkingresispaces">#REF!</definedName>
    <definedName name="parkingretailspaces">#REF!</definedName>
    <definedName name="parklot">#REF!</definedName>
    <definedName name="ParkRev">#REF!</definedName>
    <definedName name="part">#REF!</definedName>
    <definedName name="PARTIALYRMONTHS">#REF!</definedName>
    <definedName name="partner">#REF!</definedName>
    <definedName name="partner1">#REF!</definedName>
    <definedName name="partner2">#REF!</definedName>
    <definedName name="partner3">#REF!</definedName>
    <definedName name="partnerequityin">#REF!</definedName>
    <definedName name="partnerequityshare">#REF!</definedName>
    <definedName name="partnerpref">#REF!</definedName>
    <definedName name="PartnershipIRR" hidden="1">#REF!</definedName>
    <definedName name="PATH">#REF!</definedName>
    <definedName name="PayDetail">#REF!</definedName>
    <definedName name="Payment_Date">DATE(YEAR(Loan_Start),MONTH(Loan_Start)+Payment_Number,DAY(Loan_Start))</definedName>
    <definedName name="payment.Num">IF(OR(#REF!="",#REF!=Total_payments),"",#REF!+1)</definedName>
    <definedName name="Payments_per_year">#REF!</definedName>
    <definedName name="PaymentsAnchor">#REF!</definedName>
    <definedName name="PaymentsPerYear">#REF!</definedName>
    <definedName name="payoff">#REF!</definedName>
    <definedName name="Payroll_Taxes">#N/A</definedName>
    <definedName name="Payroll11">#REF!</definedName>
    <definedName name="Payrollaccounts">OFFSET(#REF!,0,0,COUNTA(#REF!)-1,1)</definedName>
    <definedName name="PayrollAssump">#REF!</definedName>
    <definedName name="PayrollBurdenRate">#REF!</definedName>
    <definedName name="PayrollDetail">#REF!</definedName>
    <definedName name="PayrollInsert">#REF!</definedName>
    <definedName name="PayrollProForma">#REF!</definedName>
    <definedName name="PayrollRow1">#REF!</definedName>
    <definedName name="PayrollTemplate">#REF!</definedName>
    <definedName name="PayRows">#REF!</definedName>
    <definedName name="PaySpread">#REF!</definedName>
    <definedName name="paysvc">#REF!</definedName>
    <definedName name="PBAL1">#REF!</definedName>
    <definedName name="PBAL2">#REF!</definedName>
    <definedName name="PBEV">#REF!</definedName>
    <definedName name="PBEVBAL">#REF!</definedName>
    <definedName name="PBEVCOMPANY">#REF!</definedName>
    <definedName name="PCAPEX">#REF!</definedName>
    <definedName name="PCASHFLOW">#REF!</definedName>
    <definedName name="PCP">#N/A</definedName>
    <definedName name="pdocc">#REF!</definedName>
    <definedName name="PE_Amortization">#REF!</definedName>
    <definedName name="PE_Interest_Rate">#REF!</definedName>
    <definedName name="PE_Loan_Amount">#REF!</definedName>
    <definedName name="PE_Loan_Payment">#REF!</definedName>
    <definedName name="PE_SPREAD">#REF!</definedName>
    <definedName name="Percent">#REF!</definedName>
    <definedName name="Percent_1st_Mortgage">#REF!</definedName>
    <definedName name="Percent_Mezz.">#REF!</definedName>
    <definedName name="Percent_of_Cash_Flow">#REF!</definedName>
    <definedName name="Period">#REF!</definedName>
    <definedName name="Period_ResLease">#REF!</definedName>
    <definedName name="Periodic">#REF!/#REF!</definedName>
    <definedName name="Periodic_rate">#N/A</definedName>
    <definedName name="Periods">#REF!</definedName>
    <definedName name="perm_debt2">#N/A</definedName>
    <definedName name="Permanent_Sources_of_Funds">#REF!</definedName>
    <definedName name="permdate">#REF!</definedName>
    <definedName name="PermLoan">#REF!</definedName>
    <definedName name="PermLoanFunding">#REF!</definedName>
    <definedName name="permrate">#REF!</definedName>
    <definedName name="PERYR">#N/A</definedName>
    <definedName name="PESTACT">#REF!</definedName>
    <definedName name="PETSCAMBILL">#REF!</definedName>
    <definedName name="PFEE">#REF!</definedName>
    <definedName name="PFEES">#REF!</definedName>
    <definedName name="PFP_UW_CapEx">#REF!</definedName>
    <definedName name="PFP_UW_Cash_Flow">#REF!</definedName>
    <definedName name="PFP_UW_EGI">#REF!</definedName>
    <definedName name="PFP_UW_Mngmt_Fee">#REF!</definedName>
    <definedName name="PFP_UW_Net_Cash_Flow">#REF!</definedName>
    <definedName name="PFRevCapRate">#N/A</definedName>
    <definedName name="PG_1">#REF!</definedName>
    <definedName name="PG_2">#REF!</definedName>
    <definedName name="PG_3">#REF!</definedName>
    <definedName name="PG_4">#REF!</definedName>
    <definedName name="PGB">#N/A</definedName>
    <definedName name="PHASE1">#N/A</definedName>
    <definedName name="PHILLIPS__WILLI">#N/A</definedName>
    <definedName name="PID">#REF!</definedName>
    <definedName name="PIERCAMBILL">#REF!</definedName>
    <definedName name="Pkg_Unit_Sale_Price">#N/A</definedName>
    <definedName name="PLAY">#N/A</definedName>
    <definedName name="PMFee">#REF!</definedName>
    <definedName name="pmnt">#N/A</definedName>
    <definedName name="Pmt_to_use">#REF!</definedName>
    <definedName name="Points">#REF!+#REF!</definedName>
    <definedName name="POITEVINT__NATA">#N/A</definedName>
    <definedName name="POITEVINT__R.L.">#N/A</definedName>
    <definedName name="poloyear">#REF!</definedName>
    <definedName name="Porjects">#N/A</definedName>
    <definedName name="PorterRev">#REF!</definedName>
    <definedName name="PORTFOLIO_NAME">#REF!</definedName>
    <definedName name="PostRehabRents">#REF!</definedName>
    <definedName name="PostRehabRubsPerUnit">#REF!</definedName>
    <definedName name="PotRent">#REF!</definedName>
    <definedName name="POWERACT">#REF!</definedName>
    <definedName name="PPM">#REF!</definedName>
    <definedName name="PPORADMIN">#REF!</definedName>
    <definedName name="PPORENERGY">#REF!</definedName>
    <definedName name="PPORMAINT">#REF!</definedName>
    <definedName name="PPOROTHER">#REF!</definedName>
    <definedName name="PPORPHONE">#REF!</definedName>
    <definedName name="PPORROOMS">#REF!</definedName>
    <definedName name="PPORSALES">#REF!</definedName>
    <definedName name="PPRICE">#N/A</definedName>
    <definedName name="PPRODADJ">#REF!</definedName>
    <definedName name="ppsf">#REF!</definedName>
    <definedName name="PPTEB">#REF!</definedName>
    <definedName name="PPY">#REF!</definedName>
    <definedName name="PR">#REF!</definedName>
    <definedName name="PRECAP">#REF!</definedName>
    <definedName name="preconsstart">#REF!</definedName>
    <definedName name="Pref">#REF!</definedName>
    <definedName name="pref_equity2">#N/A</definedName>
    <definedName name="prefcompoundingperiod">#REF!</definedName>
    <definedName name="PrefRtn_DvpFund">#REF!</definedName>
    <definedName name="PrefRtn_MstFund">#REF!</definedName>
    <definedName name="PrefRtn_RefiFund">#REF!</definedName>
    <definedName name="PreliminaryDate">#REF!</definedName>
    <definedName name="Presale9.0">#N/A</definedName>
    <definedName name="Presale9.25">#N/A</definedName>
    <definedName name="PreSale9.5">#N/A</definedName>
    <definedName name="Presentation">#REF!</definedName>
    <definedName name="PrestabVac">#REF!</definedName>
    <definedName name="PREWO">#REF!</definedName>
    <definedName name="price">#REF!</definedName>
    <definedName name="PRICE_EXISTDEBT">#REF!</definedName>
    <definedName name="PRICE_NEWDEBT">#REF!</definedName>
    <definedName name="price1">#REF!</definedName>
    <definedName name="PriceFinal">#REF!</definedName>
    <definedName name="PricePerSF">#REF!</definedName>
    <definedName name="pricing">#REF!</definedName>
    <definedName name="PrimaryShockingCell">#REF!</definedName>
    <definedName name="Prime">#REF!</definedName>
    <definedName name="PrimeCap1">#REF!</definedName>
    <definedName name="PrimeSwap">#REF!</definedName>
    <definedName name="PrimeSwap20">#REF!</definedName>
    <definedName name="Prin">#REF!</definedName>
    <definedName name="Principal">#N/A</definedName>
    <definedName name="Principal_Owner_1">#REF!</definedName>
    <definedName name="Principal_Owner_2">#REF!</definedName>
    <definedName name="Principal_Owner_3">#REF!</definedName>
    <definedName name="Principal_Owner_4">#REF!</definedName>
    <definedName name="Principal_Owner_5">#REF!</definedName>
    <definedName name="principal1">#REF!</definedName>
    <definedName name="principal2">#REF!</definedName>
    <definedName name="principal3">#REF!</definedName>
    <definedName name="principal4">#REF!</definedName>
    <definedName name="principal5">#REF!</definedName>
    <definedName name="principal6">#REF!</definedName>
    <definedName name="principal7">#REF!</definedName>
    <definedName name="principal8">#REF!</definedName>
    <definedName name="Pring_Area_MI1">#REF!</definedName>
    <definedName name="PRINT">#N/A</definedName>
    <definedName name="PRINT_2">#REF!</definedName>
    <definedName name="PRINT_3">#REF!</definedName>
    <definedName name="PRINT_A">#REF!</definedName>
    <definedName name="_xlnm.Print_Area">#REF!</definedName>
    <definedName name="Print_Area_1">#N/A</definedName>
    <definedName name="Print_Area_2">#N/A</definedName>
    <definedName name="Print_Area_3">#N/A</definedName>
    <definedName name="Print_Area_4">#N/A</definedName>
    <definedName name="Print_Area_MI">#REF!</definedName>
    <definedName name="Print_Area_Reset">OFFSET(Full_Print,0,0,Last_Row)</definedName>
    <definedName name="PRINT_B">#REF!</definedName>
    <definedName name="PRINT_BCCAM">#REF!</definedName>
    <definedName name="PRINT_BCINS">#REF!</definedName>
    <definedName name="PRINT_BCMR">#REF!</definedName>
    <definedName name="PRINT_BCPR">#REF!</definedName>
    <definedName name="PRINT_BCTAX">#REF!</definedName>
    <definedName name="PRINT_C">#REF!</definedName>
    <definedName name="PRINT_D">#REF!</definedName>
    <definedName name="PRINT_DETAILS">#REF!</definedName>
    <definedName name="PRINT_E">#REF!</definedName>
    <definedName name="PRINT_EDET">#REF!</definedName>
    <definedName name="PRINT_ESUM">#REF!</definedName>
    <definedName name="PRINT_EXPENSES">#REF!</definedName>
    <definedName name="PRINT_EXPS">#REF!</definedName>
    <definedName name="PRINT_F">#REF!</definedName>
    <definedName name="PRINT_GDET">#REF!</definedName>
    <definedName name="PRINT_GSUM">#REF!</definedName>
    <definedName name="PRINT_HDET">#REF!</definedName>
    <definedName name="PRINT_HSUM">#REF!</definedName>
    <definedName name="PRINT_IDET">#REF!</definedName>
    <definedName name="PRINT_ISUM">#REF!</definedName>
    <definedName name="PRINT_J">#REF!</definedName>
    <definedName name="PRINT_MARKETING">#REF!</definedName>
    <definedName name="PRINT_MKTG">#REF!</definedName>
    <definedName name="PRINT_OCCUPANAL">#REF!</definedName>
    <definedName name="PRINT_OCCUPANCY">#REF!</definedName>
    <definedName name="PRINT_RATES">#REF!</definedName>
    <definedName name="PRINT_RECRATES">#REF!</definedName>
    <definedName name="PRINT_REPORT">[0]!PRINT_REPORT</definedName>
    <definedName name="PRINT_REV">#REF!</definedName>
    <definedName name="PRINT_REVENUES">#REF!</definedName>
    <definedName name="PRINT_TITLE_MD">#REF!</definedName>
    <definedName name="_xlnm.Print_Titles">#REF!</definedName>
    <definedName name="PRINT_TITLES_MI">#REF!</definedName>
    <definedName name="PRINT_UTIL">#REF!</definedName>
    <definedName name="Print_Zone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All">#REF!</definedName>
    <definedName name="PRINTER">#REF!</definedName>
    <definedName name="PrintFormat" hidden="1">#REF!</definedName>
    <definedName name="PrintPage">#REF!</definedName>
    <definedName name="PRINTRANGE_1">#REF!</definedName>
    <definedName name="PRINTREPORT">#REF!</definedName>
    <definedName name="PrintStart">#REF!</definedName>
    <definedName name="Prior">#REF!</definedName>
    <definedName name="Product">#REF!</definedName>
    <definedName name="Products">#REF!</definedName>
    <definedName name="producttype">#REF!</definedName>
    <definedName name="producttypelist">#REF!</definedName>
    <definedName name="PROFIT">#REF!</definedName>
    <definedName name="profitmargin">#REF!</definedName>
    <definedName name="PROFORMA">#REF!</definedName>
    <definedName name="PROFORMA1">#N/A</definedName>
    <definedName name="ProFormaCashOnCash" hidden="1">#REF!</definedName>
    <definedName name="PROGRW">#REF!</definedName>
    <definedName name="proj_date">#REF!</definedName>
    <definedName name="Project">#REF!</definedName>
    <definedName name="Project_Col">#N/A</definedName>
    <definedName name="PROJECT_DATE">#REF!</definedName>
    <definedName name="Project_Equity">#N/A</definedName>
    <definedName name="PROJECT_NAME">#REF!</definedName>
    <definedName name="Project_Print">#N/A</definedName>
    <definedName name="Project_row">#N/A</definedName>
    <definedName name="Project_Scenario">#REF!</definedName>
    <definedName name="Project_Summary">#REF!</definedName>
    <definedName name="PROJECT_TYPE">#REF!</definedName>
    <definedName name="ProjectAddress">#REF!</definedName>
    <definedName name="ProjectLocation">#REF!</definedName>
    <definedName name="projectname">#N/A</definedName>
    <definedName name="ProjectPhoneNo">#REF!</definedName>
    <definedName name="ProjectStartDate">#REF!</definedName>
    <definedName name="ProjectTitle">#REF!</definedName>
    <definedName name="ProjectType">#REF!</definedName>
    <definedName name="PROJNAME">#REF!</definedName>
    <definedName name="ProjNum">#REF!</definedName>
    <definedName name="promo">#REF!</definedName>
    <definedName name="promone">#REF!</definedName>
    <definedName name="promote">#REF!</definedName>
    <definedName name="promote2">#REF!</definedName>
    <definedName name="promtwo">#REF!</definedName>
    <definedName name="Prop_Address">#REF!</definedName>
    <definedName name="Prop_City">#REF!</definedName>
    <definedName name="prop_class">#REF!</definedName>
    <definedName name="Prop_Name">#REF!</definedName>
    <definedName name="prop_no">#REF!</definedName>
    <definedName name="Prop_State">#REF!</definedName>
    <definedName name="Prop_Type">#REF!</definedName>
    <definedName name="prop_type_primary">#REF!</definedName>
    <definedName name="prop_type_secondary">#REF!</definedName>
    <definedName name="PropCity">#REF!</definedName>
    <definedName name="PropDescription">#REF!</definedName>
    <definedName name="PROPERTY">#REF!</definedName>
    <definedName name="Property_Age">#REF!</definedName>
    <definedName name="Property_Area">#REF!</definedName>
    <definedName name="Property_City">#REF!</definedName>
    <definedName name="Property_Construction_Type">#REF!</definedName>
    <definedName name="Property_Cost">#REF!</definedName>
    <definedName name="Property_nam">#REF!</definedName>
    <definedName name="PROPERTY_NAME">#REF!</definedName>
    <definedName name="Property_No_of_Buildings">#REF!</definedName>
    <definedName name="Property_No_of_Floors">#REF!</definedName>
    <definedName name="Property_No_of_Parking">#REF!</definedName>
    <definedName name="Property_Renovation">#REF!</definedName>
    <definedName name="Property_Sq._Ft.">#REF!</definedName>
    <definedName name="Property_State">#REF!</definedName>
    <definedName name="Property_Street">#REF!</definedName>
    <definedName name="PROPERTY_TYPE">#REF!</definedName>
    <definedName name="Property_Type_1_Primary">#REF!</definedName>
    <definedName name="Property_Type_2">#REF!</definedName>
    <definedName name="Property_Type_3">#REF!</definedName>
    <definedName name="Property_Type_4">#REF!</definedName>
    <definedName name="Property_Units_Rooms_SF_Beds_Sites">#REF!</definedName>
    <definedName name="Property_Value">#REF!</definedName>
    <definedName name="Property_Year_Built">#REF!</definedName>
    <definedName name="Property_Year_Expanded">#REF!</definedName>
    <definedName name="Property_Year_Renovated">#REF!</definedName>
    <definedName name="Property_Zip">#REF!</definedName>
    <definedName name="propertyname">#REF!</definedName>
    <definedName name="PropertyProfile">#REF!</definedName>
    <definedName name="propertysf">#REF!</definedName>
    <definedName name="propertytypedesc">#REF!</definedName>
    <definedName name="PropInfo_Table">#REF!</definedName>
    <definedName name="PROPINSPSF">#REF!</definedName>
    <definedName name="PropName">#REF!</definedName>
    <definedName name="PropStateFull">#REF!</definedName>
    <definedName name="PropType">#REF!</definedName>
    <definedName name="proxy1" hidden="1">{"Full Sheet",#N/A,FALSE,"Expense Comparison"}</definedName>
    <definedName name="proxy2" hidden="1">{#N/A,#N/A,FALSE,"Expense Comparison"}</definedName>
    <definedName name="proxy3" hidden="1">{"Full Sheet",#N/A,FALSE,"Expense Comparison"}</definedName>
    <definedName name="proxy4" hidden="1">{#N/A,#N/A,FALSE,"Expense Comparison"}</definedName>
    <definedName name="prtaxes">#REF!</definedName>
    <definedName name="pspage1">#REF!</definedName>
    <definedName name="pspage2">#REF!</definedName>
    <definedName name="ptnr1">#REF!</definedName>
    <definedName name="ptnr2">#REF!</definedName>
    <definedName name="ptnr3">#REF!</definedName>
    <definedName name="ptspaysown">#REF!</definedName>
    <definedName name="ptspaystheirown">#REF!</definedName>
    <definedName name="PTU">#REF!</definedName>
    <definedName name="Purchase_Price">#REF!</definedName>
    <definedName name="Purchase_Price_Input">#REF!</definedName>
    <definedName name="PurchaseBase">#REF!</definedName>
    <definedName name="PurchaseClosing">#REF!</definedName>
    <definedName name="PurchaseOther">#REF!</definedName>
    <definedName name="PurchasePrice">#REF!</definedName>
    <definedName name="pv">#N/A</definedName>
    <definedName name="PVtoDate">#REF!</definedName>
    <definedName name="pyoccp">#REF!</definedName>
    <definedName name="q" hidden="1">{"mgmt forecast",#N/A,FALSE,"Mgmt Forecast";"dcf table",#N/A,FALSE,"Mgmt Forecast";"sensitivity",#N/A,FALSE,"Mgmt Forecast";"table inputs",#N/A,FALSE,"Mgmt Forecast";"calculations",#N/A,FALSE,"Mgmt Forecast"}</definedName>
    <definedName name="Q3TRASHMASTER">#N/A</definedName>
    <definedName name="QEWQEW" hidden="1">{#N/A,#N/A,FALSE,"1995 Rev &amp; Exp"}</definedName>
    <definedName name="qq" hidden="1">{"SIMPLIFD_P1",#N/A,FALSE,"SIMPLIFD"}</definedName>
    <definedName name="qqq" hidden="1">{"TEST1",#N/A,FALSE,"SIMPLIFD"}</definedName>
    <definedName name="QREG">"Button 14"</definedName>
    <definedName name="qtr_end">#REF!</definedName>
    <definedName name="qtrend">#REF!</definedName>
    <definedName name="Qty_CommSt_Condo_SF">#N/A</definedName>
    <definedName name="Qty_Mkt_Retail_SF">#N/A</definedName>
    <definedName name="Qty_NonMkt_Retail_SF">#N/A</definedName>
    <definedName name="quarter">#REF!</definedName>
    <definedName name="quarter_ended">#REF!</definedName>
    <definedName name="QWE" hidden="1">{#N/A,#N/A,FALSE,"APPRAISAL";#N/A,#N/A,FALSE,"APPRAISAL 2";#N/A,#N/A,FALSE,"APPRAISAL 3"}</definedName>
    <definedName name="R_10">#REF!</definedName>
    <definedName name="R_M">#REF!</definedName>
    <definedName name="RADISSON_HOTEL_OVERLAND_PARK">#REF!</definedName>
    <definedName name="randm">#REF!</definedName>
    <definedName name="RANDO__SALVATOR">#N/A</definedName>
    <definedName name="RANGE1">#N/A</definedName>
    <definedName name="RATE">#N/A</definedName>
    <definedName name="Rate_Increment">#REF!</definedName>
    <definedName name="Rate_Purchase_Cap">#REF!</definedName>
    <definedName name="Rate_Rent_Mkt_Std">#REF!</definedName>
    <definedName name="rate_step1_base">#REF!</definedName>
    <definedName name="rate_step1_mo_base">#REF!</definedName>
    <definedName name="rate_step1_mo_scen1">#REF!</definedName>
    <definedName name="rate_step1_mo_scen2">#REF!</definedName>
    <definedName name="rate_step1_mo_scen3">#REF!</definedName>
    <definedName name="rate_step1_mo_scen4">#REF!</definedName>
    <definedName name="rate_step1_mo_scen5">#REF!</definedName>
    <definedName name="rate_step1_scen1">#REF!</definedName>
    <definedName name="rate_step1_scen2">#REF!</definedName>
    <definedName name="rate_step1_scen3">#REF!</definedName>
    <definedName name="rate_step1_scen4">#REF!</definedName>
    <definedName name="rate_step1_scen5">#REF!</definedName>
    <definedName name="rate_step2_base">#REF!</definedName>
    <definedName name="rate_step2_mo_base">#REF!</definedName>
    <definedName name="rate_step2_mo_scen1">#REF!</definedName>
    <definedName name="rate_step2_mo_scen2">#REF!</definedName>
    <definedName name="rate_step2_mo_scen3">#REF!</definedName>
    <definedName name="rate_step2_mo_scen4">#REF!</definedName>
    <definedName name="rate_step2_mo_scen5">#REF!</definedName>
    <definedName name="rate_step2_scen1">#REF!</definedName>
    <definedName name="rate_step2_scen2">#REF!</definedName>
    <definedName name="rate_step2_scen3">#REF!</definedName>
    <definedName name="rate_step2_scen4">#REF!</definedName>
    <definedName name="rate_step2_scen5">#REF!</definedName>
    <definedName name="rate_step3_base">#REF!</definedName>
    <definedName name="rate_step3_mo_base">#REF!</definedName>
    <definedName name="rate_step3_mo_scen1">#REF!</definedName>
    <definedName name="rate_step3_mo_scen2">#REF!</definedName>
    <definedName name="rate_step3_mo_scen3">#REF!</definedName>
    <definedName name="rate_step3_mo_scen4">#REF!</definedName>
    <definedName name="rate_step3_mo_scen5">#REF!</definedName>
    <definedName name="rate_step3_scen1">#REF!</definedName>
    <definedName name="rate_step3_scen2">#REF!</definedName>
    <definedName name="rate_step3_scen3">#REF!</definedName>
    <definedName name="rate_step3_scen4">#REF!</definedName>
    <definedName name="rate_step3_scen5">#REF!</definedName>
    <definedName name="RateCurve">#REF!</definedName>
    <definedName name="RATES">#REF!</definedName>
    <definedName name="Rateset">#REF!</definedName>
    <definedName name="RatesStartDate">#REF!</definedName>
    <definedName name="RatingTable">#REF!</definedName>
    <definedName name="Raw_Food">#N/A</definedName>
    <definedName name="RawContractPrice">#REF!</definedName>
    <definedName name="RAYMOND__EDNA">#N/A</definedName>
    <definedName name="RealTime_Switch">#REF!</definedName>
    <definedName name="RebillAccounts">#REF!</definedName>
    <definedName name="RebillBadDebt">#REF!</definedName>
    <definedName name="RebillConcierge">#REF!</definedName>
    <definedName name="RebillElectric">#REF!</definedName>
    <definedName name="RebillGas">#REF!</definedName>
    <definedName name="RebillOfficer">#REF!</definedName>
    <definedName name="RebillPest">#REF!</definedName>
    <definedName name="RebillTrash">#REF!</definedName>
    <definedName name="RebillWater">#REF!</definedName>
    <definedName name="RebillWaterGL">#REF!</definedName>
    <definedName name="Recap">#REF!</definedName>
    <definedName name="recap_dividend">"Picture 69"</definedName>
    <definedName name="recap_repurchase">"Picture 64"</definedName>
    <definedName name="RECOMPARE">#N/A</definedName>
    <definedName name="recon">#N/A</definedName>
    <definedName name="_xlnm.Recorder">#REF!</definedName>
    <definedName name="Recoveries">#REF!</definedName>
    <definedName name="Recovery">#REF!</definedName>
    <definedName name="RecoveryTitle">#REF!</definedName>
    <definedName name="Reduce_Value">#REF!</definedName>
    <definedName name="Refi_2_ClosingDate">#REF!</definedName>
    <definedName name="Refi_2_ExitFee">#REF!</definedName>
    <definedName name="Refi_2_ExtFee">#REF!</definedName>
    <definedName name="Refi_2_IntRate">#REF!</definedName>
    <definedName name="Refi_2_IntReserve">#REF!</definedName>
    <definedName name="Refi_2_Loan">#REF!</definedName>
    <definedName name="Refi_2_OriMaturity">#REF!</definedName>
    <definedName name="Refi_2_Payoff">#REF!</definedName>
    <definedName name="Refi_ClosingCost">#REF!</definedName>
    <definedName name="Refi_ClosingDate">#REF!</definedName>
    <definedName name="Refi_Cox_Reserve">#REF!</definedName>
    <definedName name="Refi_ExitFee">#REF!</definedName>
    <definedName name="Refi_ExtFee">#REF!</definedName>
    <definedName name="Refi_Int_Rate">#REF!</definedName>
    <definedName name="Refi_Int_Reserve">#REF!</definedName>
    <definedName name="Refi_Loan">#REF!</definedName>
    <definedName name="Refi_Ori_Maturity">#REF!</definedName>
    <definedName name="Refi_Payoff">#REF!</definedName>
    <definedName name="RefiAmortPeriod">#REF!</definedName>
    <definedName name="RefiAmortToggle">#REF!</definedName>
    <definedName name="RefiAssump">#REF!</definedName>
    <definedName name="RefiConstant">#REF!</definedName>
    <definedName name="reficosts">#REF!</definedName>
    <definedName name="RefiDate">#REF!</definedName>
    <definedName name="RefiDCR">#REF!</definedName>
    <definedName name="RefiFund_Pref_Return">#REF!</definedName>
    <definedName name="RefiFund_Pro_Rata">#REF!</definedName>
    <definedName name="RefiInterestRate">#REF!</definedName>
    <definedName name="RefiMonthStart">#REF!</definedName>
    <definedName name="refipoints">#REF!</definedName>
    <definedName name="RefiProceeds">#REF!</definedName>
    <definedName name="refiratio">#REF!</definedName>
    <definedName name="refiscore">#REF!</definedName>
    <definedName name="refiwgt">#REF!</definedName>
    <definedName name="refiwgtscore">#REF!</definedName>
    <definedName name="RefreshArea">#N/A</definedName>
    <definedName name="region">#REF!</definedName>
    <definedName name="regionlist">#REF!</definedName>
    <definedName name="RehabBudget">#REF!</definedName>
    <definedName name="RehabMonthEnd">#REF!</definedName>
    <definedName name="RehabMonthStart">#REF!</definedName>
    <definedName name="RehabPeriod">#REF!</definedName>
    <definedName name="RehabRentStart">#REF!</definedName>
    <definedName name="RehabStart">#REF!</definedName>
    <definedName name="RehabTime">#REF!</definedName>
    <definedName name="REIMAdmin.EquipmentRentalRep.">#REF!</definedName>
    <definedName name="REIMAdmin.SupportAssetMgt.">#REF!</definedName>
    <definedName name="REIMAdmin.SupportFinancial">#REF!</definedName>
    <definedName name="REIMAdmin.SupportMIS">#REF!</definedName>
    <definedName name="REIMAdmin.SupportTenantRel.">#REF!</definedName>
    <definedName name="REIMAdvertisingPromotion">#REF!</definedName>
    <definedName name="REIMArchitectureSpacePlanning">#REF!</definedName>
    <definedName name="REIMAuto">#REF!</definedName>
    <definedName name="REIMBillableElectricity">#REF!</definedName>
    <definedName name="REIMCableCosts">#REF!</definedName>
    <definedName name="REIMCarpetFloorRepairMaint.">#REF!</definedName>
    <definedName name="REIMCentralPlantCost">#REF!</definedName>
    <definedName name="REIMCentralPlantElectricity">#REF!</definedName>
    <definedName name="REIMCharitableContributions">#REF!</definedName>
    <definedName name="REIMCleaningSupplies">#REF!</definedName>
    <definedName name="REIMClubDues">#REF!</definedName>
    <definedName name="REIMCommunications">#REF!</definedName>
    <definedName name="REIMConciergeExpense">#REF!</definedName>
    <definedName name="REIMConsultingFees">#REF!</definedName>
    <definedName name="REIMContractServicesCleaning">#REF!</definedName>
    <definedName name="REIMContractServicesElectrical">#REF!</definedName>
    <definedName name="REIMContractServicesElevator">#REF!</definedName>
    <definedName name="REIMContractServicesHVAC">#REF!</definedName>
    <definedName name="REIMContractServicesSecurity">#REF!</definedName>
    <definedName name="REIMContractSvc.FireLifeSafety">#REF!</definedName>
    <definedName name="REIMContractSvc.Gen.Building">#REF!</definedName>
    <definedName name="REIMContractSvc.Int.Landscape">#REF!</definedName>
    <definedName name="REIMContractSvcExtLandscape">#REF!</definedName>
    <definedName name="REIMCourierDeliveryCharges">#REF!</definedName>
    <definedName name="REIMDataProcessingExpense">#REF!</definedName>
    <definedName name="REIMDayCleaningLabor">#REF!</definedName>
    <definedName name="REIMDecoratingPublicArea">#REF!</definedName>
    <definedName name="REIMEIC">#REF!</definedName>
    <definedName name="REIMElectricalSupplies">#REF!</definedName>
    <definedName name="REIMElectricity">#REF!</definedName>
    <definedName name="REIMElevatorServiceCalls">#REF!</definedName>
    <definedName name="REIMElevatorSupplies">#REF!</definedName>
    <definedName name="REIMEmployeeBenefits">#REF!</definedName>
    <definedName name="REIMEmployeeParking">#REF!</definedName>
    <definedName name="REIMEmployeeRelations">#REF!</definedName>
    <definedName name="REIMEngineeringEIC">#REF!</definedName>
    <definedName name="REIMEngineeringEmployeeBenefits">#REF!</definedName>
    <definedName name="REIMEngineeringHealthAndLife">#REF!</definedName>
    <definedName name="REIMEngineeringLTD">#REF!</definedName>
    <definedName name="REIMEngineeringPRTaxes">#REF!</definedName>
    <definedName name="REIMEngineeringPRTaxesFUI">#REF!</definedName>
    <definedName name="REIMEngineeringPRTaxesSUI">#REF!</definedName>
    <definedName name="REIMEngineeringSalaries">#REF!</definedName>
    <definedName name="REIMEngineeringSupplies">#REF!</definedName>
    <definedName name="REIMEntertainment">#REF!</definedName>
    <definedName name="REIMEquipmentRental">#REF!</definedName>
    <definedName name="REIMExteriorRepairsAndMaint.">#REF!</definedName>
    <definedName name="REIMFireLifeSafetySupplies">#REF!</definedName>
    <definedName name="REIMGarageExpense">#REF!</definedName>
    <definedName name="REIMGas">#REF!</definedName>
    <definedName name="REIMGeneralBuildingSupplies">#REF!</definedName>
    <definedName name="REIMGiftLeasebackExpense">#REF!</definedName>
    <definedName name="REIMGlassRepair">#REF!</definedName>
    <definedName name="REIMGroundLeaseExpense">#REF!</definedName>
    <definedName name="REIMHealthAndLifeInsurance">#REF!</definedName>
    <definedName name="REIMHiringFees">#REF!</definedName>
    <definedName name="REIMHVCSupplies">#REF!</definedName>
    <definedName name="REIMInteriorMaintenanceAndRepair">#REF!</definedName>
    <definedName name="REIMLandscapeSupplies">#REF!</definedName>
    <definedName name="REIMLegalFees">#REF!</definedName>
    <definedName name="REIMLightBulbs">#REF!</definedName>
    <definedName name="REIMLockSetKeys">#REF!</definedName>
    <definedName name="REIMLongTermDisability">#REF!</definedName>
    <definedName name="REIMManagementFee">#REF!</definedName>
    <definedName name="REIMMeals">#REF!</definedName>
    <definedName name="REIMMetalRefinishing">#REF!</definedName>
    <definedName name="REIMMovingExpense">#REF!</definedName>
    <definedName name="REIMNewPlantPurchase">#REF!</definedName>
    <definedName name="REIMNightCleaningLabor">#REF!</definedName>
    <definedName name="REIMOfficeSupplies">#REF!</definedName>
    <definedName name="REIMOtherInsuranceClaims">#REF!</definedName>
    <definedName name="REIMOtherManagementFee">#REF!</definedName>
    <definedName name="REIMOtherTaxAssessments">#REF!</definedName>
    <definedName name="REIMPaintingSupplies">#REF!</definedName>
    <definedName name="REIMParkingLotRentExpense">#REF!</definedName>
    <definedName name="REIMParkingLotRepairs">#REF!</definedName>
    <definedName name="REIMPayrollProcessing">#REF!</definedName>
    <definedName name="REIMPayrollTaxes">#REF!</definedName>
    <definedName name="REIMPayrollTaxesFUI">#REF!</definedName>
    <definedName name="REIMPayrollTaxesSUI">#REF!</definedName>
    <definedName name="REIMPensionPlan">#REF!</definedName>
    <definedName name="REIMPestControl">#REF!</definedName>
    <definedName name="REIMPlumbingSuppliesRepairs">#REF!</definedName>
    <definedName name="REIMPostage">#REF!</definedName>
    <definedName name="REIMPrinting">#REF!</definedName>
    <definedName name="REIMProfessionalDues">#REF!</definedName>
    <definedName name="REIMPropertyInsurance">#REF!</definedName>
    <definedName name="REIMPropertyManagementCost">#REF!</definedName>
    <definedName name="REIMPropertyTaxes">#REF!</definedName>
    <definedName name="REIMRecycling">#REF!</definedName>
    <definedName name="REIMRentExpense">#REF!</definedName>
    <definedName name="REIMRepairsAndMaint.FireLifeSafety">#REF!</definedName>
    <definedName name="REIMRepairsAndMaint.Security">#REF!</definedName>
    <definedName name="REIMRepairsMaint.Electrical">#REF!</definedName>
    <definedName name="REIMRepairsMaint.HVAC">#REF!</definedName>
    <definedName name="REIMRoofTopRepairs">#REF!</definedName>
    <definedName name="REIMSalaries">#REF!</definedName>
    <definedName name="REIMSalesTaxExpense">#REF!</definedName>
    <definedName name="REIMSecurityEIC">#REF!</definedName>
    <definedName name="REIMSecurityEmployeeBenefits">#REF!</definedName>
    <definedName name="REIMSecurityHealthAndLifeIns.">#REF!</definedName>
    <definedName name="REIMSecurityLTD">#REF!</definedName>
    <definedName name="REIMSecurityPRTaxes">#REF!</definedName>
    <definedName name="REIMSecurityPRTaxesFUI">#REF!</definedName>
    <definedName name="REIMSecurityPRTaxesSUI">#REF!</definedName>
    <definedName name="REIMSecuritySalaries">#REF!</definedName>
    <definedName name="REIMSecuritySupplies">#REF!</definedName>
    <definedName name="REIMSecuritySystemMonitoring">#REF!</definedName>
    <definedName name="REIMSecurityTelephone">#REF!</definedName>
    <definedName name="REIMSewer">#REF!</definedName>
    <definedName name="REIMSignage">#REF!</definedName>
    <definedName name="REIMSnowRemoval">#REF!</definedName>
    <definedName name="REIMSteam">#REF!</definedName>
    <definedName name="REIMSubscriptionsPublications">#REF!</definedName>
    <definedName name="REIMTelephone">#REF!</definedName>
    <definedName name="REIMTemporaryWages">#REF!</definedName>
    <definedName name="REIMTenantRelations">#REF!</definedName>
    <definedName name="REIMThriftPlan401K">#REF!</definedName>
    <definedName name="REIMTrainingSeminars">#REF!</definedName>
    <definedName name="REIMTrashPickup">#REF!</definedName>
    <definedName name="REIMTravelExpense">#REF!</definedName>
    <definedName name="REIMUnemploymentTax">#REF!</definedName>
    <definedName name="REIMUniformRental">#REF!</definedName>
    <definedName name="REIMValetParking">#REF!</definedName>
    <definedName name="REIMWater">#REF!</definedName>
    <definedName name="REIMWaterTreatment">#REF!</definedName>
    <definedName name="REIMWindowWashing">#REF!</definedName>
    <definedName name="REIMWorkersCompensationIns.">#REF!</definedName>
    <definedName name="RenewalProbability">#REF!</definedName>
    <definedName name="Rent">#REF!</definedName>
    <definedName name="Rent_Results">#N/A</definedName>
    <definedName name="Rent_Table">#REF!</definedName>
    <definedName name="Rent0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Rent0a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rent2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rent2000">#REF!</definedName>
    <definedName name="rent2001">#REF!</definedName>
    <definedName name="Rentable_SF">#REF!</definedName>
    <definedName name="RentalIncome">#REF!</definedName>
    <definedName name="RentAssump">#REF!</definedName>
    <definedName name="RentCommPerTurn">#REF!</definedName>
    <definedName name="RentCommPerTurnYr2">#REF!</definedName>
    <definedName name="RentCommPerTurnYr3">#REF!</definedName>
    <definedName name="RentControlToggle">#REF!</definedName>
    <definedName name="RentGrowth">#REF!</definedName>
    <definedName name="RentInfo_Table">#REF!</definedName>
    <definedName name="RentRoll">#N/A</definedName>
    <definedName name="RentRoll_Date">#REF!</definedName>
    <definedName name="RentRoll_GPR_Monthly">#REF!</definedName>
    <definedName name="Rentroll_Gross_Potential_Base_Rent">#REF!</definedName>
    <definedName name="Rentroll_Vacancy_Economic_Base_Rent">1-(#REF!/#REF!)</definedName>
    <definedName name="Rentroll_Vacancy_Physical">#REF!</definedName>
    <definedName name="Rentroll_Vacant_Mkt_Base_Rent">#REF!</definedName>
    <definedName name="Rentroll_Vacant_Rents">#REF!</definedName>
    <definedName name="Rentroll_Vacant_SF">#REF!</definedName>
    <definedName name="RentRoll_Vacant_Units">#REF!</definedName>
    <definedName name="rentrollFirstRow">#REF!</definedName>
    <definedName name="RentRollLastRow">#REF!</definedName>
    <definedName name="RentTitle">#REF!</definedName>
    <definedName name="REPAIRSACT">#REF!</definedName>
    <definedName name="ReplaceFnmaEng">"Button 1"</definedName>
    <definedName name="replacementcost">#REF!</definedName>
    <definedName name="ReplaceReserveRefund">#REF!</definedName>
    <definedName name="ReplRsvMonth">#REF!</definedName>
    <definedName name="RepLvl">#REF!</definedName>
    <definedName name="REPORT">#REF!</definedName>
    <definedName name="REPORT2">#REF!</definedName>
    <definedName name="REPORTCOUNTER_1">#REF!</definedName>
    <definedName name="res">#REF!</definedName>
    <definedName name="Res_DUs">#REF!</definedName>
    <definedName name="reserve">#REF!</definedName>
    <definedName name="ReservesPerUnit">#REF!</definedName>
    <definedName name="reset">#REF!</definedName>
    <definedName name="ResetConvention">#REF!</definedName>
    <definedName name="resicap">#REF!</definedName>
    <definedName name="Residential_Data">#REF!</definedName>
    <definedName name="residual">#REF!</definedName>
    <definedName name="residual_cap">#REF!</definedName>
    <definedName name="Residual_Debt">#N/A</definedName>
    <definedName name="RESTART">#N/A</definedName>
    <definedName name="RETAIL">#REF!</definedName>
    <definedName name="Retail_Occupancy">#REF!</definedName>
    <definedName name="retail_summary_comment">#REF!</definedName>
    <definedName name="retailcap">#REF!</definedName>
    <definedName name="retaildata">#REF!</definedName>
    <definedName name="retailoccdate">#REF!</definedName>
    <definedName name="retailsf">#REF!</definedName>
    <definedName name="RetenPctYr2">#REF!</definedName>
    <definedName name="RetenPctYr3">#REF!</definedName>
    <definedName name="Retention">#REF!</definedName>
    <definedName name="RETURN_TO_OWNER">#REF!</definedName>
    <definedName name="returnorder">#REF!</definedName>
    <definedName name="RETURNS">#REF!</definedName>
    <definedName name="Returns_Levered_IRR">#REF!</definedName>
    <definedName name="Returns_Unlevered_IRR">#REF!</definedName>
    <definedName name="rev_inst_equity">#N/A</definedName>
    <definedName name="Revenue_Increase">#N/A</definedName>
    <definedName name="reversion">#N/A</definedName>
    <definedName name="ReversionNOI" hidden="1">#REF!</definedName>
    <definedName name="ReversionYear">#REF!</definedName>
    <definedName name="Revision_1_1997">TRUE</definedName>
    <definedName name="Revision_2">TRUE</definedName>
    <definedName name="Revision_2_1997">TRUE</definedName>
    <definedName name="Revision_3_1997">TRUE</definedName>
    <definedName name="RIDATES">#REF!</definedName>
    <definedName name="RLAINPUT_DebtLoan1Funding" hidden="1">#REF!,#REF!,#REF!</definedName>
    <definedName name="RLAINPUT_DebtLoan2Funding" hidden="1">#REF!,#REF!,#REF!</definedName>
    <definedName name="RLAINPUT_DebtLoan3Funding" hidden="1">#REF!,#REF!,#REF!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InPlaceRecovery" hidden="1">#REF!</definedName>
    <definedName name="RLAINPUT_Loan3Refi" hidden="1">#REF!,#REF!,#REF!</definedName>
    <definedName name="RM_Corrected?">TRUE</definedName>
    <definedName name="RntCntrlGwthYr1">#REF!</definedName>
    <definedName name="RntCntrlGwthYr2">#REF!</definedName>
    <definedName name="RntCntrlGwthYr3">#REF!</definedName>
    <definedName name="RntCntrlGwthYr4">#REF!</definedName>
    <definedName name="RntCntrlGwthYr5">#REF!</definedName>
    <definedName name="roe_base">#REF!</definedName>
    <definedName name="roe_scen1">#REF!</definedName>
    <definedName name="roe_scen2">#REF!</definedName>
    <definedName name="roe_scen3">#REF!</definedName>
    <definedName name="roe_scen4">#REF!</definedName>
    <definedName name="roe_scen5">#REF!</definedName>
    <definedName name="Rollover">#N/A</definedName>
    <definedName name="RolloverSchedule">#N/A</definedName>
    <definedName name="romanos">#REF!</definedName>
    <definedName name="Roof" hidden="1">{"Roofs Page 1",#N/A,FALSE,"Roof Outline";"Roofs Page 2",#N/A,FALSE,"Roof Outline"}</definedName>
    <definedName name="rooms">#N/A</definedName>
    <definedName name="ROSSE__ESTHER">#N/A</definedName>
    <definedName name="Round">#REF!</definedName>
    <definedName name="roy">#REF!</definedName>
    <definedName name="rpc_equity">#N/A</definedName>
    <definedName name="rpc_equity2">#N/A</definedName>
    <definedName name="rpc_rev_equity">#N/A</definedName>
    <definedName name="RPCCFYr1">#N/A</definedName>
    <definedName name="RPCCFYr10">#N/A</definedName>
    <definedName name="RPCCFYr2">#N/A</definedName>
    <definedName name="RPCCFYr3">#N/A</definedName>
    <definedName name="RPCCFYr4">#N/A</definedName>
    <definedName name="RPCCFYr5">#N/A</definedName>
    <definedName name="RPCCFYr6">#N/A</definedName>
    <definedName name="RPCCFYr7">#N/A</definedName>
    <definedName name="RPCCFYr8">#N/A</definedName>
    <definedName name="RPCCFYr9">#N/A</definedName>
    <definedName name="RPCNSPYr1">#N/A</definedName>
    <definedName name="RPCNSPYr10">#N/A</definedName>
    <definedName name="RPMPayCode">#REF!</definedName>
    <definedName name="RPRODADJ">#REF!</definedName>
    <definedName name="rpt_advert">#REF!</definedName>
    <definedName name="rpt_Contract">#REF!</definedName>
    <definedName name="rpt_cover">#REF!</definedName>
    <definedName name="rpt_DebtService">#REF!</definedName>
    <definedName name="rpt_income">#REF!</definedName>
    <definedName name="rpt_Intro">#REF!</definedName>
    <definedName name="rpt_makeready">#REF!</definedName>
    <definedName name="rpt_marketrent">#REF!</definedName>
    <definedName name="rpt_nonop">#REF!</definedName>
    <definedName name="rpt_officega">#REF!</definedName>
    <definedName name="rpt_OtherIncome">#REF!</definedName>
    <definedName name="rpt_payroll">#REF!</definedName>
    <definedName name="rpt_reforecast">#REF!</definedName>
    <definedName name="rpt_Renovation">#REF!</definedName>
    <definedName name="rpt_repairs">#REF!</definedName>
    <definedName name="rpt_replacement">#REF!</definedName>
    <definedName name="rpt_summ">#REF!</definedName>
    <definedName name="rpt_summdtlvar">#REF!</definedName>
    <definedName name="rpt_summuw">#REF!</definedName>
    <definedName name="rpt_utilities">#REF!</definedName>
    <definedName name="rr">#REF!</definedName>
    <definedName name="RR_AREA">#REF!</definedName>
    <definedName name="RR_DATE">#REF!</definedName>
    <definedName name="RR_Start">#REF!</definedName>
    <definedName name="RR_VAC">#REF!</definedName>
    <definedName name="rrExp">#REF!</definedName>
    <definedName name="rrFirstRow">#REF!</definedName>
    <definedName name="rrLast">ROW()-ROW(rrFirstRow)-1</definedName>
    <definedName name="RROccupiedLosstoleasedollars">#REF!</definedName>
    <definedName name="RRREC_GPR">#REF!</definedName>
    <definedName name="rrTenant">#REF!</definedName>
    <definedName name="rrTFirst">#REF!</definedName>
    <definedName name="RRTotalUnits">#REF!</definedName>
    <definedName name="rrUponEx">#REF!</definedName>
    <definedName name="RRVacantunits">#REF!</definedName>
    <definedName name="rs">#REF!</definedName>
    <definedName name="RSF">#REF!</definedName>
    <definedName name="RsvGwthRate">#REF!</definedName>
    <definedName name="RsvPerUnit">#REF!</definedName>
    <definedName name="rttt" hidden="1">{"page1",#N/A,FALSE,"CTT_CLO";"page2",#N/A,FALSE,"CTT_CLO"}</definedName>
    <definedName name="ruby">#REF!</definedName>
    <definedName name="Rwvu.ALL." hidden="1">#REF!,#REF!</definedName>
    <definedName name="Rwvu.allocations." hidden="1">#REF!</definedName>
    <definedName name="Rwvu.annual._.hotel." hidden="1">#REF!</definedName>
    <definedName name="Rwvu.bottom._.line." hidden="1">#REF!</definedName>
    <definedName name="Rwvu.CAM._.RATES." hidden="1">#REF!,#REF!,#REF!</definedName>
    <definedName name="Rwvu.CAM._.RECOVERIES." hidden="1">#REF!,#REF!,#REF!</definedName>
    <definedName name="Rwvu.CAM._.RECOVERY." hidden="1">#REF!,#REF!,#REF!</definedName>
    <definedName name="Rwvu.CAM._.TABLE." hidden="1">#REF!,#REF!,#REF!</definedName>
    <definedName name="Rwvu.cash._.flow." hidden="1">#REF!</definedName>
    <definedName name="Rwvu.combo." hidden="1">#REF!</definedName>
    <definedName name="Rwvu.INSURANCE._.RECOVERIES." hidden="1">#REF!,#REF!,#REF!,#REF!</definedName>
    <definedName name="Rwvu.LSMEET." hidden="1">#REF!,#REF!,#REF!,#REF!</definedName>
    <definedName name="Rwvu.MARKETING._.REVENUE." hidden="1">#REF!,#REF!,#REF!</definedName>
    <definedName name="Rwvu.MINIMUM._.RENT." hidden="1">#REF!,#REF!</definedName>
    <definedName name="Rwvu.OCCUPANCY." hidden="1">#REF!,#REF!,#REF!</definedName>
    <definedName name="Rwvu.OCCUPANCY._.ANALYSIS." hidden="1">#REF!,#REF!,#REF!</definedName>
    <definedName name="Rwvu.offsite." hidden="1">#REF!</definedName>
    <definedName name="Rwvu.onsite." hidden="1">#REF!</definedName>
    <definedName name="Rwvu.PERCENTAGE._.RENT." hidden="1">#REF!,#REF!,#REF!</definedName>
    <definedName name="Rwvu.TAX._.RATES." hidden="1">#REF!,#REF!,#REF!</definedName>
    <definedName name="Rwvu.TAX._.RECOVERIES." hidden="1">#REF!,#REF!,#REF!,#REF!</definedName>
    <definedName name="Rwvu.TAX._.RECOVERY." hidden="1">#REF!,#REF!,#REF!</definedName>
    <definedName name="Rwvu.WAT." hidden="1">#REF!</definedName>
    <definedName name="RYALS__RITA">#N/A</definedName>
    <definedName name="s">#N/A</definedName>
    <definedName name="saa" hidden="1">{"rtn",#N/A,FALSE,"RTN";"tables",#N/A,FALSE,"RTN";"cf",#N/A,FALSE,"CF";"stats",#N/A,FALSE,"Stats";"prop",#N/A,FALSE,"Prop"}</definedName>
    <definedName name="sadsadsa" hidden="1">{"'Assump'!$F$6:$J$6"}</definedName>
    <definedName name="Safe">#N/A</definedName>
    <definedName name="SalConcierge">#REF!</definedName>
    <definedName name="Sale">#REF!</definedName>
    <definedName name="Sale_Year">#N/A</definedName>
    <definedName name="salecosts">#REF!</definedName>
    <definedName name="SaleDate">#REF!</definedName>
    <definedName name="SaleMonth">#N/A</definedName>
    <definedName name="SaleNOI">#REF!</definedName>
    <definedName name="SaleProceeds">#REF!</definedName>
    <definedName name="Sales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sales_price">#REF!</definedName>
    <definedName name="sales_rep">#REF!</definedName>
    <definedName name="SalesGrowthPct">#REF!</definedName>
    <definedName name="salesnoi">#REF!</definedName>
    <definedName name="SalesPrice" hidden="1">#REF!</definedName>
    <definedName name="salespriceperunit">#REF!</definedName>
    <definedName name="salespricepsf">#REF!</definedName>
    <definedName name="salesroe">#REF!</definedName>
    <definedName name="salestime">#REF!</definedName>
    <definedName name="salesyield">#REF!</definedName>
    <definedName name="SalPainter">#REF!</definedName>
    <definedName name="Sample1">#REF!</definedName>
    <definedName name="SampleRow">#REF!</definedName>
    <definedName name="SARA">#REF!</definedName>
    <definedName name="SARANITI__GEMMA">#N/A</definedName>
    <definedName name="sas" hidden="1">{"Outflow 1",#N/A,FALSE,"Outflows-Inflows";"Outflow 2",#N/A,FALSE,"Outflows-Inflows";"Inflow 1",#N/A,FALSE,"Outflows-Inflows";"Inflow 2",#N/A,FALSE,"Outflows-Inflows"}</definedName>
    <definedName name="SAYGER__EDNA">#N/A</definedName>
    <definedName name="SBINS">#N/A</definedName>
    <definedName name="SBRID">#N/A</definedName>
    <definedName name="SCE">#REF!</definedName>
    <definedName name="scen1_output">#REF!</definedName>
    <definedName name="scen2_output">#REF!</definedName>
    <definedName name="scen3_output">#REF!</definedName>
    <definedName name="scen4_output">#REF!</definedName>
    <definedName name="scen5_output">#REF!</definedName>
    <definedName name="Scenario">#REF!</definedName>
    <definedName name="ScenarioAnalysisData">#REF!</definedName>
    <definedName name="ScenarioToggle">#REF!</definedName>
    <definedName name="SCHED">#REF!</definedName>
    <definedName name="SchedStrike1">#REF!</definedName>
    <definedName name="SchedStrike2">#REF!</definedName>
    <definedName name="ScheduleDayCount">#REF!</definedName>
    <definedName name="ScheduleEffective">#REF!</definedName>
    <definedName name="ScheduleMaturity">#REF!</definedName>
    <definedName name="ScheduleNotional">#REF!</definedName>
    <definedName name="SchedulePayFreq">#REF!</definedName>
    <definedName name="SCHOENE__GEORGE">#N/A</definedName>
    <definedName name="SCHOOL_EQUALIZATION">#REF!</definedName>
    <definedName name="SCONT">#N/A</definedName>
    <definedName name="sd">#REF!</definedName>
    <definedName name="sdcds" hidden="1">{"'Assump'!$F$6:$J$6"}</definedName>
    <definedName name="sdf" hidden="1">{"Assump",#N/A,TRUE,"Proforma";"first",#N/A,TRUE,"Proforma";"second",#N/A,TRUE,"Proforma";"lease1",#N/A,TRUE,"Proforma";"lease2",#N/A,TRUE,"Proforma"}</definedName>
    <definedName name="sdfass" hidden="1">{"Outflow 1",#N/A,FALSE,"Outflows-Inflows";"Outflow 2",#N/A,FALSE,"Outflows-Inflows";"Inflow 1",#N/A,FALSE,"Outflows-Inflows";"Inflow 2",#N/A,FALSE,"Outflows-Inflows"}</definedName>
    <definedName name="sdfg" hidden="1">{"Summaryall",#N/A,FALSE,"Model";"5 Year Argus Office/Retail Properties",#N/A,FALSE,"Office-Retail Argus 2002-2006";"Joint Ventures",#N/A,FALSE,"Joint Ventures";"Hotelall",#N/A,FALSE,"Hotel";"RDVall",#N/A,FALSE,"LDV";"Otherall",#N/A,FALSE,"Other";"Dispoall",#N/A,FALSE,"Dispositions"}</definedName>
    <definedName name="SECOND">#REF!</definedName>
    <definedName name="SECOND_">#N/A</definedName>
    <definedName name="Second_resident">#N/A</definedName>
    <definedName name="SecondTD">#REF!</definedName>
    <definedName name="SecondTDLessRehab">#REF!</definedName>
    <definedName name="secsal">#REF!</definedName>
    <definedName name="Security_Exp_Override">#N/A</definedName>
    <definedName name="Security_Expense">#N/A</definedName>
    <definedName name="SECURITYACT">#REF!</definedName>
    <definedName name="SELEC">#N/A</definedName>
    <definedName name="SelectCreditRatios">#REF!</definedName>
    <definedName name="SelectedFrequency">#REF!</definedName>
    <definedName name="SelectedIndex">#REF!</definedName>
    <definedName name="SelectSheet">#REF!</definedName>
    <definedName name="SellExp">#REF!+#REF!</definedName>
    <definedName name="Sellout_Deposits_Assumptions">#REF!</definedName>
    <definedName name="Sellout_Percentage_Assumptions">#REF!</definedName>
    <definedName name="sencount" hidden="1">2</definedName>
    <definedName name="SENSITIVITY">#N/A</definedName>
    <definedName name="SEPTRASH">#REF!</definedName>
    <definedName name="SEQUP">#N/A</definedName>
    <definedName name="SERVCAMBILL">#REF!</definedName>
    <definedName name="SEXCV">#N/A</definedName>
    <definedName name="SEXCVA">#N/A</definedName>
    <definedName name="SEXCVB">#N/A</definedName>
    <definedName name="SEXTW">#N/A</definedName>
    <definedName name="SF">#REF!</definedName>
    <definedName name="SFARM">#N/A</definedName>
    <definedName name="SFEE_">#N/A</definedName>
    <definedName name="SFINS">#N/A</definedName>
    <definedName name="SFLOO">#N/A</definedName>
    <definedName name="SFPRT">#N/A</definedName>
    <definedName name="SFR">#REF!/SFT</definedName>
    <definedName name="SFSFSF">#REF!</definedName>
    <definedName name="SFT">#REF!</definedName>
    <definedName name="SFV">#REF!</definedName>
    <definedName name="SGENC">#N/A</definedName>
    <definedName name="SHARP__MARGARET">#N/A</definedName>
    <definedName name="SHEARER__CATHER">#N/A</definedName>
    <definedName name="Sheets_Clear_Click">[0]!Sheets_Clear_Click</definedName>
    <definedName name="Sheets_Select_Click">[0]!Sheets_Select_Click</definedName>
    <definedName name="SHOP_ACTUALRENT">#REF!</definedName>
    <definedName name="SHOP_AVG_TERM">#REF!</definedName>
    <definedName name="SHOP_DT_NEW">#REF!</definedName>
    <definedName name="SHOP_DT_RENEWAL">#REF!</definedName>
    <definedName name="SHOP_FREERENT">#REF!</definedName>
    <definedName name="SHOP_LC_NEW">#REF!</definedName>
    <definedName name="SHOP_LC_RENEWAL">#REF!</definedName>
    <definedName name="SHOP_RENTAL">#REF!</definedName>
    <definedName name="SHOP_RETENT">#REF!</definedName>
    <definedName name="SHOP_SF">#REF!</definedName>
    <definedName name="SHOP_TI_NEW">#REF!</definedName>
    <definedName name="SHOP_TI_RENEWAL">#REF!</definedName>
    <definedName name="ShopInternet">#REF!</definedName>
    <definedName name="ShopStaffAnnual">#REF!</definedName>
    <definedName name="ShopStaffFactor">#REF!</definedName>
    <definedName name="shortaft">#N/A</definedName>
    <definedName name="shortpre">#N/A</definedName>
    <definedName name="Show.Date">#N/A</definedName>
    <definedName name="SHVAC">#N/A</definedName>
    <definedName name="SIMMS__MAMIE">#N/A</definedName>
    <definedName name="SISLEY_EXP">#REF!</definedName>
    <definedName name="SISLEY_SQ">#REF!</definedName>
    <definedName name="size1">#REF!</definedName>
    <definedName name="size10">#REF!</definedName>
    <definedName name="size11">#REF!</definedName>
    <definedName name="size12">#REF!</definedName>
    <definedName name="size13">#REF!</definedName>
    <definedName name="size14">#REF!</definedName>
    <definedName name="size15">#REF!</definedName>
    <definedName name="size16">#REF!</definedName>
    <definedName name="size17">#REF!</definedName>
    <definedName name="size18">#REF!</definedName>
    <definedName name="size19">#REF!</definedName>
    <definedName name="size2">#REF!</definedName>
    <definedName name="size20">#REF!</definedName>
    <definedName name="size21">#REF!</definedName>
    <definedName name="size22">#REF!</definedName>
    <definedName name="size23">#REF!</definedName>
    <definedName name="size24">#REF!</definedName>
    <definedName name="size25">#REF!</definedName>
    <definedName name="size26">#REF!</definedName>
    <definedName name="size27">#REF!</definedName>
    <definedName name="size3">#REF!</definedName>
    <definedName name="size4">#REF!</definedName>
    <definedName name="size5">#REF!</definedName>
    <definedName name="size6">#REF!</definedName>
    <definedName name="size7">#REF!</definedName>
    <definedName name="size8">#REF!</definedName>
    <definedName name="size9">#REF!</definedName>
    <definedName name="SLAVEN__RUBY">#N/A</definedName>
    <definedName name="Smonth">#N/A</definedName>
    <definedName name="SNOWACT">#REF!</definedName>
    <definedName name="snowrem">#REF!</definedName>
    <definedName name="Socsvc_Exp_Override">#N/A</definedName>
    <definedName name="Socsvc_Expense">#N/A</definedName>
    <definedName name="Soft_Costs_Draw">#REF!</definedName>
    <definedName name="softcost">#REF!</definedName>
    <definedName name="sold_price">#REF!</definedName>
    <definedName name="sold_price1">#REF!</definedName>
    <definedName name="solve">#REF!</definedName>
    <definedName name="solver_drv" hidden="1">1</definedName>
    <definedName name="solver_est" hidden="1">1</definedName>
    <definedName name="solver_itr" hidden="1">100</definedName>
    <definedName name="solver_lin" hidden="1">1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PCL_6A1">#REF!</definedName>
    <definedName name="SPCL_6A2">#REF!</definedName>
    <definedName name="SPCL_6B1">#REF!</definedName>
    <definedName name="SPCL_6B2">#REF!</definedName>
    <definedName name="SPCL_6C1">#REF!</definedName>
    <definedName name="SPCL_6C2">#REF!</definedName>
    <definedName name="SPCL_6D">#REF!</definedName>
    <definedName name="SPCL_6F">#REF!</definedName>
    <definedName name="SPCL_6J">#REF!</definedName>
    <definedName name="SPCL_6K">#REF!</definedName>
    <definedName name="SPCL_6L">#REF!</definedName>
    <definedName name="SPDSHT1">#REF!</definedName>
    <definedName name="SPDSHT2">#REF!</definedName>
    <definedName name="SPDSHT3">#REF!</definedName>
    <definedName name="SpecialAssess">#REF!</definedName>
    <definedName name="SpecialAssessments">#REF!</definedName>
    <definedName name="SPECIALLIST">#REF!</definedName>
    <definedName name="SPECIALS2">#REF!</definedName>
    <definedName name="SpecifiedPrice">#REF!</definedName>
    <definedName name="SPERM">#N/A</definedName>
    <definedName name="SPF_brr">#REF!</definedName>
    <definedName name="SPF_calc">#REF!</definedName>
    <definedName name="SPF_egr">#REF!</definedName>
    <definedName name="SPF_home">#REF!</definedName>
    <definedName name="SPF_home2">#REF!</definedName>
    <definedName name="SPF_junk">#REF!</definedName>
    <definedName name="SPF_Month">#REF!</definedName>
    <definedName name="SPF_noi">#REF!</definedName>
    <definedName name="SPF_OpEX">#REF!</definedName>
    <definedName name="SPF_pgr">#REF!</definedName>
    <definedName name="SPF_reimb">#REF!</definedName>
    <definedName name="SPLBG">#N/A</definedName>
    <definedName name="Split1">#N/A</definedName>
    <definedName name="Split2">#N/A</definedName>
    <definedName name="Split3">#N/A</definedName>
    <definedName name="spon">#REF!</definedName>
    <definedName name="Sponsor_Abb">#REF!</definedName>
    <definedName name="Sponsor_Pct">#REF!</definedName>
    <definedName name="Spread">#REF!</definedName>
    <definedName name="SQ_8.00">#REF!</definedName>
    <definedName name="SQ_9.00">#REF!</definedName>
    <definedName name="SqFeet">#REF!</definedName>
    <definedName name="Square_Footage">#REF!</definedName>
    <definedName name="SRFWP">#N/A</definedName>
    <definedName name="SRFWPA">#N/A</definedName>
    <definedName name="SRFWPB">#N/A</definedName>
    <definedName name="SS">#N/A</definedName>
    <definedName name="SSCON">#N/A</definedName>
    <definedName name="SSERV">#N/A</definedName>
    <definedName name="SSF">#REF!</definedName>
    <definedName name="SSITE">#N/A</definedName>
    <definedName name="ssm" hidden="1">#REF!</definedName>
    <definedName name="SSPEC">#N/A</definedName>
    <definedName name="SSTRU">#N/A</definedName>
    <definedName name="SSTRUA">#N/A</definedName>
    <definedName name="SSTRUB">#N/A</definedName>
    <definedName name="Stab_Ancil_Inc">#N/A</definedName>
    <definedName name="Stabilization">#REF!</definedName>
    <definedName name="STABILIZED_OCC">#REF!</definedName>
    <definedName name="stabilizedroe">#REF!</definedName>
    <definedName name="stabilizedyield">#REF!</definedName>
    <definedName name="StabLossToLease">#REF!</definedName>
    <definedName name="StabMiscInc">#REF!</definedName>
    <definedName name="StabUnits">#REF!</definedName>
    <definedName name="StabVacancy">#REF!</definedName>
    <definedName name="StackingPlan">#N/A</definedName>
    <definedName name="StaffAcct">#REF!</definedName>
    <definedName name="StaffTitle">#REF!</definedName>
    <definedName name="STALLINGS__MARJ">#N/A</definedName>
    <definedName name="stand">#N/A</definedName>
    <definedName name="stand98">#N/A</definedName>
    <definedName name="start">#REF!</definedName>
    <definedName name="Start_Date">#N/A</definedName>
    <definedName name="START_YEAR">#REF!</definedName>
    <definedName name="StartDate">#REF!</definedName>
    <definedName name="StartDate_Var">#REF!</definedName>
    <definedName name="startleasing">#REF!</definedName>
    <definedName name="StartRehab">#REF!</definedName>
    <definedName name="Startup">#REF!</definedName>
    <definedName name="STAT">#N/A</definedName>
    <definedName name="STATE">#REF!</definedName>
    <definedName name="STATECODES">#REF!</definedName>
    <definedName name="staterates">#REF!</definedName>
    <definedName name="states">#REF!</definedName>
    <definedName name="STATS">#N/A</definedName>
    <definedName name="Status">#REF!</definedName>
    <definedName name="StepRev">#REF!</definedName>
    <definedName name="Stlinerent">#REF!</definedName>
    <definedName name="STORAGE">#REF!</definedName>
    <definedName name="Structure">#REF!</definedName>
    <definedName name="StubDate">#REF!</definedName>
    <definedName name="stuff">#N/A</definedName>
    <definedName name="SubGuard">#REF!</definedName>
    <definedName name="submeter">#REF!</definedName>
    <definedName name="Submeterinitialcost">#REF!</definedName>
    <definedName name="submetermonthlybilling">#REF!</definedName>
    <definedName name="Submeterpercentreduction">#REF!</definedName>
    <definedName name="submeterpercentsewer">#REF!</definedName>
    <definedName name="submeterpercentwater">#REF!</definedName>
    <definedName name="SUMMARY">#N/A</definedName>
    <definedName name="Summary_Environmental_Additional_Action_Other">#REF!</definedName>
    <definedName name="Summary_Environmental_OM_Other">#REF!</definedName>
    <definedName name="SUMMERLIN__ETHE">#N/A</definedName>
    <definedName name="SUNTICH__MILAN">#N/A</definedName>
    <definedName name="SUNTRUST">#N/A</definedName>
    <definedName name="SUPPLIESACT">#REF!</definedName>
    <definedName name="suze4">#REF!</definedName>
    <definedName name="SVERT">#N/A</definedName>
    <definedName name="SwapBaseCCY">#REF!</definedName>
    <definedName name="SwapComponent1">#REF!</definedName>
    <definedName name="SwapComponent2">#REF!</definedName>
    <definedName name="SwapDCConv1">#REF!</definedName>
    <definedName name="SwapDuration1">#REF!</definedName>
    <definedName name="SwapDV011">#REF!</definedName>
    <definedName name="SwapEffDt">#REF!</definedName>
    <definedName name="SwapFairValue">#REF!</definedName>
    <definedName name="SwapFilterCells">#REF!</definedName>
    <definedName name="SwapFreq1">#REF!</definedName>
    <definedName name="SwapFX1">#REF!</definedName>
    <definedName name="SwapFX2">#REF!</definedName>
    <definedName name="SwapHeader">#REF!</definedName>
    <definedName name="SwapKeyRate">#REF!</definedName>
    <definedName name="SwapLastUpdate">#REF!</definedName>
    <definedName name="SwapLeg1Monthly">#REF!</definedName>
    <definedName name="SwapLeg1Quarterly">#REF!</definedName>
    <definedName name="SwapLeg1QuarterlyDefault">#REF!</definedName>
    <definedName name="SwapLeg2Monthly">#REF!</definedName>
    <definedName name="SwapLeg2Quarterly">#REF!</definedName>
    <definedName name="SwapMaturityDt">#REF!</definedName>
    <definedName name="SwapMTM">#REF!</definedName>
    <definedName name="SwapMultiplier1">#REF!</definedName>
    <definedName name="SwapNETAccrued">#REF!</definedName>
    <definedName name="SwapNETDuration">#REF!</definedName>
    <definedName name="SwapNetDV01">#REF!</definedName>
    <definedName name="SwapNotional1">#REF!</definedName>
    <definedName name="SwapPayRec1">#REF!</definedName>
    <definedName name="SwapPVPmt1">#REF!</definedName>
    <definedName name="SwapQuoteId">#REF!</definedName>
    <definedName name="SwapRunTime">#REF!</definedName>
    <definedName name="Swaps">#REF!</definedName>
    <definedName name="SwapShock">#REF!</definedName>
    <definedName name="SwapSpread1">#REF!</definedName>
    <definedName name="SwaptionpayDV10">#REF!</definedName>
    <definedName name="SwaptionreceiveDV10">#REF!</definedName>
    <definedName name="SwaptionVolMatrixCoordinates">#REF!</definedName>
    <definedName name="SwapValueDate">#REF!</definedName>
    <definedName name="SwapVolOveride">#REF!</definedName>
    <definedName name="SWEEPACT">#REF!</definedName>
    <definedName name="Swvu.ALL." hidden="1">#REF!</definedName>
    <definedName name="Swvu.allocations." hidden="1">#REF!</definedName>
    <definedName name="Swvu.annual._.hotel." hidden="1">#REF!</definedName>
    <definedName name="Swvu.bottom._.line." hidden="1">#REF!</definedName>
    <definedName name="Swvu.CAM._.RATES." hidden="1">#REF!</definedName>
    <definedName name="Swvu.CAM._.RECOVERIES." hidden="1">#REF!</definedName>
    <definedName name="Swvu.CAM._.RECOVERY." hidden="1">#REF!</definedName>
    <definedName name="Swvu.CAM._.TABLE." hidden="1">#REF!</definedName>
    <definedName name="Swvu.cash._.flow." hidden="1">#REF!</definedName>
    <definedName name="Swvu.combo." hidden="1">#REF!</definedName>
    <definedName name="Swvu.full." hidden="1">#REF!</definedName>
    <definedName name="Swvu.INSURANCE._.RECOVERIES." hidden="1">#REF!</definedName>
    <definedName name="Swvu.LSMEET." hidden="1">#REF!</definedName>
    <definedName name="Swvu.MARKETING._.REVENUE." hidden="1">#REF!</definedName>
    <definedName name="Swvu.MINIMUM._.RENT." hidden="1">#REF!</definedName>
    <definedName name="Swvu.OCCUPANCY." hidden="1">#REF!</definedName>
    <definedName name="Swvu.OCCUPANCY._.ANALYSIS." hidden="1">#REF!</definedName>
    <definedName name="Swvu.offsite." hidden="1">#REF!</definedName>
    <definedName name="Swvu.onsite." hidden="1">#REF!</definedName>
    <definedName name="Swvu.PERCENTAGE._.RENT." hidden="1">#REF!</definedName>
    <definedName name="Swvu.TAX._.RATES." hidden="1">#REF!</definedName>
    <definedName name="Swvu.TAX._.RECOVERIES." hidden="1">#REF!</definedName>
    <definedName name="Swvu.TAX._.RECOVERY." hidden="1">#REF!</definedName>
    <definedName name="Swvu.WAT." hidden="1">#REF!</definedName>
    <definedName name="SYSBORDER">#N/A</definedName>
    <definedName name="SYSTEMSPRINT">#N/A</definedName>
    <definedName name="T_K">#N/A</definedName>
    <definedName name="T_S">#REF!</definedName>
    <definedName name="T10CAM">#REF!</definedName>
    <definedName name="T10INM">#REF!</definedName>
    <definedName name="T10PTM">#REF!</definedName>
    <definedName name="T11CAM">#REF!</definedName>
    <definedName name="T11INM">#REF!</definedName>
    <definedName name="T11PTM">#REF!</definedName>
    <definedName name="T12CAM">#REF!</definedName>
    <definedName name="T12INM">#REF!</definedName>
    <definedName name="T12PTM">#REF!</definedName>
    <definedName name="T12WTE">#REF!</definedName>
    <definedName name="T13CAM">#REF!</definedName>
    <definedName name="T13INM">#REF!</definedName>
    <definedName name="T13PTM">#REF!</definedName>
    <definedName name="T13WTE">#REF!</definedName>
    <definedName name="T14CAM">#REF!</definedName>
    <definedName name="T14INM">#REF!</definedName>
    <definedName name="T14PTM">#REF!</definedName>
    <definedName name="T15CAM">#REF!</definedName>
    <definedName name="T15INM">#REF!</definedName>
    <definedName name="T15PTM">#REF!</definedName>
    <definedName name="T16CAM">#REF!</definedName>
    <definedName name="T16INM">#REF!</definedName>
    <definedName name="T16PTM">#REF!</definedName>
    <definedName name="T17CAM">#REF!</definedName>
    <definedName name="T17INM">#REF!</definedName>
    <definedName name="T17PTM">#REF!</definedName>
    <definedName name="T17WTE">#REF!</definedName>
    <definedName name="T18CAM">#REF!</definedName>
    <definedName name="T18INM">#REF!</definedName>
    <definedName name="T18PTM">#REF!</definedName>
    <definedName name="T18WTE">#REF!</definedName>
    <definedName name="T19CAM">#REF!</definedName>
    <definedName name="T19INM">#REF!</definedName>
    <definedName name="T19PTM">#REF!</definedName>
    <definedName name="T19WTE">#REF!</definedName>
    <definedName name="T1CAM">#REF!</definedName>
    <definedName name="T1INM">#REF!</definedName>
    <definedName name="T1PTM">#REF!</definedName>
    <definedName name="T20CAM">#REF!</definedName>
    <definedName name="T20INM">#REF!</definedName>
    <definedName name="T20PTM">#REF!</definedName>
    <definedName name="T21CAM">#REF!</definedName>
    <definedName name="T21INM">#REF!</definedName>
    <definedName name="T21PTM">#REF!</definedName>
    <definedName name="T22CAM">#REF!</definedName>
    <definedName name="T22INM">#REF!</definedName>
    <definedName name="T22PTM">#REF!</definedName>
    <definedName name="T22WTE">#REF!</definedName>
    <definedName name="T23CAM">#REF!</definedName>
    <definedName name="T23INM">#REF!</definedName>
    <definedName name="T23PTM">#REF!</definedName>
    <definedName name="T23WTE">#REF!</definedName>
    <definedName name="T24CAM">#REF!</definedName>
    <definedName name="T24INM">#REF!</definedName>
    <definedName name="T24PTM">#REF!</definedName>
    <definedName name="T24WTE">#REF!</definedName>
    <definedName name="T25CAM">#REF!</definedName>
    <definedName name="T25INM">#REF!</definedName>
    <definedName name="T25PTM">#REF!</definedName>
    <definedName name="T26CAM">#REF!</definedName>
    <definedName name="T26CME">#REF!</definedName>
    <definedName name="T26INE">#REF!</definedName>
    <definedName name="T26INM">#REF!</definedName>
    <definedName name="T26PTE">#REF!</definedName>
    <definedName name="T26PTM">#REF!</definedName>
    <definedName name="T27CAM">#REF!</definedName>
    <definedName name="T27CME">#REF!</definedName>
    <definedName name="T27INE">#REF!</definedName>
    <definedName name="T27INM">#REF!</definedName>
    <definedName name="T27PTE">#REF!</definedName>
    <definedName name="T27PTM">#REF!</definedName>
    <definedName name="T27WTE">#REF!</definedName>
    <definedName name="T27WTR">#REF!</definedName>
    <definedName name="T28CAM">#REF!</definedName>
    <definedName name="T28CME">#REF!</definedName>
    <definedName name="T28INE">#REF!</definedName>
    <definedName name="T28INM">#REF!</definedName>
    <definedName name="T28PTE">#REF!</definedName>
    <definedName name="T28PTM">#REF!</definedName>
    <definedName name="T29CAM">#REF!</definedName>
    <definedName name="T29CME">#REF!</definedName>
    <definedName name="T29INE">#REF!</definedName>
    <definedName name="T29INM">#REF!</definedName>
    <definedName name="T29PTE">#REF!</definedName>
    <definedName name="T29PTM">#REF!</definedName>
    <definedName name="T2CAM">#REF!</definedName>
    <definedName name="T2INM">#REF!</definedName>
    <definedName name="T2PTM">#REF!</definedName>
    <definedName name="T2WTE">#REF!</definedName>
    <definedName name="T30CAM">#REF!</definedName>
    <definedName name="T30CME">#REF!</definedName>
    <definedName name="T30INE">#REF!</definedName>
    <definedName name="T30INM">#REF!</definedName>
    <definedName name="T30PTE">#REF!</definedName>
    <definedName name="T30PTM">#REF!</definedName>
    <definedName name="T31CAM">#REF!</definedName>
    <definedName name="T31CME">#REF!</definedName>
    <definedName name="T31INE">#REF!</definedName>
    <definedName name="T31INM">#REF!</definedName>
    <definedName name="T31PTE">#REF!</definedName>
    <definedName name="T31PTM">#REF!</definedName>
    <definedName name="T32CAM">#REF!</definedName>
    <definedName name="T32CME">#REF!</definedName>
    <definedName name="T32INE">#REF!</definedName>
    <definedName name="T32INM">#REF!</definedName>
    <definedName name="T32PTE">#REF!</definedName>
    <definedName name="T32PTM">#REF!</definedName>
    <definedName name="T33CAM">#REF!</definedName>
    <definedName name="T33CME">#REF!</definedName>
    <definedName name="T33INE">#REF!</definedName>
    <definedName name="T33INM">#REF!</definedName>
    <definedName name="T33PTE">#REF!</definedName>
    <definedName name="T33PTM">#REF!</definedName>
    <definedName name="T34CAM">#REF!</definedName>
    <definedName name="T34CME">#REF!</definedName>
    <definedName name="T34INE">#REF!</definedName>
    <definedName name="T34INM">#REF!</definedName>
    <definedName name="T34PTE">#REF!</definedName>
    <definedName name="T34PTM">#REF!</definedName>
    <definedName name="T35CAM">#REF!</definedName>
    <definedName name="T35CME">#REF!</definedName>
    <definedName name="T35INE">#REF!</definedName>
    <definedName name="T35INM">#REF!</definedName>
    <definedName name="T35PTE">#REF!</definedName>
    <definedName name="T35PTM">#REF!</definedName>
    <definedName name="T36CAM">#REF!</definedName>
    <definedName name="T36CME">#REF!</definedName>
    <definedName name="T36INE">#REF!</definedName>
    <definedName name="T36INM">#REF!</definedName>
    <definedName name="T36PTE">#REF!</definedName>
    <definedName name="T36PTM">#REF!</definedName>
    <definedName name="T37CAM">#REF!</definedName>
    <definedName name="T37CME">#REF!</definedName>
    <definedName name="T37INE">#REF!</definedName>
    <definedName name="T37INM">#REF!</definedName>
    <definedName name="T37PTE">#REF!</definedName>
    <definedName name="T37PTM">#REF!</definedName>
    <definedName name="T38CAM">#REF!</definedName>
    <definedName name="T38CME">#REF!</definedName>
    <definedName name="T38INE">#REF!</definedName>
    <definedName name="T38INM">#REF!</definedName>
    <definedName name="T38PTE">#REF!</definedName>
    <definedName name="T38PTM">#REF!</definedName>
    <definedName name="T39CAM">#REF!</definedName>
    <definedName name="T39CME">#REF!</definedName>
    <definedName name="T39INE">#REF!</definedName>
    <definedName name="T39INM">#REF!</definedName>
    <definedName name="T39PTE">#REF!</definedName>
    <definedName name="T39PTM">#REF!</definedName>
    <definedName name="T3CAM">#REF!</definedName>
    <definedName name="T3INM">#REF!</definedName>
    <definedName name="T3PTM">#REF!</definedName>
    <definedName name="T40CAM">#REF!</definedName>
    <definedName name="T40CME">#REF!</definedName>
    <definedName name="T40INE">#REF!</definedName>
    <definedName name="T40INM">#REF!</definedName>
    <definedName name="T40PTE">#REF!</definedName>
    <definedName name="T40PTM">#REF!</definedName>
    <definedName name="T41CAM">#REF!</definedName>
    <definedName name="T41CME">#REF!</definedName>
    <definedName name="T41INE">#REF!</definedName>
    <definedName name="T41INM">#REF!</definedName>
    <definedName name="T41PTE">#REF!</definedName>
    <definedName name="T41PTM">#REF!</definedName>
    <definedName name="T4CAM">#REF!</definedName>
    <definedName name="T4INM">#REF!</definedName>
    <definedName name="T4PTM">#REF!</definedName>
    <definedName name="T4WTE">#REF!</definedName>
    <definedName name="T5CAM">#REF!</definedName>
    <definedName name="T5INM">#REF!</definedName>
    <definedName name="T5PTM">#REF!</definedName>
    <definedName name="T5WTE">#REF!</definedName>
    <definedName name="T5WTR">#REF!</definedName>
    <definedName name="T6CAM">#REF!</definedName>
    <definedName name="T6INM">#REF!</definedName>
    <definedName name="T6PTM">#REF!</definedName>
    <definedName name="T7CAM">#REF!</definedName>
    <definedName name="T7INM">#REF!</definedName>
    <definedName name="T7PTM">#REF!</definedName>
    <definedName name="T7WTE">#REF!</definedName>
    <definedName name="T8CAM">#REF!</definedName>
    <definedName name="T8INM">#REF!</definedName>
    <definedName name="T8PTM">#REF!</definedName>
    <definedName name="T8WTE">#REF!</definedName>
    <definedName name="T9CAM">#REF!</definedName>
    <definedName name="T9INM">#REF!</definedName>
    <definedName name="T9PTM">#REF!</definedName>
    <definedName name="T9WTE">#REF!</definedName>
    <definedName name="TABLE">#REF!</definedName>
    <definedName name="Table_beg_bal">#REF!</definedName>
    <definedName name="Table_prior_interest">#REF!</definedName>
    <definedName name="Table_start_date">#REF!</definedName>
    <definedName name="Table_start_pmt">#REF!</definedName>
    <definedName name="Table1">#N/A</definedName>
    <definedName name="tacobell">#REF!</definedName>
    <definedName name="TAKACS__ELIZABE">#N/A</definedName>
    <definedName name="tall_switch">#REF!</definedName>
    <definedName name="TargetIRR">#REF!</definedName>
    <definedName name="Tax">#N/A</definedName>
    <definedName name="Tax_Credits">#REF!</definedName>
    <definedName name="TAX_DATE">#REF!</definedName>
    <definedName name="Tax_Return_Analysis_Year">#REF!</definedName>
    <definedName name="TAXAnnualDiffBtwnCostAndBase">#REF!</definedName>
    <definedName name="TAXAprDiffBtwnCostAndBase">#REF!</definedName>
    <definedName name="TAXAugDiffBtwnCostAndBase">#REF!</definedName>
    <definedName name="taxbill">#REF!</definedName>
    <definedName name="TAXCNS96">#REF!</definedName>
    <definedName name="TAXCODES">#REF!</definedName>
    <definedName name="TAXDecDiffBtwnCostAndBase">#REF!</definedName>
    <definedName name="taxes">#N/A</definedName>
    <definedName name="Taxes_Base">#REF!</definedName>
    <definedName name="Taxes_Total">#REF!</definedName>
    <definedName name="taxes2">#REF!</definedName>
    <definedName name="taxesassessed2">#REF!</definedName>
    <definedName name="taxesassessed3">#REF!</definedName>
    <definedName name="taxesassessedcurrent">#REF!</definedName>
    <definedName name="taxesassessedprior">#REF!</definedName>
    <definedName name="taxesfmv2">#REF!</definedName>
    <definedName name="taxesfmv3">#REF!</definedName>
    <definedName name="taxesfmvcurrent">#REF!</definedName>
    <definedName name="taxesfmvprior">#REF!</definedName>
    <definedName name="taxespayment2">#REF!</definedName>
    <definedName name="taxespayment3">#REF!</definedName>
    <definedName name="taxespaymentcurrent">#REF!</definedName>
    <definedName name="taxespaymentprior">#REF!</definedName>
    <definedName name="taxesperunit2">#REF!</definedName>
    <definedName name="taxesperunit3">#REF!</definedName>
    <definedName name="taxesperunitcurrent">#REF!</definedName>
    <definedName name="taxesperunitprior">#REF!</definedName>
    <definedName name="taxespriortoopening">#REF!</definedName>
    <definedName name="taxesrate2">#REF!</definedName>
    <definedName name="taxesrate3">#REF!</definedName>
    <definedName name="taxesratecurrent">#REF!</definedName>
    <definedName name="taxesrateprior">#REF!</definedName>
    <definedName name="TAXEXP">#REF!</definedName>
    <definedName name="TAXFebDiffBtwnCostAndBase">#REF!</definedName>
    <definedName name="TaxGrowth">#REF!</definedName>
    <definedName name="TaxINFLAT">#REF!</definedName>
    <definedName name="TAXJanDiffBtwnCostAndBase">#REF!</definedName>
    <definedName name="TAXJulDiffBtwnCostAndBase">#REF!</definedName>
    <definedName name="TAXJunDiffBtwnCostAndBase">#REF!</definedName>
    <definedName name="TAXMarDiffBtwnCostAndBase">#REF!</definedName>
    <definedName name="TAXMayDiffBtwnCostAndBase">#REF!</definedName>
    <definedName name="TAXNovDiffBtwnCostAndBase">#REF!</definedName>
    <definedName name="TAXOctDiffBtwnCostAndBase">#REF!</definedName>
    <definedName name="TAXPSF">#REF!</definedName>
    <definedName name="taxrate">#REF!</definedName>
    <definedName name="Taxrates">#REF!</definedName>
    <definedName name="taxredux">#REF!</definedName>
    <definedName name="taxrent">#REF!</definedName>
    <definedName name="taxrent2">#REF!</definedName>
    <definedName name="TAXRETax">#REF!</definedName>
    <definedName name="TAXREType1Tax">#REF!</definedName>
    <definedName name="TAXREType1TaxPSF">#REF!</definedName>
    <definedName name="TAXREType2Tax">#REF!</definedName>
    <definedName name="TAXREType2TaxPSF">#REF!</definedName>
    <definedName name="TAXSepDiffBtwnCostAndBase">#REF!</definedName>
    <definedName name="TAXSF97">#REF!</definedName>
    <definedName name="TAXSqFt">#REF!</definedName>
    <definedName name="TAXSTATUS">#REF!</definedName>
    <definedName name="TAXTABLE">#REF!</definedName>
    <definedName name="TAXTotAnnualDiffBtwnCostAndBase">#REF!</definedName>
    <definedName name="TAXTotAprDiffBtwnCostAndBase">#REF!</definedName>
    <definedName name="TAXTotAugDiffBtwnCostAndBase">#REF!</definedName>
    <definedName name="TAXTotDecDiffBtwnCostAndBase">#REF!</definedName>
    <definedName name="TAXTotFebDiffBtwnCostAndBase">#REF!</definedName>
    <definedName name="TAXTotJanDiffBtwnCostAndBase">#REF!</definedName>
    <definedName name="TAXTotJulDiffBtwnCostAndBase">#REF!</definedName>
    <definedName name="TAXTotJunDiffBtwnCostAndBase">#REF!</definedName>
    <definedName name="TAXTotMarDiffBtwnCostAndBase">#REF!</definedName>
    <definedName name="TAXTotMayDiffBtwnCostAndBase">#REF!</definedName>
    <definedName name="TAXTotNovDiffBtwnCostAndBase">#REF!</definedName>
    <definedName name="TAXTotOctDiffBtwnCostAndBase">#REF!</definedName>
    <definedName name="TAXTotRETax">#REF!</definedName>
    <definedName name="TAXTotRETaxPSF">#REF!</definedName>
    <definedName name="TAXTotREType1Tax">#REF!</definedName>
    <definedName name="TAXTotREType2Tax">#REF!</definedName>
    <definedName name="TAXTotSepDiffBtwnCostAndBase">#REF!</definedName>
    <definedName name="TAXTotSqFt">#REF!</definedName>
    <definedName name="TDC">#REF!</definedName>
    <definedName name="temp">#REF!</definedName>
    <definedName name="Template">#REF!</definedName>
    <definedName name="Ten_Yr_UST">#REF!</definedName>
    <definedName name="TENANT">#REF!</definedName>
    <definedName name="Tenant_Name">#REF!</definedName>
    <definedName name="TENANT_TYPE">#REF!</definedName>
    <definedName name="TenantType">#REF!</definedName>
    <definedName name="tenanttypename">#REF!</definedName>
    <definedName name="Tenor">#REF!</definedName>
    <definedName name="TERM">#N/A</definedName>
    <definedName name="Term_in_years">#REF!</definedName>
    <definedName name="Term_Requested">#REF!</definedName>
    <definedName name="Terminal_Cap_Rate">#REF!</definedName>
    <definedName name="TerminalCap">#REF!</definedName>
    <definedName name="termination">#REF!</definedName>
    <definedName name="test">#N/A</definedName>
    <definedName name="TestAdd">"Test RefersTo1"</definedName>
    <definedName name="Testing">#REF!</definedName>
    <definedName name="Testnonrevenue">#REF!</definedName>
    <definedName name="Testrange">#REF!</definedName>
    <definedName name="that">#REF!</definedName>
    <definedName name="ThirdPartyCosts">#REF!</definedName>
    <definedName name="ThirdPartyEquity">#REF!</definedName>
    <definedName name="this">#REF!</definedName>
    <definedName name="ThreeBRRents">#REF!</definedName>
    <definedName name="TI">#REF!</definedName>
    <definedName name="TI_AVG">#REF!</definedName>
    <definedName name="TI_AVGFULL">#REF!</definedName>
    <definedName name="TI_LC">#REF!</definedName>
    <definedName name="TIDeposit">#N/A</definedName>
    <definedName name="TIF_Date">#REF!</definedName>
    <definedName name="TILC">COLUMN()-COL1STYR</definedName>
    <definedName name="TILL__ALBERTA">#N/A</definedName>
    <definedName name="TIME_PERIOD">#REF!</definedName>
    <definedName name="timestamp">#REF!</definedName>
    <definedName name="TIMING">#REF!</definedName>
    <definedName name="TIMING_BORD">#REF!</definedName>
    <definedName name="TINew">#N/A</definedName>
    <definedName name="TIRenew">#N/A</definedName>
    <definedName name="tis">#REF!</definedName>
    <definedName name="Title">#REF!</definedName>
    <definedName name="TitleCosts">#REF!</definedName>
    <definedName name="TitleFormat">#REF!,#REF!,#REF!,#REF!,#REF!,#REF!,#REF!,#REF!,#REF!,#REF!,#REF!</definedName>
    <definedName name="TK">#N/A</definedName>
    <definedName name="TOE">#REF!</definedName>
    <definedName name="TOP">#REF!</definedName>
    <definedName name="Top_Print">#N/A</definedName>
    <definedName name="Tot">#REF!</definedName>
    <definedName name="TOTADMIN">#REF!</definedName>
    <definedName name="TOTAL">#REF!</definedName>
    <definedName name="TOTAL_ACRES">#REF!</definedName>
    <definedName name="TOTAL_ADJUSTMENTS_MTD">#REF!</definedName>
    <definedName name="TOTAL_ADJUSTMENTS_YTD">#REF!</definedName>
    <definedName name="Total_Capital_1__Inputs_Tab">#REF!</definedName>
    <definedName name="Total_Capital_2__Inputs_Tab">#REF!</definedName>
    <definedName name="Total_Capital_3__Inputs_Tab">#REF!</definedName>
    <definedName name="TOTAL_COST">#REF!</definedName>
    <definedName name="Total_Costs">#REF!</definedName>
    <definedName name="TOTAL_EXPENSES_MTD">#REF!</definedName>
    <definedName name="TOTAL_EXPENSES_YTD">#REF!</definedName>
    <definedName name="TOTAL_INCOME_MTD">#REF!</definedName>
    <definedName name="TOTAL_INCOME_YTD">#REF!</definedName>
    <definedName name="total_investment">#REF!</definedName>
    <definedName name="Total_Loan_Per_Unit">#REF!</definedName>
    <definedName name="Total_payments">#N/A</definedName>
    <definedName name="Total_Proceeds">#REF!</definedName>
    <definedName name="Total_Project_Cost">#REF!</definedName>
    <definedName name="Total_Qty_Units">#N/A</definedName>
    <definedName name="Total_Res_Units">#REF!</definedName>
    <definedName name="totalacquisitioncost">#REF!</definedName>
    <definedName name="totalbillforallbutpts">#REF!</definedName>
    <definedName name="totalbillforparcels">#REF!</definedName>
    <definedName name="totalbillshoppesnewhope">#REF!</definedName>
    <definedName name="TotalCapBudget">#REF!</definedName>
    <definedName name="TotalCapital">#REF!</definedName>
    <definedName name="TotalCommissionsPaid">#REF!</definedName>
    <definedName name="TotalCost">#REF!</definedName>
    <definedName name="TotalDeferredMaint">#REF!</definedName>
    <definedName name="TotalDev">#REF!</definedName>
    <definedName name="TotalEconRents">#REF!</definedName>
    <definedName name="totalequity">#REF!</definedName>
    <definedName name="TotalExp">#REF!</definedName>
    <definedName name="TotalExpenses">#REF!</definedName>
    <definedName name="TOTALGLA">#REF!</definedName>
    <definedName name="TotalGrids">#REF!</definedName>
    <definedName name="totalheritage2004bill">#REF!</definedName>
    <definedName name="TotalHeritage2004taxbill">#REF!</definedName>
    <definedName name="TotalInPlaceRents">#REF!</definedName>
    <definedName name="totalleasedsqft">#REF!</definedName>
    <definedName name="totalplazadelnortesqft">#REF!</definedName>
    <definedName name="TotalProjectCost">#REF!</definedName>
    <definedName name="TotalRec">#REF!</definedName>
    <definedName name="TotalRent">#REF!</definedName>
    <definedName name="TotalRentableSF">#REF!</definedName>
    <definedName name="Totalsaleablearea">#REF!</definedName>
    <definedName name="Totalsales">#REF!</definedName>
    <definedName name="totalscore">#REF!</definedName>
    <definedName name="TotalSF">#REF!</definedName>
    <definedName name="totalsqftdavistownecrossing">#REF!</definedName>
    <definedName name="totalsqftshoppesnewhope">#REF!</definedName>
    <definedName name="TotalStreetRents">#REF!</definedName>
    <definedName name="TOTALSUM">#N/A</definedName>
    <definedName name="TOTALUNIT">#REF!</definedName>
    <definedName name="totalunits">#REF!</definedName>
    <definedName name="TotalUpgrades">#REF!</definedName>
    <definedName name="TotalUses">#REF!</definedName>
    <definedName name="TotalVal1USD">#REF!</definedName>
    <definedName name="TotalYears">#REF!</definedName>
    <definedName name="TOTBLD">#REF!</definedName>
    <definedName name="TOTCAMEXP">#REF!</definedName>
    <definedName name="TOTCLEAN">#REF!</definedName>
    <definedName name="TOTCOM">#REF!</definedName>
    <definedName name="totcost">#REF!</definedName>
    <definedName name="totga">#REF!</definedName>
    <definedName name="TOTGENOP">#REF!</definedName>
    <definedName name="TOTINS">#REF!</definedName>
    <definedName name="TOTLL">#REF!</definedName>
    <definedName name="TOTMGMT">#REF!</definedName>
    <definedName name="TOTR_M">#REF!</definedName>
    <definedName name="TotRent">#REF!</definedName>
    <definedName name="TotSF">#REF!</definedName>
    <definedName name="TOTTAX">#REF!</definedName>
    <definedName name="TotUnits">#REF!</definedName>
    <definedName name="TOTUTIL">#REF!</definedName>
    <definedName name="TOWER">#N/A</definedName>
    <definedName name="TOWER1">#N/A</definedName>
    <definedName name="TOYSCAMBILL">#REF!</definedName>
    <definedName name="TPC">#N/A</definedName>
    <definedName name="tr_lc">#REF!</definedName>
    <definedName name="TRADEBORDER">#N/A</definedName>
    <definedName name="TRADEPRINT">#N/A</definedName>
    <definedName name="Trans_Exp_Override">#N/A</definedName>
    <definedName name="Trans_Expense">#N/A</definedName>
    <definedName name="TransDetails">#REF!</definedName>
    <definedName name="TransferTax">#REF!</definedName>
    <definedName name="TRAUTFIELD__GRA">#N/A</definedName>
    <definedName name="Trbidask">#REF!</definedName>
    <definedName name="Treasury">#REF!</definedName>
    <definedName name="TREASURY_INDEX">#REF!</definedName>
    <definedName name="tree" hidden="1">{"taxes",#N/A,FALSE,"CTT_CLO"}</definedName>
    <definedName name="Trial">#REF!</definedName>
    <definedName name="trimet">#REF!</definedName>
    <definedName name="TROLL_AVG">#REF!</definedName>
    <definedName name="TROLL_AVGFULL">#REF!</definedName>
    <definedName name="trtg" hidden="1">{#N/A,#N/A,FALSE,"Income Stmt";#N/A,#N/A,FALSE,"Income Summary"}</definedName>
    <definedName name="truecenterarea">#REF!</definedName>
    <definedName name="ts">#REF!</definedName>
    <definedName name="TSF">#REF!</definedName>
    <definedName name="TSP">#REF!</definedName>
    <definedName name="TSQ">#REF!</definedName>
    <definedName name="TTLBMRUNITS">#REF!</definedName>
    <definedName name="TtlPostRehabRents">#REF!</definedName>
    <definedName name="ttlsqftdavistc">#REF!</definedName>
    <definedName name="TTMSale">#REF!</definedName>
    <definedName name="TurnCollectionPerTurn">#REF!</definedName>
    <definedName name="TurnoverYr2">#REF!</definedName>
    <definedName name="TurnoverYr3">#REF!</definedName>
    <definedName name="TurnPctYr3">#REF!</definedName>
    <definedName name="TurnSuppPerTurn">#REF!</definedName>
    <definedName name="TuroverYr1">#REF!</definedName>
    <definedName name="TwoBRRents">#REF!</definedName>
    <definedName name="Type1">#REF!</definedName>
    <definedName name="TypeLoan">#REF!</definedName>
    <definedName name="TypeLoan2nd">#REF!</definedName>
    <definedName name="U.I.D.1">#REF!</definedName>
    <definedName name="UANCHOREDTI">#N/A</definedName>
    <definedName name="UANCHORTI">#N/A</definedName>
    <definedName name="UMINSACT">#REF!</definedName>
    <definedName name="UMINSEST">#REF!</definedName>
    <definedName name="UNACNHOREDLC">#N/A</definedName>
    <definedName name="Unhide">#REF!</definedName>
    <definedName name="UniqueRange_261">#REF!</definedName>
    <definedName name="UniqueRange_262">#REF!</definedName>
    <definedName name="UniqueRange_8">#REF!</definedName>
    <definedName name="UNIT">#REF!</definedName>
    <definedName name="Unit_Breakdown_by_Rent_Level">#REF!</definedName>
    <definedName name="Unit_Date_Analysis_Ends_DI">#REF!</definedName>
    <definedName name="Unit_Date_Analysis_Start_DI">#REF!</definedName>
    <definedName name="Unit_Date_Analysis_Start_Year_CF">#REF!</definedName>
    <definedName name="Unit_Date_Sale_DI">#REF!</definedName>
    <definedName name="Unit_Date_Sale_Year_CR">#REF!</definedName>
    <definedName name="Unit_Distribution_by_Monthly_Rent">#REF!</definedName>
    <definedName name="Unit_Distribution_by_Rent_Level">#REF!</definedName>
    <definedName name="Unit_SF">#REF!</definedName>
    <definedName name="Unit_Summary">#REF!</definedName>
    <definedName name="Unit_Type">#REF!</definedName>
    <definedName name="UnitFea_Table">#REF!</definedName>
    <definedName name="UnitIncome">#REF!</definedName>
    <definedName name="Units">#REF!</definedName>
    <definedName name="UnitSF">#REF!</definedName>
    <definedName name="unitsize">#REF!</definedName>
    <definedName name="unitstatus">#REF!</definedName>
    <definedName name="unitstatusname">#REF!</definedName>
    <definedName name="UnitType">#REF!</definedName>
    <definedName name="unittypelist">#REF!</definedName>
    <definedName name="unittypename">#REF!</definedName>
    <definedName name="unlev_dm_base">#REF!</definedName>
    <definedName name="unlev_dm_scen1">#REF!</definedName>
    <definedName name="unlev_dm_scen2">#REF!</definedName>
    <definedName name="unlev_dm_scen3">#REF!</definedName>
    <definedName name="unlev_dm_scen4">#REF!</definedName>
    <definedName name="unlev_dm_scen5">#REF!</definedName>
    <definedName name="unlev_irr_base">#REF!</definedName>
    <definedName name="unlev_irr_scen1">#REF!</definedName>
    <definedName name="unlev_irr_scen2">#REF!</definedName>
    <definedName name="unlev_irr_scen3">#REF!</definedName>
    <definedName name="unlev_irr_scen4">#REF!</definedName>
    <definedName name="unlev_irr_scen5">#REF!</definedName>
    <definedName name="UOF_Capital_Reserves">#REF!</definedName>
    <definedName name="UOF_Closing_Costs">#REF!</definedName>
    <definedName name="UOF_Fee_Price">#REF!</definedName>
    <definedName name="UOF_Fees">#REF!</definedName>
    <definedName name="UOF_Leasehold_Price">#REF!</definedName>
    <definedName name="UOF_Other">#REF!</definedName>
    <definedName name="UOF_Other_Price">#REF!</definedName>
    <definedName name="UOF_Payoff_1st">#REF!</definedName>
    <definedName name="UOF_Payoff_2nd">#REF!</definedName>
    <definedName name="UOF_Payoff_Other_1">#REF!</definedName>
    <definedName name="UOF_Payoff_Other_2">#REF!</definedName>
    <definedName name="UOM">#REF!</definedName>
    <definedName name="UOMS">#REF!</definedName>
    <definedName name="Used_for_Leveraged_Yield_Calculations__Do_Not_Delete">#REF!,#REF!,#REF!,#REF!,#REF!,#REF!</definedName>
    <definedName name="Uses_Initial">#REF!</definedName>
    <definedName name="Uses_Total">#REF!</definedName>
    <definedName name="UTIL">#REF!</definedName>
    <definedName name="Utilities">#N/A</definedName>
    <definedName name="uuuuuuu">#REF!</definedName>
    <definedName name="UW_93ADMIN">#REF!</definedName>
    <definedName name="UW_93CAM">#REF!</definedName>
    <definedName name="UW_93CAPITAL">#REF!</definedName>
    <definedName name="UW_93GPR">#REF!</definedName>
    <definedName name="UW_93GROUND">#REF!</definedName>
    <definedName name="UW_93INC1">#REF!</definedName>
    <definedName name="UW_93INC2">#REF!</definedName>
    <definedName name="UW_93INSUR">#REF!</definedName>
    <definedName name="UW_93LC">#REF!</definedName>
    <definedName name="UW_93LEASING">#REF!</definedName>
    <definedName name="UW_93MAINT">#REF!</definedName>
    <definedName name="UW_93MGT">#REF!</definedName>
    <definedName name="UW_93OTHER">#REF!</definedName>
    <definedName name="UW_93REIMB">#REF!</definedName>
    <definedName name="UW_93SAL">#REF!</definedName>
    <definedName name="UW_93TAX">#REF!</definedName>
    <definedName name="UW_93TI">#REF!</definedName>
    <definedName name="UW_93UTIL">#REF!</definedName>
    <definedName name="UW_94ADMIN">#REF!</definedName>
    <definedName name="UW_94CAM">#REF!</definedName>
    <definedName name="UW_94CAPITAL">#REF!</definedName>
    <definedName name="UW_94CRLOSS">#REF!</definedName>
    <definedName name="UW_94DEDUCT">#REF!</definedName>
    <definedName name="UW_94GPR">#REF!</definedName>
    <definedName name="UW_94GROUND">#REF!</definedName>
    <definedName name="UW_94INC1">#REF!</definedName>
    <definedName name="UW_94INC2">#REF!</definedName>
    <definedName name="UW_94INSUR">#REF!</definedName>
    <definedName name="UW_94LC">#REF!</definedName>
    <definedName name="UW_94LEASING">#REF!</definedName>
    <definedName name="UW_94MAINT">#REF!</definedName>
    <definedName name="UW_94MGT">#REF!</definedName>
    <definedName name="UW_94OTHER">#REF!</definedName>
    <definedName name="UW_94REIMB">#REF!</definedName>
    <definedName name="UW_94SAL">#REF!</definedName>
    <definedName name="UW_94TAX">#REF!</definedName>
    <definedName name="UW_94TI">#REF!</definedName>
    <definedName name="UW_94UTIL">#REF!</definedName>
    <definedName name="UW_94VACANCY">#REF!</definedName>
    <definedName name="UW_95ADMIN">#REF!</definedName>
    <definedName name="UW_95CAM">#REF!</definedName>
    <definedName name="UW_95CAPITAL">#REF!</definedName>
    <definedName name="UW_95CRLOSS">#REF!</definedName>
    <definedName name="UW_95DEDUCT">#REF!</definedName>
    <definedName name="UW_95GPR">#REF!</definedName>
    <definedName name="UW_95GROUND">#REF!</definedName>
    <definedName name="UW_95INC1">#REF!</definedName>
    <definedName name="UW_95INC2">#REF!</definedName>
    <definedName name="UW_95INSUR">#REF!</definedName>
    <definedName name="UW_95LC">#REF!</definedName>
    <definedName name="UW_95LEASING">#REF!</definedName>
    <definedName name="UW_95MAINT">#REF!</definedName>
    <definedName name="UW_95MGT">#REF!</definedName>
    <definedName name="UW_95OTHER">#REF!</definedName>
    <definedName name="UW_95REIMB">#REF!</definedName>
    <definedName name="UW_95SAL">#REF!</definedName>
    <definedName name="UW_95TAX">#REF!</definedName>
    <definedName name="UW_95TI">#REF!</definedName>
    <definedName name="UW_95UTIL">#REF!</definedName>
    <definedName name="UW_95VACANCY">#REF!</definedName>
    <definedName name="UW_96ADMIN">#REF!</definedName>
    <definedName name="UW_96CAM">#REF!</definedName>
    <definedName name="UW_96CAPITAL">#REF!</definedName>
    <definedName name="UW_96CRLOSS">#REF!</definedName>
    <definedName name="UW_96DEDUCT">#REF!</definedName>
    <definedName name="UW_96GPR">#REF!</definedName>
    <definedName name="UW_96GROUND">#REF!</definedName>
    <definedName name="UW_96INC1">#REF!</definedName>
    <definedName name="UW_96INC2">#REF!</definedName>
    <definedName name="UW_96INSUR">#REF!</definedName>
    <definedName name="UW_96LC">#REF!</definedName>
    <definedName name="UW_96LEASING">#REF!</definedName>
    <definedName name="UW_96MAINT">#REF!</definedName>
    <definedName name="UW_96MGT">#REF!</definedName>
    <definedName name="UW_96OTHER">#REF!</definedName>
    <definedName name="UW_96REIMB">#REF!</definedName>
    <definedName name="UW_96SAL">#REF!</definedName>
    <definedName name="UW_96TAX">#REF!</definedName>
    <definedName name="UW_96TI">#REF!</definedName>
    <definedName name="UW_96UTIL">#REF!</definedName>
    <definedName name="UW_96VACANCY">#REF!</definedName>
    <definedName name="UW_CASH_FLOW">#REF!</definedName>
    <definedName name="UW_CYADMIN">#REF!</definedName>
    <definedName name="UW_CYCAM">#REF!</definedName>
    <definedName name="UW_CYCAPITAL">#REF!</definedName>
    <definedName name="UW_CYCRLOSS">#REF!</definedName>
    <definedName name="UW_CYDEDUCT">#REF!</definedName>
    <definedName name="UW_CYGPR">#REF!</definedName>
    <definedName name="UW_CYGROUND">#REF!</definedName>
    <definedName name="UW_CYINC1">#REF!</definedName>
    <definedName name="UW_CYINC2">#REF!</definedName>
    <definedName name="UW_CYINSUR">#REF!</definedName>
    <definedName name="UW_CYLC">#REF!</definedName>
    <definedName name="UW_CYLEASING">#REF!</definedName>
    <definedName name="UW_CYMAINT">#REF!</definedName>
    <definedName name="UW_CYMGT">#REF!</definedName>
    <definedName name="UW_CYOTHER">#REF!</definedName>
    <definedName name="UW_CYREIMB">#REF!</definedName>
    <definedName name="UW_CYSAL">#REF!</definedName>
    <definedName name="UW_CYTAX">#REF!</definedName>
    <definedName name="UW_CYTI">#REF!</definedName>
    <definedName name="UW_CYUTIL">#REF!</definedName>
    <definedName name="UW_CYVACANCY">#REF!</definedName>
    <definedName name="UW_Management_Fee">#REF!</definedName>
    <definedName name="UW_TRAILCRLOSS">#REF!</definedName>
    <definedName name="UW_TRAILVACANCY">#REF!</definedName>
    <definedName name="UW_Vacancy">#REF!</definedName>
    <definedName name="v">#N/A</definedName>
    <definedName name="VAC">#N/A</definedName>
    <definedName name="Vacancy">#REF!</definedName>
    <definedName name="Vacancy_5007">#REF!</definedName>
    <definedName name="Vacancy_5031">#REF!</definedName>
    <definedName name="Vacancy_5032">#REF!</definedName>
    <definedName name="Vacancy_5035">#REF!</definedName>
    <definedName name="Vacancy_5067">#REF!</definedName>
    <definedName name="Vacancy_5070">#REF!</definedName>
    <definedName name="Vacancy_5086">#REF!</definedName>
    <definedName name="Vacancy_6005">#REF!</definedName>
    <definedName name="Vacancy_6006">#REF!</definedName>
    <definedName name="Vacancy_6010">#REF!</definedName>
    <definedName name="Vacancy_6023">#REF!</definedName>
    <definedName name="Vacancy_6024">#REF!</definedName>
    <definedName name="Vacancy_6030">#REF!</definedName>
    <definedName name="Vacancy_6033">#REF!</definedName>
    <definedName name="Vacancy_6038">#REF!</definedName>
    <definedName name="Vacancy_6041">#REF!</definedName>
    <definedName name="Vacancy_6048">#REF!</definedName>
    <definedName name="Vacancy_6049">#REF!</definedName>
    <definedName name="Vacancy_6064">#REF!</definedName>
    <definedName name="Vacancy_6069">#REF!</definedName>
    <definedName name="Vacancy_6074">#REF!</definedName>
    <definedName name="Vacancy_6081">#REF!</definedName>
    <definedName name="Vacancy_6084_85">#REF!</definedName>
    <definedName name="Vacancy_6095">#REF!</definedName>
    <definedName name="Vacancy_6125">#REF!</definedName>
    <definedName name="Vacancy_6126">#REF!</definedName>
    <definedName name="Vacancy_6150">#REF!</definedName>
    <definedName name="Vacancy_6188">#REF!</definedName>
    <definedName name="vacancy_Retail">#REF!</definedName>
    <definedName name="VacancyRateYear1">#REF!</definedName>
    <definedName name="value">#N/A</definedName>
    <definedName name="Value_Only_File">#REF!</definedName>
    <definedName name="value1">#REF!</definedName>
    <definedName name="value2">#REF!</definedName>
    <definedName name="value3">#REF!</definedName>
    <definedName name="value4">#REF!</definedName>
    <definedName name="value5">#REF!</definedName>
    <definedName name="value6">#REF!</definedName>
    <definedName name="value7">#REF!</definedName>
    <definedName name="Values_Entered">IF(Loan_Amount*Interest_Rate*Loan_Years*Loan_Start&gt;0,1,0)</definedName>
    <definedName name="Valuew">#REF!</definedName>
    <definedName name="VAUGHN__ELIZABE">#N/A</definedName>
    <definedName name="Version">#REF!</definedName>
    <definedName name="VFP">#REF!</definedName>
    <definedName name="VFPLC">#REF!</definedName>
    <definedName name="ViewMan">#N/A</definedName>
    <definedName name="VILLENEUVE__IDA">#N/A</definedName>
    <definedName name="vlpcoe">#REF!</definedName>
    <definedName name="vlpcontactprice">#REF!</definedName>
    <definedName name="VSAccrual">#REF!</definedName>
    <definedName name="VSUse">#REF!</definedName>
    <definedName name="vv" hidden="1">{"mgmt forecast",#N/A,FALSE,"Mgmt Forecast";"dcf table",#N/A,FALSE,"Mgmt Forecast";"sensitivity",#N/A,FALSE,"Mgmt Forecast";"table inputs",#N/A,FALSE,"Mgmt Forecast";"calculations",#N/A,FALSE,"Mgmt Forecast"}</definedName>
    <definedName name="vvvv">#REF!</definedName>
    <definedName name="vvvvv">#REF!</definedName>
    <definedName name="vvvvvvv">#REF!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w_AD005">#REF!</definedName>
    <definedName name="w_AD006">#REF!</definedName>
    <definedName name="w_CE001">#REF!</definedName>
    <definedName name="w_CE002">#REF!</definedName>
    <definedName name="w_CE003">#REF!</definedName>
    <definedName name="w_CE004">#REF!</definedName>
    <definedName name="w_CE005">#REF!</definedName>
    <definedName name="w_CE006">#REF!</definedName>
    <definedName name="w_CE007">#REF!</definedName>
    <definedName name="w_CE008">#REF!</definedName>
    <definedName name="w_CE009">#REF!</definedName>
    <definedName name="w_CE010">#REF!</definedName>
    <definedName name="w_CE011">#REF!</definedName>
    <definedName name="w_CE012">#REF!</definedName>
    <definedName name="w_CE013">#REF!</definedName>
    <definedName name="w_CE014">#REF!</definedName>
    <definedName name="w_CE015">#REF!</definedName>
    <definedName name="w_CE016">#REF!</definedName>
    <definedName name="w_CE017">#REF!</definedName>
    <definedName name="w_CE018">#REF!</definedName>
    <definedName name="w_CE019">#REF!</definedName>
    <definedName name="w_CE020">#REF!</definedName>
    <definedName name="w_CE021">#REF!</definedName>
    <definedName name="w_CE022">#REF!</definedName>
    <definedName name="w_CE023">#REF!</definedName>
    <definedName name="w_ER_Std">#REF!</definedName>
    <definedName name="w_MR017">#REF!</definedName>
    <definedName name="w_MR020">#REF!</definedName>
    <definedName name="w_MR021">#REF!</definedName>
    <definedName name="w_MR024">#REF!</definedName>
    <definedName name="w_OI003">#REF!</definedName>
    <definedName name="w_OI060">#REF!</definedName>
    <definedName name="w_OI061">#REF!</definedName>
    <definedName name="w_OI062">#REF!</definedName>
    <definedName name="w_OI063">#REF!</definedName>
    <definedName name="w_OI065">#REF!</definedName>
    <definedName name="w_OI066">#REF!</definedName>
    <definedName name="w_OI068">#REF!</definedName>
    <definedName name="w_OI069">#REF!</definedName>
    <definedName name="w_OI070">#REF!</definedName>
    <definedName name="w_OI071">#REF!</definedName>
    <definedName name="w_OI072">#REF!</definedName>
    <definedName name="w_OI073">#REF!</definedName>
    <definedName name="w_OI074">#REF!</definedName>
    <definedName name="w_OI076">#REF!</definedName>
    <definedName name="w_OI077">#REF!</definedName>
    <definedName name="w_OI078">#REF!</definedName>
    <definedName name="w_OI079">#REF!</definedName>
    <definedName name="w_OI080">#REF!</definedName>
    <definedName name="w_OI081">#REF!</definedName>
    <definedName name="w_OI082">#REF!</definedName>
    <definedName name="w_OI083">#REF!</definedName>
    <definedName name="w_OI084">#REF!</definedName>
    <definedName name="w_OI085">#REF!</definedName>
    <definedName name="w_OI086">#REF!</definedName>
    <definedName name="w_OI087">#REF!</definedName>
    <definedName name="w_OI088">#REF!</definedName>
    <definedName name="w_OI089">#REF!</definedName>
    <definedName name="w_OI090">#REF!</definedName>
    <definedName name="w_OI091">#REF!</definedName>
    <definedName name="w_OI092">#REF!</definedName>
    <definedName name="w_OI093">#REF!</definedName>
    <definedName name="w_OI094">#REF!</definedName>
    <definedName name="w_OI095">#REF!</definedName>
    <definedName name="w_OI096">#REF!</definedName>
    <definedName name="w_OI097">#REF!</definedName>
    <definedName name="w_RM002">#REF!</definedName>
    <definedName name="w_RM024">#REF!</definedName>
    <definedName name="w_RM025">#REF!</definedName>
    <definedName name="w_RM026">#REF!</definedName>
    <definedName name="WALLACE__MARY">#N/A</definedName>
    <definedName name="wamubill">#REF!</definedName>
    <definedName name="WareHouseTable">#REF!</definedName>
    <definedName name="warn1">#N/A</definedName>
    <definedName name="warn2">#N/A</definedName>
    <definedName name="WATERACT">#REF!</definedName>
    <definedName name="WBM_Acq_Date">#REF!</definedName>
    <definedName name="WBM_Acq_Debt">#REF!</definedName>
    <definedName name="WBM_Acq_Month">#REF!</definedName>
    <definedName name="WBM_Acq_Year">#REF!</definedName>
    <definedName name="WBM_Cap_Rate">#REF!</definedName>
    <definedName name="WBM_cost_of_sale">#REF!</definedName>
    <definedName name="WBM_Curr_GPP">#REF!</definedName>
    <definedName name="WBM_debt">#REF!</definedName>
    <definedName name="WBM_fs_value">#REF!</definedName>
    <definedName name="WBM_fund_number">#REF!</definedName>
    <definedName name="WBM_measure">#REF!</definedName>
    <definedName name="WBM_NOI2000">#REF!</definedName>
    <definedName name="WBM_NOI2001">#REF!</definedName>
    <definedName name="WBM_ret_value">#REF!</definedName>
    <definedName name="WCIMP">#N/A</definedName>
    <definedName name="wdanalysis">#REF!</definedName>
    <definedName name="Weak1">+INDEX(#REF!,MATCH(0,#REF!,0)):INDEX(#REF!,MATCH(#REF!,#REF!,0))</definedName>
    <definedName name="Weak2">+INDEX(#REF!,MATCH(0,#REF!,0)):INDEX(#REF!,MATCH(#REF!,#REF!,0))</definedName>
    <definedName name="Weak3">+INDEX(#REF!,MATCH(0,#REF!,0)):INDEX(#REF!,MATCH(#REF!,#REF!,0))</definedName>
    <definedName name="Weak4">+INDEX(#REF!,MATCH(0,#REF!,0)):INDEX(#REF!,MATCH(#REF!,#REF!,0))</definedName>
    <definedName name="Weak5">+INDEX(#REF!,MATCH(0,#REF!,0)):INDEX(#REF!,MATCH(#REF!,#REF!,0))</definedName>
    <definedName name="Weak6">+INDEX(#REF!,MATCH(0,#REF!,0)):INDEX(#REF!,MATCH(#REF!,#REF!,0))</definedName>
    <definedName name="WebBase">#REF!</definedName>
    <definedName name="were" hidden="1">{"scheduleF",#N/A,FALSE,"CTT_CLO"}</definedName>
    <definedName name="wescst">#REF!</definedName>
    <definedName name="WEST">#REF!</definedName>
    <definedName name="wetadf" hidden="1">{"Assump",#N/A,TRUE,"Proforma";"first",#N/A,TRUE,"Proforma";"second",#N/A,TRUE,"Proforma";"lease1",#N/A,TRUE,"Proforma";"lease2",#N/A,TRUE,"Proforma"}</definedName>
    <definedName name="wety" hidden="1">{"schedules",#N/A,FALSE,"CTT_CLO";"scheduleA",#N/A,FALSE,"CTT_CLO";"scheduleB",#N/A,FALSE,"CTT_CLO";"scheduleCD",#N/A,FALSE,"CTT_CLO";"scheduleEF",#N/A,FALSE,"CTT_CLO"}</definedName>
    <definedName name="WF_Tier1_GP">#REF!</definedName>
    <definedName name="WF_Tier1_Hurdle">#REF!</definedName>
    <definedName name="WF_Tier1_LP">#REF!</definedName>
    <definedName name="WF_Tier2_GP">#REF!</definedName>
    <definedName name="WF_Tier2_Hurdle">#REF!</definedName>
    <definedName name="WF_Tier2_LP">#REF!</definedName>
    <definedName name="Wharf_Qty_1BR">#N/A</definedName>
    <definedName name="Wharf_Qty_1BRplus">#N/A</definedName>
    <definedName name="Wharf_Qty_2BR">#N/A</definedName>
    <definedName name="Wharf_Qty_Pkg_Spaces">#N/A</definedName>
    <definedName name="Wharf_Rent_1BR">#N/A</definedName>
    <definedName name="Wharf_Rent_1BRplus">#N/A</definedName>
    <definedName name="Wharf_Rent_2BR">#N/A</definedName>
    <definedName name="what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hat2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HAT2PRINT">#REF!</definedName>
    <definedName name="whataburger">#REF!</definedName>
    <definedName name="whbogey">#REF!</definedName>
    <definedName name="whintrate">#REF!</definedName>
    <definedName name="whlev">#REF!</definedName>
    <definedName name="whper">#REF!</definedName>
    <definedName name="Worst1">+INDEX(#REF!,MATCH(0,#REF!,0)):INDEX(#REF!,MATCH(#REF!,#REF!,0))</definedName>
    <definedName name="Worst2">+INDEX(#REF!,MATCH(0,#REF!,0)):INDEX(#REF!,MATCH(#REF!,#REF!,0))</definedName>
    <definedName name="Worst3">+INDEX(#REF!,MATCH(0,#REF!,0)):INDEX(#REF!,MATCH(#REF!,#REF!,0))</definedName>
    <definedName name="Worst4">+INDEX(#REF!,MATCH(0,#REF!,0)):INDEX(#REF!,MATCH(#REF!,#REF!,0))</definedName>
    <definedName name="Worst5">+INDEX(#REF!,MATCH(0,#REF!,0)):INDEX(#REF!,MATCH(#REF!,#REF!,0))</definedName>
    <definedName name="Worst6">+INDEX(#REF!,MATCH(0,#REF!,0)):INDEX(#REF!,MATCH(#REF!,#REF!,0))</definedName>
    <definedName name="wr" hidden="1">{"Output-3Column",#N/A,FALSE,"Output"}</definedName>
    <definedName name="wrew" hidden="1">{"scheduleEF",#N/A,FALSE,"CTT_CLO"}</definedName>
    <definedName name="wrn" hidden="1">{"Inflation-BaseYear",#N/A,FALSE,"Inputs"}</definedName>
    <definedName name="wrn.1111._.Report.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112._.Report.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995._.Analysis." hidden="1">{#N/A,#N/A,FALSE,"1995 Rev &amp; Exp"}</definedName>
    <definedName name="wrn.2001._.Budget._.by._.Qtr." hidden="1">{"Qtr2001",#N/A,FALSE,"Model";"Office/Retail 2001 by Qtr",#N/A,FALSE,"Formatted Office-Retail Page";"Other Income 2001 by Qtr",#N/A,FALSE,"Other";"Resort/Hotel 2001 by Qtr",#N/A,FALSE,"Hotel";"LDV 2001 by Qtr",#N/A,FALSE,"LDV";"Disp 2001 by Qtr",#N/A,FALSE,"Dispositions"}</definedName>
    <definedName name="wrn.2001._.Budget._.by._.Year." hidden="1">{"Budget by Year",#N/A,FALSE,"Model";"Argus 2002-2006 Office/Retail by Year",#N/A,FALSE,"Office-Retail Argus 2002-2006";"Joint Venture by Year",#N/A,FALSE,"Joint Ventures";"Resort/Hotel by Year",#N/A,FALSE,"Hotel";"LDV by Year",#N/A,FALSE,"LDV";"Other Income by Year",#N/A,FALSE,"Other";"Dispo By Year",#N/A,FALSE,"Dispositions"}</definedName>
    <definedName name="wrn.2001._.Budget._.by._Qtr.0" hidden="1">{"Qtr2001",#N/A,FALSE,"Model";"Office/Retail 2001 by Qtr",#N/A,FALSE,"Formatted Office-Retail Page";"Other Income 2001 by Qtr",#N/A,FALSE,"Other";"Resort/Hotel 2001 by Qtr",#N/A,FALSE,"Hotel";"LDV 2001 by Qtr",#N/A,FALSE,"LDV";"Disp 2001 by Qtr",#N/A,FALSE,"Dispositions"}</definedName>
    <definedName name="wrn.2001._.by._.Month." hidden="1">{"2001 by Month",#N/A,FALSE,"Model";"Resort/Hotel 2001 by Month",#N/A,FALSE,"Hotel";"LDV 2001 By Month",#N/A,FALSE,"LDV";"Other Income By Month",#N/A,FALSE,"Other";"Office/Retail 2001 by Month",#N/A,FALSE,"Formatted Office-Retail Page";"Dispo 2001 by Month",#N/A,FALSE,"Dispositions"}</definedName>
    <definedName name="wrn.2001._Budget._.by._.Year0" hidden="1">{"Budget by Year",#N/A,FALSE,"Model";"Argus 2002-2006 Office/Retail by Year",#N/A,FALSE,"Office-Retail Argus 2002-2006";"Joint Venture by Year",#N/A,FALSE,"Joint Ventures";"Resort/Hotel by Year",#N/A,FALSE,"Hotel";"LDV by Year",#N/A,FALSE,"LDV";"Other Income by Year",#N/A,FALSE,"Other";"Dispo By Year",#N/A,FALSE,"Dispositions"}</definedName>
    <definedName name="wrn.2001._by._.Month.0" hidden="1">{"2001 by Month",#N/A,FALSE,"Model";"Resort/Hotel 2001 by Month",#N/A,FALSE,"Hotel";"LDV 2001 By Month",#N/A,FALSE,"LDV";"Other Income By Month",#N/A,FALSE,"Other";"Office/Retail 2001 by Month",#N/A,FALSE,"Formatted Office-Retail Page";"Dispo 2001 by Month",#N/A,FALSE,"Dispositions"}</definedName>
    <definedName name="wrn.3._.Year._.Summary." hidden="1">{#N/A,#N/A,FALSE,"3-Year Summary"}</definedName>
    <definedName name="wrn.3yr.CF." hidden="1">{"assume",#N/A,FALSE,"K&amp;20th Month CF";"MoCF",#N/A,FALSE,"K&amp;20th Month CF";"AnCF",#N/A,FALSE,"K&amp;20th Month CF"}</definedName>
    <definedName name="wrn.617" hidden="1">{#N/A,#N/A,FALSE,"Income Stmt";#N/A,#N/A,FALSE,"Income Summary"}</definedName>
    <definedName name="wrn.AFI._.QUARTERLY._.REPORT." hidden="1">{#N/A,#N/A,TRUE,"TITLE";#N/A,#N/A,TRUE,"SCH 1";#N/A,#N/A,TRUE,"SCH 2";#N/A,#N/A,TRUE,"SCH 3";#N/A,#N/A,TRUE,"SCH3(A)"}</definedName>
    <definedName name="wrn.All_Reports." hidden="1">{"Summary",#N/A,TRUE,"Summary";"CashFlow",#N/A,TRUE,"Reports";"FinanceSummary",#N/A,TRUE,"Reports";"ProjectEquity",#N/A,TRUE,"Reports";"CalLandEquity",#N/A,TRUE,"Reports";"NTFCEquity",#N/A,TRUE,"Reports";"Fees1",#N/A,TRUE,"Reports";"Fees2",#N/A,TRUE,"Reports";"Inputs",#N/A,TRUE,"Inputs";"Loan_Assumptions",#N/A,TRUE,"A&amp;D Loan";"Loan_Results",#N/A,TRUE,"A&amp;D Loan";"Carryback",#N/A,TRUE,"CarryBack"}</definedName>
    <definedName name="wrn.all." hidden="1">{#N/A,#N/A,FALSE,"COVER";#N/A,#N/A,FALSE,"TABLE OF CONTENTS";#N/A,#N/A,FALSE,"EXEC SUMM";#N/A,#N/A,FALSE,"SURVEY 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ANALYSIS";#N/A,#N/A,FALSE,"titles"}</definedName>
    <definedName name="wrn.All._.Budget._.Detail_Forecast." hidden="1">{"All Budget Detail-Forecast",#N/A,FALSE,"Forecast"}</definedName>
    <definedName name="wrn.All._.Budget._.Detail_Reit." hidden="1">{"All Budget Detail-Reit",#N/A,FALSE,"Forecast"}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Non._.Recov._.Op._.Exp_Forecast." hidden="1">{"All Non-Recov. Op. Exp-Forecast",#N/A,FALSE,"Forecast"}</definedName>
    <definedName name="wrn.All._.Non._.Recov._.Op._.Exp_Reit." hidden="1">{"All Non-Recov. Op. Exp-Reit",#N/A,FALSE,"Forecast"}</definedName>
    <definedName name="wrn.all._.periods." hidden="1">{"summary II - 99-02",#N/A,FALSE,"Summary II";"summary - 99-02",#N/A,FALSE,"Summary";"key results",#N/A,FALSE,"Key Results";"income stmt - allper",#N/A,FALSE,"Income Statement";"model allperiods",#N/A,FALSE,"Model";"formoff-allper",#N/A,FALSE,"Formatted Office-Retail Page";"argus",#N/A,FALSE,"Office-Retail Argus 2002-2006";"jointventures-allper",#N/A,FALSE,"Joint Ventures";"hotel-allper",#N/A,FALSE,"Hotel";"ldv-allper",#N/A,FALSE,"LDV";"Int&amp;OthInc-allper",#N/A,FALSE,"Interest &amp; Other Inc";"OthUncon-allper",#N/A,FALSE,"Other Uncons";"debt allper",#N/A,FALSE,"Debt";"shares allper",#N/A,FALSE,"Shares";"ratios-allper",#N/A,FALSE,"Ratios"}</definedName>
    <definedName name="wrn.all._.periods.0" hidden="1">{"summary II - 99-02",#N/A,FALSE,"Summary II";"summary - 99-02",#N/A,FALSE,"Summary";"key results",#N/A,FALSE,"Key Results";"income stmt - allper",#N/A,FALSE,"Income Statement";"model allperiods",#N/A,FALSE,"Model";"formoff-allper",#N/A,FALSE,"Formatted Office-Retail Page";"argus",#N/A,FALSE,"Office-Retail Argus 2002-2006";"jointventures-allper",#N/A,FALSE,"Joint Ventures";"hotel-allper",#N/A,FALSE,"Hotel";"ldv-allper",#N/A,FALSE,"LDV";"Int&amp;OthInc-allper",#N/A,FALSE,"Interest &amp; Other Inc";"OthUncon-allper",#N/A,FALSE,"Other Uncons";"debt allper",#N/A,FALSE,"Debt";"shares allper",#N/A,FALSE,"Shares";"ratios-allper",#N/A,FALSE,"Ratios"}</definedName>
    <definedName name="wrn.All._.Rental._.Income_Forecast." hidden="1">{"All Rental Income-Reforecast",#N/A,FALSE,"Forecast"}</definedName>
    <definedName name="wrn.All._.Rental._.Income_Reit." hidden="1">{"All Rental Income-Reit",#N/A,FALSE,"Forecast"}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0" hidden="1">{#N/A,#N/A,TRUE,"hist_5yr";#N/A,#N/A,TRUE,"Summary";#N/A,#N/A,TRUE,"Detail";#N/A,#N/A,TRUE,"Prop Issues";#N/A,#N/A,TRUE,"Acq";#N/A,#N/A,TRUE,"Other Dept"}</definedName>
    <definedName name="wrn.allper." hidden="1">{"sumII-99-02",#N/A,FALSE,"Summary II";"summ-99-02",#N/A,FALSE,"Summary";"i-s-allper",#N/A,FALSE,"Income Statement";"model-allper",#N/A,FALSE,"Model";"formoff-allper",#N/A,FALSE,"Formatted Office-Retail Page";"office-retail-allper",#N/A,FALSE,"Office-Retail Argus 2002-2006";"jointventures-allper",#N/A,FALSE,"Joint Ventures";"hotel-allper",#N/A,FALSE,"Hotel";"ldv-allper",#N/A,FALSE,"LDV";"Int&amp;OthInc-allper",#N/A,FALSE,"Interest &amp; Other Inc";"OthUncon-allper",#N/A,FALSE,"Other Uncons";"debt-allper",#N/A,FALSE,"Debt";"shares-allper",#N/A,FALSE,"Shares";"ratios-allper",#N/A,FALSE,"Ratios"}</definedName>
    <definedName name="wrn.allper.0" hidden="1">{"sumII-99-02",#N/A,FALSE,"Summary II";"summ-99-02",#N/A,FALSE,"Summary";"i-s-allper",#N/A,FALSE,"Income Statement";"model-allper",#N/A,FALSE,"Model";"formoff-allper",#N/A,FALSE,"Formatted Office-Retail Page";"office-retail-allper",#N/A,FALSE,"Office-Retail Argus 2002-2006";"jointventures-allper",#N/A,FALSE,"Joint Ventures";"hotel-allper",#N/A,FALSE,"Hotel";"ldv-allper",#N/A,FALSE,"LDV";"Int&amp;OthInc-allper",#N/A,FALSE,"Interest &amp; Other Inc";"OthUncon-allper",#N/A,FALSE,"Other Uncons";"debt-allper",#N/A,FALSE,"Debt";"shares-allper",#N/A,FALSE,"Shares";"ratios-allper",#N/A,FALSE,"Ratios"}</definedName>
    <definedName name="wrn.Allperiods." hidden="1">{"Summaryall",#N/A,FALSE,"Model";"5Officeall",#N/A,FALSE,"Office-Retail Argus 2002-2006";"Officelegal",#N/A,FALSE,"Formatted Office-Retail Page";"Joint Ventures",#N/A,FALSE,"Joint Ventures";"Hotelall",#N/A,FALSE,"Hotel";"RDVall",#N/A,FALSE,"LDV";"Otherall",#N/A,FALSE,"Other";"Dispoall",#N/A,FALSE,"Dispositions"}</definedName>
    <definedName name="wrn.Allperiods._.without._.Office._.Detail." hidden="1">{"Summaryall",#N/A,FALSE,"Model";"5 Year Argus Office/Retail Properties",#N/A,FALSE,"Office-Retail Argus 2002-2006";"Joint Ventures",#N/A,FALSE,"Joint Ventures";"Hotelall",#N/A,FALSE,"Hotel";"RDVall",#N/A,FALSE,"LDV";"Otherall",#N/A,FALSE,"Other";"Dispoall",#N/A,FALSE,"Dispositions"}</definedName>
    <definedName name="wrn.Allperiods._.without._.Office._.Detail.0" hidden="1">{"Summaryall",#N/A,FALSE,"Model";"5 Year Argus Office/Retail Properties",#N/A,FALSE,"Office-Retail Argus 2002-2006";"Joint Ventures",#N/A,FALSE,"Joint Ventures";"Hotelall",#N/A,FALSE,"Hotel";"RDVall",#N/A,FALSE,"LDV";"Otherall",#N/A,FALSE,"Other";"Dispoall",#N/A,FALSE,"Dispositions"}</definedName>
    <definedName name="wrn.Allperiods.0" hidden="1">{"Summaryall",#N/A,FALSE,"Model";"5Officeall",#N/A,FALSE,"Office-Retail Argus 2002-2006";"Officelegal",#N/A,FALSE,"Formatted Office-Retail Page";"Joint Ventures",#N/A,FALSE,"Joint Ventures";"Hotelall",#N/A,FALSE,"Hotel";"RDVall",#N/A,FALSE,"LDV";"Otherall",#N/A,FALSE,"Other";"Dispoall",#N/A,FALSE,"Dispositions"}</definedName>
    <definedName name="wrn.annual." hidden="1">{"annual",#N/A,FALSE,"Pro Forma"}</definedName>
    <definedName name="wrn.Annual._.Detail." hidden="1">{"annualsum",#N/A,FALSE,"Cost Summary";"annual1",#N/A,FALSE,"Phase_1";"annual2",#N/A,FALSE,"Phase_2";"annual3",#N/A,FALSE,"Phase_3";"annual4",#N/A,FALSE,"Phase_4"}</definedName>
    <definedName name="wrn.Annual._.Golf." hidden="1">{"a_dev",#N/A,FALSE,"Golf Development";"a_memstats",#N/A,FALSE,"Golf Development";"a_opstats",#N/A,FALSE,"Golf Development";"a_rev",#N/A,FALSE,"Golf Development";"a_return",#N/A,FALSE,"Golf Development"}</definedName>
    <definedName name="wrn.Annual._.Hotel." hidden="1">{"annual hotel",#N/A,FALSE,"Hotel Development"}</definedName>
    <definedName name="wrn.Annual._.Land._.Sales." hidden="1">{"annual",#N/A,FALSE,"Land Sales"}</definedName>
    <definedName name="wrn.Annual._.Report." hidden="1">{"annual",#N/A,FALSE,"Pro Forma";#N/A,#N/A,FALSE,"Golf Operations"}</definedName>
    <definedName name="wrn.Annual._.Report._.no._.releases." hidden="1">{"a_sales",#N/A,FALSE,"Summary";"a_debt",#N/A,FALSE,"Summary";"a_cash",#N/A,FALSE,"Summary";"a_accrual",#N/A,FALSE,"Summary"}</definedName>
    <definedName name="wrn.Annual._.Report._.with._.releases." hidden="1">{"a_sales",#N/A,FALSE,"Summary";"a_debt",#N/A,FALSE,"Summary";"a_releases",#N/A,FALSE,"Summary";"a_cash",#N/A,FALSE,"Summary";"a_accrual",#N/A,FALSE,"Summary"}</definedName>
    <definedName name="wrn.Annual._.Summary." hidden="1">{"Annual Cash Flows",#N/A,FALSE,"Annual Summary"}</definedName>
    <definedName name="wrn.Appraisal." hidden="1">{#N/A,#N/A,FALSE,"APPRAISAL";#N/A,#N/A,FALSE,"APPRAISAL 2";#N/A,#N/A,FALSE,"APPRAISAL 3"}</definedName>
    <definedName name="wrn.Appraisal._.2." hidden="1">{#N/A,#N/A,FALSE,"Appraisal 2"}</definedName>
    <definedName name="wrn.Appraisal._.3." hidden="1">{#N/A,#N/A,FALSE,"Appraisal 3"}</definedName>
    <definedName name="wrn.Asset._.Management." hidden="1">{#N/A,#N/A,FALSE,"ASSET MGMT."}</definedName>
    <definedName name="wrn.Assumptions." hidden="1">{"Assumptions",#N/A,FALSE,"Assumptions"}</definedName>
    <definedName name="wrn.Base._.Case._.Print." hidden="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eYearDemand." hidden="1">{"Base Year Demand",#N/A,FALSE,"Demand-Base Year"}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th._.Outputs." hidden="1">{"LTV Output",#N/A,FALSE,"Output";"DCR Output",#N/A,FALSE,"Output"}</definedName>
    <definedName name="wrn.CALLAND." hidden="1">{"Summary",#N/A,TRUE,"Summary";"Inputs",#N/A,TRUE,"Inputs";"Cash_Flow_Summary",#N/A,TRUE,"Reports";"Project_Equity_Accounts",#N/A,TRUE,"Reports";"Cal_Land_Equity_Accounts",#N/A,TRUE,"Reports";"NTFC_Equity_Accounts",#N/A,TRUE,"Reports";"Loan_Assumptions",#N/A,TRUE,"A&amp;D Loan";"Loan_Results",#N/A,TRUE,"A&amp;D Loan";"Carryback",#N/A,TRUE,"CarryBack";"Advisory_Fees",#N/A,TRUE,"Reports"}</definedName>
    <definedName name="wrn.Capital_Increm.." hidden="1">{#N/A,#N/A,FALSE,"Capital-Incremental"}</definedName>
    <definedName name="wrn.Capital_Nonincre.." hidden="1">{#N/A,#N/A,FALSE,"Capital-Nonincremental"}</definedName>
    <definedName name="wrn.CAPREIT." hidden="1">{#N/A,#N/A,FALSE,"CAPREIT"}</definedName>
    <definedName name="wrn.CAPREIT2" hidden="1">{#N/A,#N/A,FALSE,"CAPREIT"}</definedName>
    <definedName name="wrn.Cash._.and._.Accrual." hidden="1">{"a_cash",#N/A,FALSE,"Summary";"a_accrual",#N/A,FALSE,"Summary"}</definedName>
    <definedName name="wrn.Cash._.Flow._.Analysis." hidden="1">{"CF",#N/A,FALSE,"Cash Flow";"RET",#N/A,FALSE,"Returns";"NPV",#N/A,FALSE,"Values";"ASMPT",#N/A,FALSE,"Assumptions"}</definedName>
    <definedName name="wrn.Cash._.Flow._.and._.Matrix." hidden="1">{#N/A,#N/A,FALSE,"Matrix";#N/A,#N/A,FALSE,"Cash Flow";#N/A,#N/A,FALSE,"10 Year Cost Analysis"}</definedName>
    <definedName name="wrn.CASH._.FLOWS._.ONLY." hidden="1">{#N/A,#N/A,FALSE,"Assumptions";#N/A,#N/A,FALSE,"Consol CF";#N/A,#N/A,FALSE,"Hacienda CF";#N/A,#N/A,FALSE,"Chabot CF";#N/A,#N/A,FALSE,"Diablo CF"}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losing._.statement." hidden="1">{"page1",#N/A,FALSE,"CTT_CLO";"page2",#N/A,FALSE,"CTT_CLO"}</definedName>
    <definedName name="wrn.combined." hidden="1">{#N/A,#N/A,FALSE,"Page 2";#N/A,#N/A,FALSE,"Page 1A";#N/A,#N/A,FALSE,"Page 1B";#N/A,#N/A,FALSE,"ExecSum";#N/A,#N/A,FALSE,"Budget";#N/A,#N/A,FALSE,"Lease Summary";#N/A,#N/A,FALSE,"Summary1";#N/A,#N/A,FALSE,"CashFlow";#N/A,#N/A,FALSE,"Page 3";#N/A,#N/A,FALSE,"Page 4";#N/A,#N/A,FALSE,"Carry"}</definedName>
    <definedName name="wrn.Competition." hidden="1">{#N/A,#N/A,FALSE,"CompSummary";#N/A,#N/A,FALSE,"Comp1";#N/A,#N/A,FALSE,"Comp2";#N/A,#N/A,FALSE,"Comp3";#N/A,#N/A,FALSE,"Comp4";#N/A,#N/A,FALSE,"Comp5";#N/A,#N/A,FALSE,"Our Prop";#N/A,#N/A,FALSE,"Projection Sheet"}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ndensed." hidden="1">{#N/A,#N/A,FALSE,"Unconsolidated Debt"}</definedName>
    <definedName name="wrn.condensed.0" hidden="1">{#N/A,#N/A,FALSE,"Unconsolidated Debt"}</definedName>
    <definedName name="wrn.CONDO." hidden="1">{#N/A,#N/A,FALSE,"SPCondo"}</definedName>
    <definedName name="wrn.Construction._.Costs." hidden="1">{"Construction Costs",#N/A,FALSE,"Total Costs"}</definedName>
    <definedName name="wrn.contribution." hidden="1">{#N/A,#N/A,FALSE,"Contribution Analysis"}</definedName>
    <definedName name="wrn.contribution.1" hidden="1">{#N/A,#N/A,FALSE,"Contribution Analysis"}</definedName>
    <definedName name="wrn.Control._.Sheet." hidden="1">{#N/A,#N/A,FALSE,"CONTROL"}</definedName>
    <definedName name="wrn.Cottage._.Summary." hidden="1">{"cot1",#N/A,FALSE,"Cottages";"cot2",#N/A,FALSE,"Cottages";"cot3",#N/A,FALSE,"Cottages"}</definedName>
    <definedName name="wrn.Credit._.Summary." hidden="1">{#N/A,#N/A,FALSE,"CREDIT"}</definedName>
    <definedName name="wrn.csc." hidden="1">{"orixcsc",#N/A,FALSE,"ORIX CSC";"orixcsc2",#N/A,FALSE,"ORIX CSC"}</definedName>
    <definedName name="wrn.csc.1" hidden="1">{"orixcsc",#N/A,FALSE,"ORIX CSC";"orixcsc2",#N/A,FALSE,"ORIX CSC"}</definedName>
    <definedName name="wrn.csc.3" hidden="1">{#N/A,#N/A,FALSE,"ORIX CSC"}</definedName>
    <definedName name="wrn.csc2." hidden="1">{#N/A,#N/A,FALSE,"ORIX CSC"}</definedName>
    <definedName name="wrn.data." hidden="1">{"data",#N/A,FALSE,"INPUT"}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ownside." hidden="1">{"Downside",#N/A,FALSE,"Downside"}</definedName>
    <definedName name="wrn.Engineering." hidden="1">{#N/A,#N/A,FALSE,"ENGINEERING"}</definedName>
    <definedName name="wrn.Environmental." hidden="1">{#N/A,#N/A,FALSE,"ENVIRONMENTAL"}</definedName>
    <definedName name="wrn.equity." hidden="1">{#N/A,#N/A,FALSE,"Cover";#N/A,#N/A,FALSE,"Equity Sum";#N/A,#N/A,FALSE,"Constr Phase";#N/A,#N/A,FALSE,"Graph";#N/A,#N/A,FALSE,"Proforma";#N/A,#N/A,FALSE,"SQFT";#N/A,#N/A,FALSE,"TDC";#N/A,#N/A,FALSE,"Loan";#N/A,#N/A,FALSE,"Start Costs";#N/A,#N/A,FALSE,"Oper Exp";#N/A,#N/A,FALSE,"Grid"}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ec._.Summary." hidden="1">{#N/A,#N/A,FALSE,"Index"}</definedName>
    <definedName name="wrn.External._.Report__detail._.hidden." hidden="1">{"CREELP external",#N/A,FALSE,"CREELP";#N/A,#N/A,FALSE,"Funding 1 &amp; 2";#N/A,#N/A,FALSE,"Funding 8"}</definedName>
    <definedName name="wrn.External._Report_detail._.hidden.0" hidden="1">{"CREELP external",#N/A,FALSE,"CREELP";#N/A,#N/A,FALSE,"Funding 1 &amp; 2";#N/A,#N/A,FALSE,"Funding 8"}</definedName>
    <definedName name="wrn.Fair._.Share._.Calcs." hidden="1">{#N/A,#N/A,FALSE,"Fair Share"}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inal._.Output." hidden="1">{#N/A,#N/A,FALSE,"Final Output"}</definedName>
    <definedName name="wrn.Financial._.Model." hidden="1">{#N/A,#N/A,TRUE,"Input Sheet Model";#N/A,#N/A,TRUE,"Project Proforma Detail";#N/A,#N/A,TRUE,"Signoff Summary";#N/A,#N/A,TRUE,"Assumptions";#N/A,#N/A,TRUE,"Constr. Int. Inc.";#N/A,#N/A,TRUE,"Cashflow Projection"}</definedName>
    <definedName name="wrn.Financial._.Reports." hidden="1">{#N/A,#N/A,FALSE,"Overview";#N/A,#N/A,FALSE,"santafe";#N/A,#N/A,FALSE,"noble";#N/A,#N/A,FALSE,"Combined Results";#N/A,#N/A,FALSE,"Earnings"}</definedName>
    <definedName name="wrn.Financial._.Statements." hidden="1">{#N/A,#N/A,FALSE,"BS";#N/A,#N/A,FALSE,"IS";#N/A,#N/A,FALSE,"CF";#N/A,#N/A,FALSE,"EXP";#N/A,#N/A,FALSE,"FURN";#N/A,#N/A,FALSE,"MANNOI"}</definedName>
    <definedName name="wrn.Financials." hidden="1">{#N/A,#N/A,FALSE,"Income Stmt";#N/A,#N/A,FALSE,"Income Summary"}</definedName>
    <definedName name="wrn.Fleet." hidden="1">{"FleetDetailsNE",#N/A,FALSE,"NEForecast"}</definedName>
    <definedName name="wrn.Fmgmtfee." hidden="1">{#N/A,#N/A,FALSE,"Fmgmtfee"}</definedName>
    <definedName name="wrn.FORESTPARK." hidden="1">{#N/A,#N/A,FALSE,"ForestPark"}</definedName>
    <definedName name="wrn.FOschedules." hidden="1">{"FOschedule1",#N/A,FALSE,"Sheet1";"FOschedule2",#N/A,FALSE,"Sheet1";"FOschedule3",#N/A,FALSE,"Sheet1"}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" hidden="1">{#N/A,#N/A,TRUE,"Overview";#N/A,#N/A,TRUE,"Cash Flow";#N/A,#N/A,TRUE,"S-1";#N/A,#N/A,TRUE,"S-1a";#N/A,#N/A,TRUE,"S-3"}</definedName>
    <definedName name="wrn.FULL._.COMPARISON." hidden="1">{"Full Sheet",#N/A,FALSE,"Expense Comparison"}</definedName>
    <definedName name="wrn.Full._.Print.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Garage." hidden="1">{#N/A,#N/A,FALSE,"Garage Assumpt 1";#N/A,#N/A,FALSE,"Garage Op Proj";#N/A,#N/A,FALSE,"Hist I&amp;E";#N/A,#N/A,FALSE,"Garage Lease"}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reg." hidden="1">{"three",#N/A,FALSE,"Capital";"four",#N/A,FALSE,"Capital"}</definedName>
    <definedName name="wrn.Gross._.up." hidden="1">{#N/A,#N/A,FALSE,"Gross-Up"}</definedName>
    <definedName name="wrn.GSA._.PRINT." hidden="1">{#N/A,#N/A,FALSE,"DEV COSTS";#N/A,#N/A,FALSE,"10-YR C. F."}</definedName>
    <definedName name="wrn.Historical._.Analysis." hidden="1">{#N/A,#N/A,FALSE,"HISTORICAL REV &amp; EXP"}</definedName>
    <definedName name="wrn.Historical._.Rev._.Exp." hidden="1">{#N/A,#N/A,FALSE,"Historical Rev &amp; Exp"}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dex." hidden="1">{#N/A,#N/A,FALSE,"INDEX"}</definedName>
    <definedName name="wrn.Inputs." hidden="1">{"Inflation-BaseYear",#N/A,FALSE,"Inputs"}</definedName>
    <definedName name="wrn.Internal._.Report__detail._.displayed." hidden="1">{"CREELP Internal",#N/A,FALSE,"CREELP";#N/A,#N/A,FALSE,"Funding 1 &amp; 2";#N/A,#N/A,FALSE,"Funding 8";#N/A,#N/A,FALSE,"Capitalization";#N/A,#N/A,FALSE,"Company EBITDA"}</definedName>
    <definedName name="wrn.Internal._.Report_detail._.displated.0" hidden="1">{"CREELP Internal",#N/A,FALSE,"CREELP";#N/A,#N/A,FALSE,"Funding 1 &amp; 2";#N/A,#N/A,FALSE,"Funding 8";#N/A,#N/A,FALSE,"Capitalization";#N/A,#N/A,FALSE,"Company EBITDA"}</definedName>
    <definedName name="wrn.Investment._.Review." hidden="1">{#N/A,#N/A,FALSE,"Proforma Five Yr";#N/A,#N/A,FALSE,"Capital Input";#N/A,#N/A,FALSE,"Calculations";#N/A,#N/A,FALSE,"Transaction Summary-DTW"}</definedName>
    <definedName name="wrn.Land._.Takedown._.Summary." hidden="1">{"land1",#N/A,FALSE,"Land";"land2",#N/A,FALSE,"Land";"land3",#N/A,FALSE,"Land"}</definedName>
    <definedName name="wrn.Latent._.Demand._.Inputs." hidden="1">{#N/A,#N/A,FALSE,"Latent"}</definedName>
    <definedName name="wrn.Lease._.Rollover." hidden="1">{#N/A,#N/A,FALSE,"Lease Rollover"}</definedName>
    <definedName name="wrn.Leases." hidden="1">{#N/A,#N/A,FALSE,"Leases"}</definedName>
    <definedName name="wrn.Leasing._.Variance." hidden="1">{#N/A,#N/A,FALSE,"Leasing 6A"}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oan._.Pricing._.Analysis." hidden="1">{#N/A,#N/A,FALSE,"LOAN ANALYSIS"}</definedName>
    <definedName name="wrn.Loan._.Summary." hidden="1">{"Loan Summary",#N/A,FALSE,"Phase 1 loan &amp; data"}</definedName>
    <definedName name="wrn.Lot._.Inventory." hidden="1">{"lot inventory",#N/A,FALSE,"Lot List"}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TV._.Output." hidden="1">{"LTV Output",#N/A,FALSE,"Output"}</definedName>
    <definedName name="wrn.Market._.Values." hidden="1">{#N/A,#N/A,TRUE,"10 Yr Hold";#N/A,#N/A,TRUE,"7 Yr Hold";#N/A,#N/A,TRUE,"5 Yr Hold";#N/A,#N/A,TRUE,"3 Yr Hold"}</definedName>
    <definedName name="wrn.MARKETING." hidden="1">{#N/A,#N/A,FALSE,"MARKETING I";#N/A,#N/A,FALSE,"MARKETING II";#N/A,#N/A,FALSE,"MARKETING III"}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INRENT." hidden="1">{"MINRENT2",#N/A,FALSE,"SCHEDULE B"}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Review." hidden="1">{"model-allper",#N/A,FALSE,"Model";"i-s-allper",#N/A,FALSE,"Income Statement";"formoff-allper",#N/A,FALSE,"Formated Office Detail";"office-retail-allper",#N/A,FALSE,"Office-Retail Argus 2002-2006";"AcqDispo",#N/A,FALSE,"Dispositions";"jointventures-allper",#N/A,FALSE,"Joint Ventures";"hotel-allper",#N/A,FALSE,"Hotel";"ldv-allper",#N/A,FALSE,"LDV";"Int&amp;OthInc-allper",#N/A,FALSE,"Interest &amp; Other Inc";"debt-allper",#N/A,FALSE,"Debt";"debt service calc-allper",#N/A,FALSE,"Debt Service Calc";"OthUncon-allper",#N/A,FALSE,"Other Uncons";"shares-allper",#N/A,FALSE,"Shares"}</definedName>
    <definedName name="wrn.ModelReview.0" hidden="1">{"model-allper",#N/A,FALSE,"Model";"i-s-allper",#N/A,FALSE,"Income Statement";"formoff-allper",#N/A,FALSE,"Formated Office Detail";"office-retail-allper",#N/A,FALSE,"Office-Retail Argus 2002-2006";"AcqDispo",#N/A,FALSE,"Dispositions";"jointventures-allper",#N/A,FALSE,"Joint Ventures";"hotel-allper",#N/A,FALSE,"Hotel";"ldv-allper",#N/A,FALSE,"LDV";"Int&amp;OthInc-allper",#N/A,FALSE,"Interest &amp; Other Inc";"debt-allper",#N/A,FALSE,"Debt";"debt service calc-allper",#N/A,FALSE,"Debt Service Calc";"OthUncon-allper",#N/A,FALSE,"Other Uncons";"shares-allper",#N/A,FALSE,"Shares"}</definedName>
    <definedName name="wrn.Monthly." hidden="1">{"MONTHLY",#N/A,FALSE,"Pro Forma";"MONTHLY",#N/A,FALSE,"Equity"}</definedName>
    <definedName name="wrn.monthly._.financial." hidden="1">{#N/A,#N/A,FALSE,"SUMMARY 4a";#N/A,#N/A,FALSE,"GBA 4b";#N/A,#N/A,FALSE,"TENANT 4c";#N/A,#N/A,FALSE,"BUDGET DETAIL";#N/A,#N/A,FALSE,"PRO FORMA"}</definedName>
    <definedName name="wrn.Monthly._.Report." hidden="1">{"pro forma monthly",#N/A,FALSE,"Pro Forma";"equity monthly",#N/A,FALSE,"Equity";"TCC monthly",#N/A,FALSE,"TCC"}</definedName>
    <definedName name="wrn.Mortgage._.Loan._.Sch." hidden="1">{#N/A,#N/A,FALSE,"Mortgage Loan Sch"}</definedName>
    <definedName name="wrn.Occupancy._.Calcs." hidden="1">{#N/A,#N/A,FALSE,"Occ. Calcs"}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pen." hidden="1">{#N/A,#N/A,FALSE,"Unconsolidated Debt"}</definedName>
    <definedName name="wrn.open.0" hidden="1">{#N/A,#N/A,FALSE,"Unconsolidated Debt"}</definedName>
    <definedName name="wrn.Operations._.Review." hidden="1">{#N/A,#N/A,FALSE,"Proforma Five Yr";#N/A,#N/A,FALSE,"Occ and Rate";#N/A,#N/A,FALSE,"PF Input";#N/A,#N/A,FALSE,"Hotcomps"}</definedName>
    <definedName name="wrn.OtherDetail." hidden="1">{"Inputs",#N/A,FALSE,"Fees Detail";"Inputs",#N/A,FALSE,"Inputs"}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Package.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lms._.at._.South._.Shore." hidden="1">{#N/A,#N/A,FALSE,"loananalysis";#N/A,#N/A,FALSE,"proforma";#N/A,#N/A,FALSE,"unitmix"}</definedName>
    <definedName name="wrn.Partial_Template." hidden="1">{#N/A,#N/A,FALSE,"1Summary";#N/A,#N/A,FALSE,"2Assumptions";#N/A,#N/A,FALSE,"3Cash Flow";#N/A,#N/A,FALSE,"6Residual";#N/A,#N/A,FALSE,"AExpiration Schedule"}</definedName>
    <definedName name="wrn.Partial.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enetration." hidden="1">{#N/A,#N/A,FALSE,"Mkt Pen"}</definedName>
    <definedName name="wrn.PERCENTAGE._.RENT." hidden="1">{"PERCENTAGE RENT",#N/A,TRUE,"SCHEDULE B"}</definedName>
    <definedName name="wrn.Phase._.I." hidden="1">{#N/A,#N/A,FALSE,"Transaction Summary-DTW";#N/A,#N/A,FALSE,"Proforma Five Yr";#N/A,#N/A,FALSE,"Occ and Rate"}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ortfolio." hidden="1">{#N/A,#N/A,FALSE,"Portfolio Summary";#N/A,#N/A,FALSE,"Portfolio Operating Stmt";#N/A,#N/A,FALSE,"Portfolio Cash Flow"}</definedName>
    <definedName name="wrn.Prepaid_Recov.." hidden="1">{#N/A,#N/A,FALSE,"Prepaid Recoverable"}</definedName>
    <definedName name="wrn.Presentation." hidden="1">{#N/A,#N/A,FALSE,"INDEX";#N/A,#N/A,FALSE,"Mortgage Loan Sch";#N/A,#N/A,FALSE,"Exec Summary";#N/A,#N/A,FALSE,"Strengths &amp; Weaknesses";#N/A,#N/A,FALSE,"Underwriting Analysis";#N/A,#N/A,FALSE,"HISTORICAL REV &amp; EXP";#N/A,#N/A,FALSE,"Rent Roll";#N/A,#N/A,FALSE,"Recovery Calcs";#N/A,#N/A,FALSE,"Lease Rollover";#N/A,#N/A,FALSE,"APPRAISAL";#N/A,#N/A,FALSE,"APPRAISAL 2";#N/A,#N/A,FALSE,"APPRAISAL 3";#N/A,#N/A,FALSE,"ENGINEERING";#N/A,#N/A,FALSE,"ENVIRONMENTAL";#N/A,#N/A,FALSE,"CREDIT";#N/A,#N/A,FALSE,"Taxes, Insurance, Title";#N/A,#N/A,FALSE,"LOAN ANALYSIS";#N/A,#N/A,FALSE,"SOURCES &amp; USES";#N/A,#N/A,FALSE,"Working List";#N/A,#N/A,FALSE,"Underwriting Comparison"}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hidden="1">{#N/A,#N/A,FALSE,"Primary"}</definedName>
    <definedName name="wrn.Print_Heller." hidden="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." hidden="1">{"Assump",#N/A,TRUE,"Proforma";"first",#N/A,TRUE,"Proforma";"second",#N/A,TRUE,"Proforma";"lease1",#N/A,TRUE,"Proforma";"lease2",#N/A,TRUE,"Proforma"}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Ltd._.Ptr._.Heller." hidden="1">{#N/A,#N/A,FALSE,"Summary Schedule Heller Ltd";#N/A,#N/A,FALSE,"Qtrly  heller Page 1";#N/A,#N/A,FALSE,"Qtrly heller Page 3"}</definedName>
    <definedName name="wrn.print._.standalone." hidden="1">{"standalone1",#N/A,FALSE,"DCFBase";"standalone2",#N/A,FALSE,"DCFBase"}</definedName>
    <definedName name="wrn.Print._.sum." hidden="1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All." hidden="1">{#N/A,#N/A,FALSE,"Broker Sheet";#N/A,#N/A,FALSE,"Exec.Summary";#N/A,#N/A,FALSE,"Argus Cash Flow";#N/A,#N/A,FALSE,"SPF";#N/A,#N/A,FALSE,"RentRoll"}</definedName>
    <definedName name="wrn.Proforma.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.Review." hidden="1">{#N/A,#N/A,FALSE,"Occ and Rate";#N/A,#N/A,FALSE,"PF Input";#N/A,#N/A,FALSE,"Proforma Five Yr";#N/A,#N/A,FALSE,"Hotcomps"}</definedName>
    <definedName name="wrn.Program._.Compliance." hidden="1">{#N/A,#N/A,FALSE,"COMPLIANCE"}</definedName>
    <definedName name="wrn.ProjectDebtSummary." hidden="1">{"Carryback",#N/A,TRUE,"CarryBack";"Loan_Assumptions",#N/A,TRUE,"A&amp;D Loan";"Loan_Results",#N/A,TRUE,"A&amp;D Loan"}</definedName>
    <definedName name="wrn.ProjectSummary." hidden="1">{"Summary",#N/A,TRUE,"Summary";"CashFlow",#N/A,TRUE,"Reports";"Inputs",#N/A,TRUE,"Inputs"}</definedName>
    <definedName name="wrn.Property._.Description." hidden="1">{#N/A,#N/A,FALSE,"PROP. DESCRIPTION"}</definedName>
    <definedName name="wrn.quarterly." hidden="1">{"quarterly",#N/A,FALSE,"Pro Forma"}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RATES." hidden="1">{"RATES",#N/A,FALSE,"RECOVERY RATES";"CONTRIBUTIONS",#N/A,FALSE,"RECOVERY RATES";"GLA CATEGORY SUMMARY",#N/A,FALSE,"RECOVERY RATES"}</definedName>
    <definedName name="wrn.Recovery._.Calcs." hidden="1">{#N/A,#N/A,FALSE,"Recovery Calcs"}</definedName>
    <definedName name="wrn.Releases._.Cash._.Accrual." hidden="1">{"a_releases",#N/A,FALSE,"Summary";"a_cash",#N/A,FALSE,"Summary";"a_accrual",#N/A,FALSE,"Summary"}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nt._.Roll." hidden="1">{#N/A,#N/A,FALSE,"Rent Roll"}</definedName>
    <definedName name="wrn.REPORT_1." hidden="1">{"SIMPLIFD_P1",#N/A,FALSE,"SIMPLIFD"}</definedName>
    <definedName name="wrn.Report.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wrn.Rmgmtfee." hidden="1">{#N/A,#N/A,FALSE,"Rmgmtfee"}</definedName>
    <definedName name="wrn.Roof._.Report." hidden="1">{"Roofs Page 1",#N/A,FALSE,"Roof Outline";"Roofs Page 2",#N/A,FALSE,"Roof Outline"}</definedName>
    <definedName name="wrn.rpt96." hidden="1">{"rmrev1",#N/A,FALSE,"Forecast96";"rmrev2",#N/A,FALSE,"Forecast96";"rmrev3",#N/A,FALSE,"Forecast96"}</definedName>
    <definedName name="wrn.Sales._.and._.Debt." hidden="1">{"a_sales",#N/A,FALSE,"Summary";"a_debt",#N/A,FALSE,"Summary"}</definedName>
    <definedName name="wrn.Sales._.Information.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Package._.MPS._.01.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cenario." hidden="1">{"scen1",#N/A,FALSE,"Scenarios";"scen2",#N/A,FALSE,"Scenarios"}</definedName>
    <definedName name="wrn.SCHAs." hidden="1">{"ACCOUNTING COPY",#N/A,FALSE,"SCHEDULE A";"FINANCE COPY",#N/A,FALSE,"SCHEDULE A";"P.L. COPY",#N/A,FALSE,"SCHEDULE A"}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A." hidden="1">{"scheduleA",#N/A,FALSE,"CTT_CLO"}</definedName>
    <definedName name="wrn.scheduleB." hidden="1">{"scheduleB",#N/A,FALSE,"CTT_CLO"}</definedName>
    <definedName name="wrn.scheduleEF." hidden="1">{"scheduleEF",#N/A,FALSE,"CTT_CLO"}</definedName>
    <definedName name="wrn.scheduleF." hidden="1">{"scheduleF",#N/A,FALSE,"CTT_CLO"}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hidden="1">{#N/A,#N/A,FALSE,"SCHEDULE A";"MINIMUM RENT",#N/A,FALSE,"SCHEDULES B &amp; C";"PERCENTAGE RENT",#N/A,FALSE,"SCHEDULES B &amp; C"}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ondary._.Competition." hidden="1">{#N/A,#N/A,FALSE,"Secondary"}</definedName>
    <definedName name="wrn.Shared._.Costs." hidden="1">{"cash flow",#N/A,FALSE,"Shared Costs";"allocations",#N/A,FALSE,"Shared Costs"}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P2." hidden="1">{#N/A,#N/A,FALSE,"SP2"}</definedName>
    <definedName name="wrn.SPG._.Estimate." hidden="1">{#N/A,#N/A,FALSE,"Detail";#N/A,#N/A,FALSE,"Totals"}</definedName>
    <definedName name="wrn.Standard._.Report." hidden="1">{#N/A,#N/A,FALSE,"Summary";#N/A,#N/A,FALSE,"Construction";#N/A,#N/A,FALSE,"Cash Flow"}</definedName>
    <definedName name="wrn.Strengths._.Weaknesses." hidden="1">{#N/A,#N/A,FALSE,"Strengths &amp; Weaknesses"}</definedName>
    <definedName name="wrn.Submittal._.Reconciliation._.Schedule." hidden="1">{"Submittable Reconciliation Schedule",#N/A,FALSE,"Reconciliation";"GSCP2 PCS 30 Day",#N/A,FALSE,"GSCP2 PCS 30 Day Activity List"}</definedName>
    <definedName name="wrn.Summary.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Summary._.Overview." hidden="1">{#N/A,#N/A,FALSE,"OVERVIEW"}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y._.Additions." hidden="1">{#N/A,#N/A,FALSE,"Supply Addn"}</definedName>
    <definedName name="wrn.TANASBOURNE._.ONLY." hidden="1">{#N/A,#N/A,FALSE,"Expense Comparison"}</definedName>
    <definedName name="wrn.taxes." hidden="1">{"taxes",#N/A,FALSE,"CTT_CLO"}</definedName>
    <definedName name="wrn.Taxes._.Title._.Insurance." hidden="1">{#N/A,#N/A,FALSE,"Taxes, Insurance, Title"}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ts." hidden="1">{#N/A,#N/A,FALSE,"TENANTS"}</definedName>
    <definedName name="wrn.TEST." hidden="1">{#N/A,#N/A,FALSE,"SCHEDULE G"}</definedName>
    <definedName name="wrn.TEST1." hidden="1">{"TEST1",#N/A,FALSE,"SIMPLIFD"}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closing." hidden="1">{"page1",#N/A,FALSE,"CTT_CLO";"page2",#N/A,FALSE,"CTT_CLO";"schedules",#N/A,FALSE,"CTT_CLO";"scheduleA",#N/A,FALSE,"CTT_CLO";"scheduleBC",#N/A,FALSE,"CTT_CLO";"scheduleDE",#N/A,FALSE,"CTT_CLO";"scheduleF",#N/A,FALSE,"CTT_CLO"}</definedName>
    <definedName name="wrn.TOTAL._.SHEETS." hidden="1">{#N/A,#N/A,FALSE,"DEV COSTS";#N/A,#N/A,FALSE,"10-YR C. F."}</definedName>
    <definedName name="wrn.Tweety." hidden="1">{#N/A,#N/A,FALSE,"A&amp;E";#N/A,#N/A,FALSE,"HighTop";#N/A,#N/A,FALSE,"JG";#N/A,#N/A,FALSE,"RI";#N/A,#N/A,FALSE,"woHT";#N/A,#N/A,FALSE,"woHT&amp;JG"}</definedName>
    <definedName name="wrn.Tycon._.Model." hidden="1">{"rtn",#N/A,FALSE,"RTN";"tables",#N/A,FALSE,"RTN";"cf",#N/A,FALSE,"CF";"stats",#N/A,FALSE,"Stats";"prop",#N/A,FALSE,"Prop"}</definedName>
    <definedName name="wrn.Underwriting." hidden="1">{#N/A,#N/A,FALSE,"proforma";#N/A,#N/A,FALSE,"loananalysis";#N/A,#N/A,FALSE,"unitmix"}</definedName>
    <definedName name="wrn.Underwriting._.Analysis." hidden="1">{#N/A,#N/A,FALSE,"Underwriting Analysis"}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hidden="1">{"Page1",#N/A,FALSE,"7979";"Page2",#N/A,FALSE,"7979";"Page3",#N/A,FALSE,"7979"}</definedName>
    <definedName name="wrn.Working._.Party._.List." hidden="1">{#N/A,#N/A,FALSE,"Working List"}</definedName>
    <definedName name="wrn.XL._.DTR.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rn.XL.DTR.0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rn.Yield._.Graph." hidden="1">{#N/A,#N/A,FALSE,"Yield Graph"}</definedName>
    <definedName name="wrn.Yield._.Graph._.plus._.Input." hidden="1">{#N/A,#N/A,FALSE,"Yield Graph";#N/A,#N/A,FALSE,"Rent Roll";#N/A,#N/A,FALSE,"OE Yr1";#N/A,#N/A,FALSE,"Repl.Cst.+Ins."}</definedName>
    <definedName name="wrng" hidden="1">{"Output-BaseYear",#N/A,FALSE,"Output"}</definedName>
    <definedName name="wrnh" hidden="1">{"Output-All",#N/A,FALSE,"Output"}</definedName>
    <definedName name="wrnpkg" hidden="1">{#N/A,#N/A,FALSE,"Income Stmt";#N/A,#N/A,FALSE,"Income Summary"}</definedName>
    <definedName name="wrnpkgs" hidden="1">{#N/A,#N/A,FALSE,"Income Stmt";#N/A,#N/A,FALSE,"Income Summary"}</definedName>
    <definedName name="WSP">#REF!</definedName>
    <definedName name="wsplc">#REF!</definedName>
    <definedName name="wvu.ALL." hidden="1">{TRUE,TRUE,-1.25,-15.5,484.5,276.75,FALSE,FALSE,TRUE,TRUE,0,1,#N/A,1,#N/A,7.71428571428571,15.9411764705882,1,FALSE,FALSE,3,TRUE,1,FALSE,100,"Swvu.ALL.","ACwvu.ALL.",#N/A,FALSE,FALSE,0.37,0.4,1,0.37,2,"&amp;L&amp;""Arial,Bold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&amp;T",FALSE,FALSE,FALSE,FALSE,1,#N/A,1,#N/A,"=R3C1:R44C22","=R1:R2",#N/A,#N/A,FALSE,FALSE,FALSE,1,65532,65532,FALSE,FALSE,TRUE,TRUE,TRUE}</definedName>
    <definedName name="wvu.allocations." hidden="1">{TRUE,TRUE,-1.41610738255034,-14.9463087248322,497.718120805369,308.295302013423,FALSE,TRUE,TRUE,TRUE,0,1,1,1,40,3,2.68,4,TRUE,TRUE,3,TRUE,1,FALSE,100,"Swvu.allocations.","ACwvu.allocations.",#N/A,FALSE,FALSE,0.5,0.5,0.5,0.5,1,"","&amp;L&amp;F   &amp;A&amp;R&amp;D   &amp;T",TRUE,FALSE,FALSE,FALSE,1,100,#N/A,#N/A,"=R1C1:R118C10","=R1:R2","Rwvu.allocations.",#N/A,FALSE,FALSE,TRUE,1,4294967292,300,FALSE,FALSE,TRUE,TRUE,TRUE}</definedName>
    <definedName name="wvu.annual." hidden="1">{TRUE,TRUE,-1.41610738255034,-14.9463087248322,497.718120805369,308.295302013423,FALSE,TRUE,TRUE,TRUE,0,1,#N/A,1,1,9.97,4.21739130434783,3,FALSE,TRUE,3,TRUE,1,FALSE,100,"Swvu.annual.","ACwvu.annual.",#N/A,FALSE,FALSE,0.5,0.5,0.5,0.5,2,"","&amp;L&amp;""Palatino,Regular""&amp;9&amp;F&amp;C&amp;""Palatino,Regular""&amp;9LAND SALES DETAIL - Page &amp;P of &amp;N&amp;R&amp;""Palatino,Regular""&amp;9&amp;D   &amp;T",TRUE,FALSE,FALSE,FALSE,2,90,#N/A,#N/A,"=R1C1:R174C16","=R1:R3","Rwvu.annual.","Cwvu.annual.",FALSE,FALSE,FALSE,1,4294967292,300,FALSE,FALSE,TRUE,TRUE,TRUE}</definedName>
    <definedName name="wvu.annual._.hotel." hidden="1">{TRUE,TRUE,-1.41610738255034,-14.9463087248322,497.718120805369,308.295302013423,FALSE,TRUE,TRUE,TRUE,0,1,1,1,1,1,2.08695652173913,4,TRUE,TRUE,3,TRUE,1,FALSE,100,"Swvu.annual._.hotel.","ACwvu.annual._.hotel.",#N/A,FALSE,FALSE,0.5,0.5,0.5,0.5,2,"","&amp;L&amp;8&amp;F&amp;C&amp;8HOTEL DEVELOPMENT - Page &amp;P of &amp;N&amp;R&amp;8&amp;D   &amp;T",TRUE,FALSE,FALSE,FALSE,2,#N/A,1,#N/A,#DIV/0!,"=R1:R2","Rwvu.annual._.hotel.","Cwvu.annual._.hotel.",FALSE,FALSE,FALSE,1,4294967292,300,FALSE,FALSE,TRUE,TRUE,TRUE}</definedName>
    <definedName name="wvu.bottom._.line." hidden="1">{TRUE,TRUE,-1.41610738255034,-14.9463087248322,497.718120805369,308.295302013423,FALSE,TRUE,TRUE,TRUE,0,1,1,1,280,1,2.17391304347826,4,TRUE,TRUE,3,TRUE,1,FALSE,100,"Swvu.bottom._.line.","ACwvu.bottom._.line.",#N/A,FALSE,FALSE,0.5,0.5,0.5,0.5,2,"","&amp;L&amp;8&amp;F   &amp;A&amp;R&amp;8&amp;D   &amp;T",TRUE,FALSE,FALSE,FALSE,2,#N/A,1,#N/A,#DIV/0!,"=R1:R2","Rwvu.bottom._.line.","Cwvu.bottom._.line.",FALSE,FALSE,FALSE,1,4294967292,300,FALSE,FALSE,TRUE,TRUE,TRUE}</definedName>
    <definedName name="wvu.CAM._.RATES." hidden="1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ECOVERY." hidden="1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name="wvu.cash._.flow." hidden="1">{TRUE,TRUE,-1.41610738255034,-14.9463087248322,497.718120805369,308.295302013423,FALSE,TRUE,TRUE,TRUE,0,1,1,1,1,1,2.40816326530612,4,TRUE,TRUE,3,TRUE,1,FALSE,100,"Swvu.cash._.flow.","ACwvu.cash._.flow.",#N/A,FALSE,FALSE,0.5,0.5,0.5,0.5,2,"","&amp;L&amp;""Palatino,Regular""&amp;8&amp;F&amp;C&amp;""Palatino,Regular""&amp;8SHARED COSTS&amp;R&amp;""Palatino,Regular""&amp;8&amp;D   &amp;T",TRUE,FALSE,FALSE,FALSE,1,#N/A,1,1,"=R1C1:R120C22",FALSE,"Rwvu.cash._.flow.","Cwvu.cash._.flow.",FALSE,FALSE,FALSE,1,4294967292,300,FALSE,FALSE,TRUE,TRUE,TRUE}</definedName>
    <definedName name="wvu.combo." hidden="1">{TRUE,TRUE,-1.41610738255034,-14.9463087248322,497.718120805369,308.295302013423,FALSE,TRUE,TRUE,TRUE,0,1,3,1,170,1,1.07142857142857,3,TRUE,TRUE,3,TRUE,1,FALSE,100,"Swvu.combo.","ACwvu.combo.",#N/A,FALSE,FALSE,0.5,0.5,0.5,0.5,2,"","&amp;L&amp;8&amp;F   &amp;A&amp;R&amp;8&amp;D   &amp;T",TRUE,FALSE,FALSE,FALSE,2,#N/A,1,#N/A,#DIV/0!,"=R1:R2","Rwvu.combo.","Cwvu.combo.",FALSE,FALSE,FALSE,1,4294967292,300,FALSE,FALSE,TRUE,TRUE,TRUE}</definedName>
    <definedName name="wvu.Escalation._.Table." hidden="1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name="wvu.full." hidden="1">{TRUE,TRUE,-1.41610738255034,-14.9463087248322,497.718120805369,308.295302013423,FALSE,TRUE,TRUE,TRUE,0,1,#N/A,1,1,8.41904761904762,2.4,3,FALSE,TRUE,3,TRUE,1,FALSE,100,"Swvu.full.","ACwvu.full.",#N/A,FALSE,FALSE,0.5,0.5,0.5,0.5,2,"","&amp;L&amp;F&amp;R&amp;D   &amp;T",TRUE,FALSE,FALSE,FALSE,1,#N/A,1,1,"=R1C1:R97C24",FALSE,#N/A,#N/A,FALSE,FALSE,FALSE,1,4294967292,300,FALSE,FALSE,TRUE,TRUE,TRUE}</definedName>
    <definedName name="wvu.LSMEET." hidden="1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MARKETING._.REVENUE." hidden="1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INIMUM._.RENT." hidden="1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OCCUPANCY." hidden="1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name="wvu.offsite." hidden="1">{TRUE,TRUE,-1.41610738255034,-14.9463087248322,497.718120805369,308.295302013423,FALSE,TRUE,TRUE,TRUE,0,1,1,1,1,3,2.91836734693878,4,TRUE,TRUE,3,TRUE,1,FALSE,100,"Swvu.offsite.","ACwvu.offsite.",#N/A,FALSE,FALSE,0.5,0.5,0.5,0.5,1,"","&amp;L&amp;""Palatino,Regular""&amp;8&amp;F&amp;C&amp;""Palatino,Regular""&amp;8SHARED COSTS&amp;R&amp;""Palatino,Regular""&amp;8&amp;D   &amp;T",TRUE,FALSE,FALSE,FALSE,1,#N/A,1,1,#DIV/0!,"=R1:R2","Rwvu.offsite.",#N/A,FALSE,FALSE,FALSE,1,4294967292,300,FALSE,FALSE,TRUE,TRUE,TRUE}</definedName>
    <definedName name="wvu.onsite." hidden="1">{TRUE,TRUE,-1.41610738255034,-14.9463087248322,497.718120805369,308.295302013423,FALSE,TRUE,TRUE,TRUE,0,1,1,1,1,3,2.83673469387755,4,TRUE,TRUE,3,TRUE,1,FALSE,100,"Swvu.onsite.","ACwvu.onsite.",#N/A,FALSE,FALSE,0.5,0.5,0.5,0.5,1,"","&amp;L&amp;""Palatino,Regular""&amp;8&amp;F&amp;C&amp;""Palatino,Regular""&amp;8SHARED COSTS&amp;R&amp;""Palatino,Regular""&amp;8&amp;D   &amp;T",TRUE,FALSE,FALSE,FALSE,1,#N/A,1,1,#DIV/0!,"=R1:R2","Rwvu.onsite.",#N/A,FALSE,FALSE,FALSE,1,4294967292,300,FALSE,FALSE,TRUE,TRUE,TRUE}</definedName>
    <definedName name="wvu.PERCENTAGE._.RENT." hidden="1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name="wvu.quarterly." hidden="1">{TRUE,TRUE,-1.25,-15.5,484.5,270,FALSE,TRUE,TRUE,TRUE,0,1,2,2,1,3,1.93333333333333,4,TRUE,TRUE,3,TRUE,1,FALSE,75,"Swvu.quarterly.","ACwvu.quarterly.",#N/A,FALSE,FALSE,0.25,0.25,0.5,0.5,2,"","&amp;L&amp;10&amp;F   &amp;A&amp;C&amp;10Page &amp;P&amp;R&amp;10&amp;D   &amp;T",FALSE,FALSE,FALSE,FALSE,2,71,#N/A,#N/A,"=R1C1:R153C72","=C1:C4,R1:R3","Rwvu.quarterly.",#N/A,FALSE,FALSE,TRUE,1,65532,65532,FALSE,FALSE,TRUE,TRUE,TRUE}</definedName>
    <definedName name="wvu.TAX._.RATES." hidden="1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ECOVERY." hidden="1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name="ww" hidden="1">{#N/A,#N/A,FALSE,"Garage Assumpt 1";#N/A,#N/A,FALSE,"Garage Op Proj";#N/A,#N/A,FALSE,"Hist I&amp;E";#N/A,#N/A,FALSE,"Garage Lease"}</definedName>
    <definedName name="x">#N/A</definedName>
    <definedName name="xx">#REF!</definedName>
    <definedName name="xxx">#N/A</definedName>
    <definedName name="xxx.ctss.out.mosaic.opStatementComments.collateral_0_.underwriting_0_.opStatementHistorical_h_">#REF!</definedName>
    <definedName name="xxx.ctss.out.mosaic.opStmtCommentsSetup.collateral_0_.underwriting_0_.opStatement_0_">#REF!</definedName>
    <definedName name="xxxx" hidden="1">{"mgmt forecast",#N/A,FALSE,"Mgmt Forecast";"dcf table",#N/A,FALSE,"Mgmt Forecast";"sensitivity",#N/A,FALSE,"Mgmt Forecast";"table inputs",#N/A,FALSE,"Mgmt Forecast";"calculations",#N/A,FALSE,"Mgmt Forecast"}</definedName>
    <definedName name="xxxxx">#REF!</definedName>
    <definedName name="xxxxxx">#REF!</definedName>
    <definedName name="xxxxxxxx">#REF!</definedName>
    <definedName name="xxxxxxxxx">#REF!</definedName>
    <definedName name="xyz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xyz.0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Y">#N/A</definedName>
    <definedName name="yardifees">#REF!</definedName>
    <definedName name="Year">#VALUE!</definedName>
    <definedName name="year_built">#REF!</definedName>
    <definedName name="Year_End">DATEVALUE("12/31/"&amp;TEXT(#REF!,"0000"))</definedName>
    <definedName name="Year_Frac">#VALUE!</definedName>
    <definedName name="year_renov">#REF!</definedName>
    <definedName name="YEAR1">#REF!</definedName>
    <definedName name="Year1NOI" hidden="1">#REF!</definedName>
    <definedName name="YearDates">#REF!</definedName>
    <definedName name="YearRange">#REF!</definedName>
    <definedName name="Years">#REF!</definedName>
    <definedName name="Years_Clear_Click">[0]!Years_Clear_Click</definedName>
    <definedName name="Years_Select_Click">[0]!Years_Select_Click</definedName>
    <definedName name="YearsHeld">#REF!</definedName>
    <definedName name="YearStat">#REF!</definedName>
    <definedName name="Yes">#N/A</definedName>
    <definedName name="YesOrNo" hidden="1">#REF!</definedName>
    <definedName name="yield">#REF!</definedName>
    <definedName name="yield_1">#REF!</definedName>
    <definedName name="yield_2">#REF!</definedName>
    <definedName name="yield_3">#REF!</definedName>
    <definedName name="YLD_MAINT">#REF!</definedName>
    <definedName name="YN">#REF!</definedName>
    <definedName name="YR1_CASHFLOW">#REF!</definedName>
    <definedName name="YR1_NOI">#REF!</definedName>
    <definedName name="Yr1EconGrowth">#REF!</definedName>
    <definedName name="YR1GR">#REF!</definedName>
    <definedName name="Yr1Growth">#REF!</definedName>
    <definedName name="Yr1Vac">#REF!</definedName>
    <definedName name="Yr2EconGrowth">#REF!</definedName>
    <definedName name="Yr2Growth">#REF!</definedName>
    <definedName name="YR2GRW">#REF!</definedName>
    <definedName name="Yr2Vac">#REF!</definedName>
    <definedName name="Yr3EconGrowth">#REF!</definedName>
    <definedName name="Yr3Growth">#REF!</definedName>
    <definedName name="YR3GRW">#REF!</definedName>
    <definedName name="Yr3Vac">#REF!</definedName>
    <definedName name="Yr4EconGrowth">#REF!</definedName>
    <definedName name="Yr4Growth">#REF!</definedName>
    <definedName name="YR4GRW">#REF!</definedName>
    <definedName name="Yr4Vac">#REF!</definedName>
    <definedName name="Yr5EconGrowth">#REF!</definedName>
    <definedName name="Yr5Growth">#REF!</definedName>
    <definedName name="YR5GRW">#REF!</definedName>
    <definedName name="Yr5Vac">#REF!</definedName>
    <definedName name="YR6GRW">#REF!</definedName>
    <definedName name="YR7GRW">#REF!</definedName>
    <definedName name="ysnCapReduc">#REF!</definedName>
    <definedName name="YTD">#N/A</definedName>
    <definedName name="YTD_199X">#REF!</definedName>
    <definedName name="YTDColumn">#REF!</definedName>
    <definedName name="Z">#REF!</definedName>
    <definedName name="Z_28BDDCCC_2551_11D1_BD8E_0020AF42250B_.wvu.Cols" hidden="1">#REF!,#REF!,#REF!</definedName>
    <definedName name="Z_28BDDCCD_2551_11D1_BD8E_0020AF42250B_.wvu.Cols" hidden="1">#REF!,#REF!,#REF!</definedName>
    <definedName name="Z_28BDDCCF_2551_11D1_BD8E_0020AF42250B_.wvu.Cols" hidden="1">#REF!,#REF!,#REF!,#REF!</definedName>
    <definedName name="Z_28BDDCD0_2551_11D1_BD8E_0020AF42250B_.wvu.Cols" hidden="1">#REF!,#REF!,#REF!</definedName>
    <definedName name="Z_28BDDCD1_2551_11D1_BD8E_0020AF42250B_.wvu.Cols" hidden="1">#REF!,#REF!</definedName>
    <definedName name="Z_28BDDCD2_2551_11D1_BD8E_0020AF42250B_.wvu.Cols" hidden="1">#REF!,#REF!,#REF!</definedName>
    <definedName name="Z_28BDDCD3_2551_11D1_BD8E_0020AF42250B_.wvu.Cols" hidden="1">#REF!,#REF!,#REF!,#REF!</definedName>
    <definedName name="Z_28BDDCD8_2551_11D1_BD8E_0020AF42250B_.wvu.Cols" hidden="1">#REF!,#REF!,#REF!</definedName>
    <definedName name="Z_28BDDCD9_2551_11D1_BD8E_0020AF42250B_.wvu.Cols" hidden="1">#REF!,#REF!,#REF!</definedName>
    <definedName name="Z_38B66622_465C_11D1_8554_0080C7F00AC6_.wvu.Cols" hidden="1">#REF!,#REF!,#REF!</definedName>
    <definedName name="Z_38B66623_465C_11D1_8554_0080C7F00AC6_.wvu.Cols" hidden="1">#REF!,#REF!,#REF!</definedName>
    <definedName name="Z_38B66625_465C_11D1_8554_0080C7F00AC6_.wvu.Cols" hidden="1">#REF!,#REF!,#REF!,#REF!</definedName>
    <definedName name="Z_38B66626_465C_11D1_8554_0080C7F00AC6_.wvu.Cols" hidden="1">#REF!,#REF!,#REF!</definedName>
    <definedName name="Z_38B66627_465C_11D1_8554_0080C7F00AC6_.wvu.Cols" hidden="1">#REF!,#REF!</definedName>
    <definedName name="Z_38B66628_465C_11D1_8554_0080C7F00AC6_.wvu.Cols" hidden="1">#REF!,#REF!,#REF!</definedName>
    <definedName name="Z_38B66629_465C_11D1_8554_0080C7F00AC6_.wvu.Cols" hidden="1">#REF!,#REF!,#REF!,#REF!</definedName>
    <definedName name="Z_38B6662E_465C_11D1_8554_0080C7F00AC6_.wvu.Cols" hidden="1">#REF!,#REF!,#REF!</definedName>
    <definedName name="Z_38B6662F_465C_11D1_8554_0080C7F00AC6_.wvu.Cols" hidden="1">#REF!,#REF!,#REF!</definedName>
    <definedName name="Z_3FFCEA43_F8AA_11D0_BD29_0020AF42250B_.wvu.Cols" hidden="1">#REF!,#REF!,#REF!</definedName>
    <definedName name="Z_3FFCEA43_F8AA_11D0_BD29_0020AF42250B_.wvu.PrintArea" hidden="1">#REF!</definedName>
    <definedName name="Z_3FFCEA43_F8AA_11D0_BD29_0020AF42250B_.wvu.PrintTitles" hidden="1">#REF!</definedName>
    <definedName name="Z_40D1A02B_1594_11D1_BD73_0020AF42250B_.wvu.Cols" hidden="1">#REF!,#REF!,#REF!</definedName>
    <definedName name="Z_40D1A02C_1594_11D1_BD73_0020AF42250B_.wvu.Cols" hidden="1">#REF!,#REF!,#REF!</definedName>
    <definedName name="Z_40D1A02D_1594_11D1_BD73_0020AF42250B_.wvu.Cols" hidden="1">#REF!,#REF!,#REF!,#REF!</definedName>
    <definedName name="Z_40D1A02E_1594_11D1_BD73_0020AF42250B_.wvu.Cols" hidden="1">#REF!,#REF!,#REF!</definedName>
    <definedName name="Z_40D1A02F_1594_11D1_BD73_0020AF42250B_.wvu.Cols" hidden="1">#REF!,#REF!</definedName>
    <definedName name="Z_40D1A030_1594_11D1_BD73_0020AF42250B_.wvu.Cols" hidden="1">#REF!,#REF!,#REF!</definedName>
    <definedName name="Z_40D1A031_1594_11D1_BD73_0020AF42250B_.wvu.Cols" hidden="1">#REF!,#REF!,#REF!,#REF!</definedName>
    <definedName name="Z_40D1A032_1594_11D1_BD73_0020AF42250B_.wvu.Cols" hidden="1">#REF!,#REF!,#REF!</definedName>
    <definedName name="Z_40D1A033_1594_11D1_BD73_0020AF42250B_.wvu.Cols" hidden="1">#REF!,#REF!,#REF!</definedName>
    <definedName name="Z_40D1A104_1594_11D1_BD73_0020AF42250B_.wvu.Cols" hidden="1">#REF!,#REF!,#REF!</definedName>
    <definedName name="Z_40D1A105_1594_11D1_BD73_0020AF42250B_.wvu.Cols" hidden="1">#REF!,#REF!,#REF!</definedName>
    <definedName name="Z_40D1A107_1594_11D1_BD73_0020AF42250B_.wvu.Cols" hidden="1">#REF!,#REF!,#REF!,#REF!</definedName>
    <definedName name="Z_40D1A109_1594_11D1_BD73_0020AF42250B_.wvu.Cols" hidden="1">#REF!,#REF!,#REF!</definedName>
    <definedName name="Z_40D1A10B_1594_11D1_BD73_0020AF42250B_.wvu.Cols" hidden="1">#REF!,#REF!</definedName>
    <definedName name="Z_40D1A10C_1594_11D1_BD73_0020AF42250B_.wvu.Cols" hidden="1">#REF!,#REF!,#REF!</definedName>
    <definedName name="Z_40D1A10F_1594_11D1_BD73_0020AF42250B_.wvu.Cols" hidden="1">#REF!,#REF!,#REF!,#REF!</definedName>
    <definedName name="Z_40D1A114_1594_11D1_BD73_0020AF42250B_.wvu.Cols" hidden="1">#REF!,#REF!,#REF!</definedName>
    <definedName name="Z_40D1A115_1594_11D1_BD73_0020AF42250B_.wvu.Cols" hidden="1">#REF!,#REF!,#REF!</definedName>
    <definedName name="Z_49179D1A_043D_11D1_BD55_0020AF42250B_.wvu.Cols" hidden="1">#REF!,#REF!</definedName>
    <definedName name="Z_49179D1A_043D_11D1_BD55_0020AF42250B_.wvu.PrintArea" hidden="1">#REF!</definedName>
    <definedName name="Z_49179D1A_043D_11D1_BD55_0020AF42250B_.wvu.PrintTitles" hidden="1">#REF!</definedName>
    <definedName name="Z_49179D1D_043D_11D1_BD55_0020AF42250B_.wvu.Cols" hidden="1">#REF!,#REF!,#REF!</definedName>
    <definedName name="Z_49179D1D_043D_11D1_BD55_0020AF42250B_.wvu.PrintArea" hidden="1">#REF!</definedName>
    <definedName name="Z_49179D1D_043D_11D1_BD55_0020AF42250B_.wvu.PrintTitles" hidden="1">#REF!</definedName>
    <definedName name="Z_627E98CA_893D_11D2_9EFC_00C04FE0572F_.wvu.PrintArea" hidden="1">#REF!</definedName>
    <definedName name="Z_627E98CB_893D_11D2_9EFC_00C04FE0572F_.wvu.Cols" hidden="1">#REF!,#REF!,#REF!</definedName>
    <definedName name="Z_627E98CB_893D_11D2_9EFC_00C04FE0572F_.wvu.PrintArea" hidden="1">#REF!</definedName>
    <definedName name="Z_627E98CB_893D_11D2_9EFC_00C04FE0572F_.wvu.PrintTitles" hidden="1">#REF!</definedName>
    <definedName name="Z_6DFA7DCF_3C08_11D1_BDBE_0020AF42250B_.wvu.PrintArea" hidden="1">#REF!</definedName>
    <definedName name="Z_6DFA7DCF_3C08_11D1_BDBE_0020AF42250B_.wvu.PrintTitles" hidden="1">#REF!</definedName>
    <definedName name="Z_6DFA7DD9_3C08_11D1_BDBE_0020AF42250B_.wvu.Cols" hidden="1">#REF!,#REF!,#REF!</definedName>
    <definedName name="Z_6DFA7DD9_3C08_11D1_BDBE_0020AF42250B_.wvu.PrintArea" hidden="1">#REF!</definedName>
    <definedName name="Z_6DFA7DD9_3C08_11D1_BDBE_0020AF42250B_.wvu.PrintTitles" hidden="1">#REF!</definedName>
    <definedName name="Z_6DFA7DDA_3C08_11D1_BDBE_0020AF42250B_.wvu.Cols" hidden="1">#REF!,#REF!,#REF!</definedName>
    <definedName name="Z_6DFA7DDA_3C08_11D1_BDBE_0020AF42250B_.wvu.PrintArea" hidden="1">#REF!</definedName>
    <definedName name="Z_6DFA7DDA_3C08_11D1_BDBE_0020AF42250B_.wvu.PrintTitles" hidden="1">#REF!</definedName>
    <definedName name="Z_6DFA7DDC_3C08_11D1_BDBE_0020AF42250B_.wvu.Cols" hidden="1">#REF!,#REF!,#REF!,#REF!</definedName>
    <definedName name="Z_6DFA7DDC_3C08_11D1_BDBE_0020AF42250B_.wvu.PrintArea" hidden="1">#REF!</definedName>
    <definedName name="Z_6DFA7DDC_3C08_11D1_BDBE_0020AF42250B_.wvu.PrintTitles" hidden="1">#REF!</definedName>
    <definedName name="Z_6DFA7DDD_3C08_11D1_BDBE_0020AF42250B_.wvu.Cols" hidden="1">#REF!,#REF!,#REF!</definedName>
    <definedName name="Z_6DFA7DDD_3C08_11D1_BDBE_0020AF42250B_.wvu.PrintArea" hidden="1">#REF!</definedName>
    <definedName name="Z_6DFA7DDD_3C08_11D1_BDBE_0020AF42250B_.wvu.PrintTitles" hidden="1">#REF!</definedName>
    <definedName name="Z_6DFA7DDE_3C08_11D1_BDBE_0020AF42250B_.wvu.Cols" hidden="1">#REF!,#REF!</definedName>
    <definedName name="Z_6DFA7DDE_3C08_11D1_BDBE_0020AF42250B_.wvu.PrintArea" hidden="1">#REF!</definedName>
    <definedName name="Z_6DFA7DDE_3C08_11D1_BDBE_0020AF42250B_.wvu.PrintTitles" hidden="1">#REF!</definedName>
    <definedName name="Z_6DFA7DDF_3C08_11D1_BDBE_0020AF42250B_.wvu.Cols" hidden="1">#REF!,#REF!,#REF!</definedName>
    <definedName name="Z_6DFA7DDF_3C08_11D1_BDBE_0020AF42250B_.wvu.PrintArea" hidden="1">#REF!</definedName>
    <definedName name="Z_6DFA7DDF_3C08_11D1_BDBE_0020AF42250B_.wvu.PrintTitles" hidden="1">#REF!</definedName>
    <definedName name="Z_6DFA7DE0_3C08_11D1_BDBE_0020AF42250B_.wvu.Cols" hidden="1">#REF!,#REF!,#REF!,#REF!</definedName>
    <definedName name="Z_6DFA7DE0_3C08_11D1_BDBE_0020AF42250B_.wvu.PrintArea" hidden="1">#REF!</definedName>
    <definedName name="Z_6DFA7DE0_3C08_11D1_BDBE_0020AF42250B_.wvu.PrintTitles" hidden="1">#REF!</definedName>
    <definedName name="Z_6DFA7DE5_3C08_11D1_BDBE_0020AF42250B_.wvu.Cols" hidden="1">#REF!,#REF!,#REF!</definedName>
    <definedName name="Z_6DFA7DE5_3C08_11D1_BDBE_0020AF42250B_.wvu.PrintArea" hidden="1">#REF!</definedName>
    <definedName name="Z_6DFA7DE5_3C08_11D1_BDBE_0020AF42250B_.wvu.PrintTitles" hidden="1">#REF!</definedName>
    <definedName name="Z_6DFA7DE6_3C08_11D1_BDBE_0020AF42250B_.wvu.Cols" hidden="1">#REF!,#REF!,#REF!</definedName>
    <definedName name="Z_6DFA7DE6_3C08_11D1_BDBE_0020AF42250B_.wvu.PrintArea" hidden="1">#REF!</definedName>
    <definedName name="Z_6DFA7DE6_3C08_11D1_BDBE_0020AF42250B_.wvu.PrintTitles" hidden="1">#REF!</definedName>
    <definedName name="Z_6ECC8A59_F873_11D0_BD29_0020AF42250B_.wvu.Cols" hidden="1">#REF!,#REF!,#REF!</definedName>
    <definedName name="Z_6ECC8A5A_F873_11D0_BD29_0020AF42250B_.wvu.Cols" hidden="1">#REF!,#REF!,#REF!</definedName>
    <definedName name="Z_6ECC8A5C_F873_11D0_BD29_0020AF42250B_.wvu.Cols" hidden="1">#REF!,#REF!,#REF!,#REF!</definedName>
    <definedName name="Z_6ECC8A5D_F873_11D0_BD29_0020AF42250B_.wvu.Cols" hidden="1">#REF!,#REF!,#REF!</definedName>
    <definedName name="Z_6ECC8A5E_F873_11D0_BD29_0020AF42250B_.wvu.Cols" hidden="1">#REF!,#REF!</definedName>
    <definedName name="Z_6ECC8A5F_F873_11D0_BD29_0020AF42250B_.wvu.Cols" hidden="1">#REF!,#REF!,#REF!</definedName>
    <definedName name="Z_6ECC8A60_F873_11D0_BD29_0020AF42250B_.wvu.Cols" hidden="1">#REF!,#REF!,#REF!,#REF!,#REF!,#REF!,#REF!</definedName>
    <definedName name="Z_6ECC8A65_F873_11D0_BD29_0020AF42250B_.wvu.Cols" hidden="1">#REF!,#REF!,#REF!</definedName>
    <definedName name="Z_6ECC8A66_F873_11D0_BD29_0020AF42250B_.wvu.Cols" hidden="1">#REF!,#REF!,#REF!</definedName>
    <definedName name="Z_6ECC8A90_F873_11D0_BD29_0020AF42250B_.wvu.PrintTitles" hidden="1">#REF!</definedName>
    <definedName name="Z_6ECC8A95_F873_11D0_BD29_0020AF42250B_.wvu.Cols" hidden="1">#REF!,#REF!,#REF!</definedName>
    <definedName name="Z_6ECC8A95_F873_11D0_BD29_0020AF42250B_.wvu.PrintArea" hidden="1">#REF!</definedName>
    <definedName name="Z_6ECC8A95_F873_11D0_BD29_0020AF42250B_.wvu.PrintTitles" hidden="1">#REF!</definedName>
    <definedName name="Z_995DB91B_DC87_11D2_BCA9_00C04F8BBE86_.wvu.PrintArea" hidden="1">#REF!</definedName>
    <definedName name="Z_995DB91E_DC87_11D2_BCA9_00C04F8BBE86_.wvu.Cols" hidden="1">#REF!</definedName>
    <definedName name="Z_995DB91E_DC87_11D2_BCA9_00C04F8BBE86_.wvu.PrintArea" hidden="1">#REF!</definedName>
    <definedName name="Z_995DB91E_DC87_11D2_BCA9_00C04F8BBE86_.wvu.Rows" hidden="1">#REF!</definedName>
    <definedName name="Z_995DB91F_DC87_11D2_BCA9_00C04F8BBE86_.wvu.Cols" hidden="1">#REF!,#REF!,#REF!</definedName>
    <definedName name="Z_995DB91F_DC87_11D2_BCA9_00C04F8BBE86_.wvu.PrintArea" hidden="1">#REF!</definedName>
    <definedName name="Z_995DB91F_DC87_11D2_BCA9_00C04F8BBE86_.wvu.Rows" hidden="1">#REF!,#REF!</definedName>
    <definedName name="Z_9A8750D3_468A_11D3_8ECF_00C04F9226C7_.wvu.Cols" hidden="1">#REF!,#REF!,#REF!</definedName>
    <definedName name="Z_9A8750D3_468A_11D3_8ECF_00C04F9226C7_.wvu.PrintArea" hidden="1">#REF!</definedName>
    <definedName name="Z_9A8750D3_468A_11D3_8ECF_00C04F9226C7_.wvu.Rows" hidden="1">#REF!</definedName>
    <definedName name="Z_A73E33D1_2630_11D1_BD91_0020AF42250B_.wvu.Cols" hidden="1">#REF!,#REF!,#REF!</definedName>
    <definedName name="Z_A73E33D2_2630_11D1_BD91_0020AF42250B_.wvu.Cols" hidden="1">#REF!,#REF!,#REF!</definedName>
    <definedName name="Z_A73E33D4_2630_11D1_BD91_0020AF42250B_.wvu.Cols" hidden="1">#REF!,#REF!,#REF!,#REF!</definedName>
    <definedName name="Z_A73E33D5_2630_11D1_BD91_0020AF42250B_.wvu.Cols" hidden="1">#REF!,#REF!,#REF!</definedName>
    <definedName name="Z_A73E33D6_2630_11D1_BD91_0020AF42250B_.wvu.Cols" hidden="1">#REF!,#REF!</definedName>
    <definedName name="Z_A73E33D7_2630_11D1_BD91_0020AF42250B_.wvu.Cols" hidden="1">#REF!,#REF!,#REF!</definedName>
    <definedName name="Z_A73E33D8_2630_11D1_BD91_0020AF42250B_.wvu.Cols" hidden="1">#REF!,#REF!,#REF!,#REF!</definedName>
    <definedName name="Z_A73E33DD_2630_11D1_BD91_0020AF42250B_.wvu.Cols" hidden="1">#REF!,#REF!,#REF!</definedName>
    <definedName name="Z_A73E33DE_2630_11D1_BD91_0020AF42250B_.wvu.Cols" hidden="1">#REF!,#REF!,#REF!</definedName>
    <definedName name="Z_B47DD997_1976_11D1_BD7C_0020AF42250B_.wvu.Cols" hidden="1">#REF!,#REF!,#REF!</definedName>
    <definedName name="Z_B47DD998_1976_11D1_BD7C_0020AF42250B_.wvu.Cols" hidden="1">#REF!,#REF!,#REF!</definedName>
    <definedName name="Z_B47DD99A_1976_11D1_BD7C_0020AF42250B_.wvu.Cols" hidden="1">#REF!,#REF!,#REF!,#REF!</definedName>
    <definedName name="Z_B47DD99B_1976_11D1_BD7C_0020AF42250B_.wvu.Cols" hidden="1">#REF!,#REF!,#REF!</definedName>
    <definedName name="Z_B47DD99C_1976_11D1_BD7C_0020AF42250B_.wvu.Cols" hidden="1">#REF!,#REF!</definedName>
    <definedName name="Z_B47DD99D_1976_11D1_BD7C_0020AF42250B_.wvu.Cols" hidden="1">#REF!,#REF!,#REF!</definedName>
    <definedName name="Z_B47DD99E_1976_11D1_BD7C_0020AF42250B_.wvu.Cols" hidden="1">#REF!,#REF!,#REF!,#REF!</definedName>
    <definedName name="Z_B47DD9A3_1976_11D1_BD7C_0020AF42250B_.wvu.Cols" hidden="1">#REF!,#REF!,#REF!</definedName>
    <definedName name="Z_B47DD9A4_1976_11D1_BD7C_0020AF42250B_.wvu.Cols" hidden="1">#REF!,#REF!,#REF!</definedName>
    <definedName name="Z_B6AE087C_DC06_11D2_BCA9_00C04F8BBE86_.wvu.Cols" hidden="1">#REF!,#REF!,#REF!,#REF!,#REF!</definedName>
    <definedName name="Z_B6AE087C_DC06_11D2_BCA9_00C04F8BBE86_.wvu.PrintArea" hidden="1">#REF!</definedName>
    <definedName name="Z_B6AE087C_DC06_11D2_BCA9_00C04F8BBE86_.wvu.Rows" hidden="1">#REF!,#REF!</definedName>
    <definedName name="Z_F2D042EF_2606_11D1_BD91_0020AF42250B_.wvu.Cols" hidden="1">#REF!,#REF!,#REF!</definedName>
    <definedName name="Z_F2D042F0_2606_11D1_BD91_0020AF42250B_.wvu.Cols" hidden="1">#REF!,#REF!,#REF!</definedName>
    <definedName name="Z_F2D042F2_2606_11D1_BD91_0020AF42250B_.wvu.Cols" hidden="1">#REF!,#REF!,#REF!,#REF!</definedName>
    <definedName name="Z_F2D042F3_2606_11D1_BD91_0020AF42250B_.wvu.Cols" hidden="1">#REF!,#REF!,#REF!</definedName>
    <definedName name="Z_F2D042F4_2606_11D1_BD91_0020AF42250B_.wvu.Cols" hidden="1">#REF!,#REF!</definedName>
    <definedName name="Z_F2D042F5_2606_11D1_BD91_0020AF42250B_.wvu.Cols" hidden="1">#REF!,#REF!,#REF!</definedName>
    <definedName name="Z_F2D042F6_2606_11D1_BD91_0020AF42250B_.wvu.Cols" hidden="1">#REF!,#REF!,#REF!,#REF!</definedName>
    <definedName name="Z_F2D042FB_2606_11D1_BD91_0020AF42250B_.wvu.Cols" hidden="1">#REF!,#REF!,#REF!</definedName>
    <definedName name="Z_F2D042FC_2606_11D1_BD91_0020AF42250B_.wvu.Cols" hidden="1">#REF!,#REF!,#REF!</definedName>
    <definedName name="Z_FAFA6ED0_0531_11D1_BD56_0020AF42250B_.wvu.Cols" hidden="1">#REF!,#REF!,#REF!,#REF!</definedName>
    <definedName name="Z_FAFA6ED0_0531_11D1_BD56_0020AF42250B_.wvu.PrintArea" hidden="1">#REF!</definedName>
    <definedName name="Z_FAFA6ED0_0531_11D1_BD56_0020AF42250B_.wvu.PrintTitles" hidden="1">#REF!</definedName>
    <definedName name="Z_FAFA6ED1_0531_11D1_BD56_0020AF42250B_.wvu.Cols" hidden="1">#REF!,#REF!,#REF!</definedName>
    <definedName name="Z_FAFA6ED1_0531_11D1_BD56_0020AF42250B_.wvu.PrintArea" hidden="1">#REF!</definedName>
    <definedName name="Z_FAFA6ED1_0531_11D1_BD56_0020AF42250B_.wvu.PrintTitles" hidden="1">#REF!</definedName>
    <definedName name="zApps">#REF!</definedName>
    <definedName name="zerda">#REF!</definedName>
    <definedName name="zero">#REF!</definedName>
    <definedName name="zip">#REF!</definedName>
    <definedName name="zMoveIns">#REF!</definedName>
    <definedName name="zMoveOuts">#REF!</definedName>
    <definedName name="zMTM">#REF!</definedName>
    <definedName name="zOccupiedCount">#REF!</definedName>
    <definedName name="ZoomPercent">#REF!</definedName>
    <definedName name="zRenewals">#REF!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Z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5" l="1"/>
  <c r="CK26" i="5"/>
  <c r="CJ26" i="5"/>
  <c r="CI26" i="5"/>
  <c r="CH26" i="5"/>
  <c r="CG26" i="5"/>
  <c r="CF26" i="5"/>
  <c r="CE26" i="5"/>
  <c r="CD26" i="5"/>
  <c r="CC26" i="5"/>
  <c r="CB26" i="5"/>
  <c r="CA26" i="5"/>
  <c r="BZ26" i="5"/>
  <c r="BY26" i="5"/>
  <c r="BX26" i="5"/>
  <c r="BW26" i="5"/>
  <c r="BV26" i="5"/>
  <c r="BU26" i="5"/>
  <c r="BT26" i="5"/>
  <c r="BS26" i="5"/>
  <c r="BR26" i="5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CK25" i="5"/>
  <c r="CJ25" i="5"/>
  <c r="CI25" i="5"/>
  <c r="CH25" i="5"/>
  <c r="CG25" i="5"/>
  <c r="CF25" i="5"/>
  <c r="CE25" i="5"/>
  <c r="CD25" i="5"/>
  <c r="CC25" i="5"/>
  <c r="CB25" i="5"/>
  <c r="CA25" i="5"/>
  <c r="BZ25" i="5"/>
  <c r="BY25" i="5"/>
  <c r="BX25" i="5"/>
  <c r="BW25" i="5"/>
  <c r="BV25" i="5"/>
  <c r="BU25" i="5"/>
  <c r="BT25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CK23" i="5"/>
  <c r="CJ23" i="5"/>
  <c r="CI23" i="5"/>
  <c r="CH23" i="5"/>
  <c r="CG23" i="5"/>
  <c r="CF23" i="5"/>
  <c r="CE23" i="5"/>
  <c r="CD23" i="5"/>
  <c r="CC23" i="5"/>
  <c r="CB23" i="5"/>
  <c r="CA23" i="5"/>
  <c r="BZ23" i="5"/>
  <c r="BY23" i="5"/>
  <c r="BX23" i="5"/>
  <c r="BW23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CK22" i="5"/>
  <c r="CJ22" i="5"/>
  <c r="CI22" i="5"/>
  <c r="CH22" i="5"/>
  <c r="CG22" i="5"/>
  <c r="CF22" i="5"/>
  <c r="CE22" i="5"/>
  <c r="CD22" i="5"/>
  <c r="CC22" i="5"/>
  <c r="CB22" i="5"/>
  <c r="CA22" i="5"/>
  <c r="BZ22" i="5"/>
  <c r="BY22" i="5"/>
  <c r="BX22" i="5"/>
  <c r="BW22" i="5"/>
  <c r="BV22" i="5"/>
  <c r="BU22" i="5"/>
  <c r="BT22" i="5"/>
  <c r="BS22" i="5"/>
  <c r="BR22" i="5"/>
  <c r="BQ22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CK21" i="5"/>
  <c r="CJ21" i="5"/>
  <c r="CI21" i="5"/>
  <c r="CH21" i="5"/>
  <c r="CG21" i="5"/>
  <c r="CF21" i="5"/>
  <c r="CE21" i="5"/>
  <c r="CD21" i="5"/>
  <c r="CC21" i="5"/>
  <c r="CB21" i="5"/>
  <c r="CA21" i="5"/>
  <c r="BZ21" i="5"/>
  <c r="BY21" i="5"/>
  <c r="BX21" i="5"/>
  <c r="BW21" i="5"/>
  <c r="BV21" i="5"/>
  <c r="BU21" i="5"/>
  <c r="BT21" i="5"/>
  <c r="BS21" i="5"/>
  <c r="BR21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CK20" i="5"/>
  <c r="CJ20" i="5"/>
  <c r="CI20" i="5"/>
  <c r="CH20" i="5"/>
  <c r="CG20" i="5"/>
  <c r="CF20" i="5"/>
  <c r="CE20" i="5"/>
  <c r="CD20" i="5"/>
  <c r="CC20" i="5"/>
  <c r="CB20" i="5"/>
  <c r="CA20" i="5"/>
  <c r="BZ20" i="5"/>
  <c r="BY20" i="5"/>
  <c r="BX20" i="5"/>
  <c r="BW20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CK19" i="5"/>
  <c r="CJ19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CK18" i="5"/>
  <c r="CJ18" i="5"/>
  <c r="CI18" i="5"/>
  <c r="CH18" i="5"/>
  <c r="CG18" i="5"/>
  <c r="CF18" i="5"/>
  <c r="CE18" i="5"/>
  <c r="CD18" i="5"/>
  <c r="CC18" i="5"/>
  <c r="CB18" i="5"/>
  <c r="CA18" i="5"/>
  <c r="BZ18" i="5"/>
  <c r="BY18" i="5"/>
  <c r="BX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CK17" i="5"/>
  <c r="CJ17" i="5"/>
  <c r="CI17" i="5"/>
  <c r="CH17" i="5"/>
  <c r="CG17" i="5"/>
  <c r="CF17" i="5"/>
  <c r="CE17" i="5"/>
  <c r="CD17" i="5"/>
  <c r="CC17" i="5"/>
  <c r="CB17" i="5"/>
  <c r="CA17" i="5"/>
  <c r="BZ17" i="5"/>
  <c r="BY17" i="5"/>
  <c r="BX17" i="5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CK16" i="5"/>
  <c r="CJ16" i="5"/>
  <c r="CI16" i="5"/>
  <c r="CH16" i="5"/>
  <c r="CG16" i="5"/>
  <c r="CF16" i="5"/>
  <c r="CE16" i="5"/>
  <c r="CD16" i="5"/>
  <c r="CC16" i="5"/>
  <c r="CB16" i="5"/>
  <c r="CA16" i="5"/>
  <c r="BZ16" i="5"/>
  <c r="BY16" i="5"/>
  <c r="BX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CK15" i="5"/>
  <c r="CJ15" i="5"/>
  <c r="CI15" i="5"/>
  <c r="CH15" i="5"/>
  <c r="CG15" i="5"/>
  <c r="CF15" i="5"/>
  <c r="CE15" i="5"/>
  <c r="CD15" i="5"/>
  <c r="CC15" i="5"/>
  <c r="CB15" i="5"/>
  <c r="CA15" i="5"/>
  <c r="BZ15" i="5"/>
  <c r="BY15" i="5"/>
  <c r="BX15" i="5"/>
  <c r="BW15" i="5"/>
  <c r="BV15" i="5"/>
  <c r="BU15" i="5"/>
  <c r="BT15" i="5"/>
  <c r="BS15" i="5"/>
  <c r="BR15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CK14" i="5"/>
  <c r="CJ14" i="5"/>
  <c r="CI14" i="5"/>
  <c r="CH14" i="5"/>
  <c r="CG14" i="5"/>
  <c r="CF14" i="5"/>
  <c r="CE14" i="5"/>
  <c r="CD14" i="5"/>
  <c r="CC14" i="5"/>
  <c r="CB14" i="5"/>
  <c r="CA14" i="5"/>
  <c r="BZ14" i="5"/>
  <c r="BY14" i="5"/>
  <c r="BX14" i="5"/>
  <c r="BW14" i="5"/>
  <c r="BV14" i="5"/>
  <c r="BU14" i="5"/>
  <c r="BT14" i="5"/>
  <c r="BS14" i="5"/>
  <c r="BR14" i="5"/>
  <c r="BQ14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CK13" i="5"/>
  <c r="CJ13" i="5"/>
  <c r="CI13" i="5"/>
  <c r="CH13" i="5"/>
  <c r="CG13" i="5"/>
  <c r="CF13" i="5"/>
  <c r="CE13" i="5"/>
  <c r="CD13" i="5"/>
  <c r="CC13" i="5"/>
  <c r="CB13" i="5"/>
  <c r="CA13" i="5"/>
  <c r="BZ13" i="5"/>
  <c r="BY13" i="5"/>
  <c r="BX13" i="5"/>
  <c r="BW13" i="5"/>
  <c r="BV13" i="5"/>
  <c r="BU13" i="5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CK12" i="5"/>
  <c r="CJ12" i="5"/>
  <c r="CI12" i="5"/>
  <c r="CH12" i="5"/>
  <c r="CG12" i="5"/>
  <c r="CF12" i="5"/>
  <c r="CE12" i="5"/>
  <c r="CD12" i="5"/>
  <c r="CC12" i="5"/>
  <c r="CB12" i="5"/>
  <c r="CA12" i="5"/>
  <c r="BZ12" i="5"/>
  <c r="BY12" i="5"/>
  <c r="BX12" i="5"/>
  <c r="BW12" i="5"/>
  <c r="BV12" i="5"/>
  <c r="BU12" i="5"/>
  <c r="BT12" i="5"/>
  <c r="BS12" i="5"/>
  <c r="BR12" i="5"/>
  <c r="BQ12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M24" i="5"/>
  <c r="N24" i="5"/>
  <c r="O24" i="5"/>
  <c r="P24" i="5"/>
  <c r="Q24" i="5"/>
  <c r="R24" i="5"/>
  <c r="S24" i="5"/>
  <c r="T24" i="5"/>
  <c r="U24" i="5"/>
  <c r="V24" i="5"/>
  <c r="CH24" i="5"/>
  <c r="CI24" i="5"/>
  <c r="CJ24" i="5"/>
  <c r="CK24" i="5"/>
  <c r="CH8" i="5" a="1"/>
  <c r="CH8" i="5" s="1"/>
  <c r="CI8" i="5" a="1"/>
  <c r="CI8" i="5" s="1"/>
  <c r="CJ8" i="5" a="1"/>
  <c r="CJ8" i="5" s="1"/>
  <c r="CK8" i="5" a="1"/>
  <c r="CK8" i="5" s="1"/>
  <c r="BB60" i="10" l="1"/>
  <c r="AP60" i="10"/>
  <c r="R22" i="10"/>
  <c r="S22" i="10" s="1"/>
  <c r="T22" i="10" s="1"/>
  <c r="U22" i="10" s="1"/>
  <c r="V22" i="10" s="1"/>
  <c r="W22" i="10" s="1"/>
  <c r="X22" i="10" s="1"/>
  <c r="Y22" i="10" s="1"/>
  <c r="Z22" i="10" s="1"/>
  <c r="AA22" i="10" s="1"/>
  <c r="AB22" i="10" s="1"/>
  <c r="AC22" i="10" s="1"/>
  <c r="AD22" i="10" s="1"/>
  <c r="AE22" i="10" s="1"/>
  <c r="AF22" i="10" s="1"/>
  <c r="AG22" i="10" s="1"/>
  <c r="AH22" i="10" s="1"/>
  <c r="AI22" i="10" s="1"/>
  <c r="AJ22" i="10" s="1"/>
  <c r="AK22" i="10" s="1"/>
  <c r="AL22" i="10" s="1"/>
  <c r="AM22" i="10" s="1"/>
  <c r="AN22" i="10" s="1"/>
  <c r="AO22" i="10" s="1"/>
  <c r="AP22" i="10" s="1"/>
  <c r="AQ22" i="10" s="1"/>
  <c r="AR22" i="10" s="1"/>
  <c r="AS22" i="10" s="1"/>
  <c r="AT22" i="10" s="1"/>
  <c r="AU22" i="10" s="1"/>
  <c r="AV22" i="10" s="1"/>
  <c r="AW22" i="10" s="1"/>
  <c r="AX22" i="10" s="1"/>
  <c r="AY22" i="10" s="1"/>
  <c r="AZ22" i="10" s="1"/>
  <c r="BA22" i="10" s="1"/>
  <c r="BB22" i="10" s="1"/>
  <c r="BC22" i="10" s="1"/>
  <c r="BD22" i="10" s="1"/>
  <c r="BE22" i="10" s="1"/>
  <c r="BF22" i="10" s="1"/>
  <c r="BG22" i="10" s="1"/>
  <c r="BH22" i="10" s="1"/>
  <c r="BI22" i="10" s="1"/>
  <c r="BJ22" i="10" s="1"/>
  <c r="BK22" i="10" s="1"/>
  <c r="BL22" i="10" s="1"/>
  <c r="BM22" i="10" s="1"/>
  <c r="BN22" i="10" s="1"/>
  <c r="H30" i="4"/>
  <c r="I30" i="4"/>
  <c r="J30" i="4"/>
  <c r="K30" i="4"/>
  <c r="L30" i="4"/>
  <c r="M30" i="4"/>
  <c r="N30" i="4"/>
  <c r="O30" i="4"/>
  <c r="P30" i="4"/>
  <c r="G30" i="4"/>
  <c r="H29" i="4"/>
  <c r="I29" i="4"/>
  <c r="J29" i="4"/>
  <c r="K29" i="4"/>
  <c r="L29" i="4"/>
  <c r="M29" i="4"/>
  <c r="N29" i="4"/>
  <c r="O29" i="4"/>
  <c r="P29" i="4"/>
  <c r="G29" i="4"/>
  <c r="H28" i="4"/>
  <c r="I28" i="4"/>
  <c r="J28" i="4"/>
  <c r="K28" i="4"/>
  <c r="L28" i="4"/>
  <c r="M28" i="4"/>
  <c r="N28" i="4"/>
  <c r="O28" i="4"/>
  <c r="P28" i="4"/>
  <c r="G28" i="4"/>
  <c r="H27" i="4"/>
  <c r="I27" i="4"/>
  <c r="J27" i="4"/>
  <c r="K27" i="4"/>
  <c r="L27" i="4"/>
  <c r="M27" i="4"/>
  <c r="N27" i="4"/>
  <c r="O27" i="4"/>
  <c r="P27" i="4"/>
  <c r="G27" i="4"/>
  <c r="H26" i="4"/>
  <c r="I26" i="4"/>
  <c r="J26" i="4"/>
  <c r="K26" i="4"/>
  <c r="L26" i="4"/>
  <c r="M26" i="4"/>
  <c r="N26" i="4"/>
  <c r="O26" i="4"/>
  <c r="P26" i="4"/>
  <c r="G26" i="4"/>
  <c r="H25" i="4"/>
  <c r="I25" i="4"/>
  <c r="J25" i="4"/>
  <c r="K25" i="4"/>
  <c r="L25" i="4"/>
  <c r="M25" i="4"/>
  <c r="N25" i="4"/>
  <c r="O25" i="4"/>
  <c r="P25" i="4"/>
  <c r="G25" i="4"/>
  <c r="H24" i="4"/>
  <c r="I24" i="4"/>
  <c r="J24" i="4"/>
  <c r="K24" i="4"/>
  <c r="L24" i="4"/>
  <c r="M24" i="4"/>
  <c r="N24" i="4"/>
  <c r="O24" i="4"/>
  <c r="P24" i="4"/>
  <c r="G24" i="4"/>
  <c r="H23" i="4"/>
  <c r="I23" i="4"/>
  <c r="J23" i="4"/>
  <c r="K23" i="4"/>
  <c r="L23" i="4"/>
  <c r="M23" i="4"/>
  <c r="N23" i="4"/>
  <c r="O23" i="4"/>
  <c r="P23" i="4"/>
  <c r="G23" i="4"/>
  <c r="H22" i="4"/>
  <c r="I22" i="4"/>
  <c r="J22" i="4"/>
  <c r="K22" i="4"/>
  <c r="L22" i="4"/>
  <c r="M22" i="4"/>
  <c r="N22" i="4"/>
  <c r="O22" i="4"/>
  <c r="P22" i="4"/>
  <c r="G22" i="4"/>
  <c r="H21" i="4"/>
  <c r="I21" i="4"/>
  <c r="J21" i="4"/>
  <c r="K21" i="4"/>
  <c r="L21" i="4"/>
  <c r="M21" i="4"/>
  <c r="N21" i="4"/>
  <c r="O21" i="4"/>
  <c r="P21" i="4"/>
  <c r="G21" i="4"/>
  <c r="Q24" i="7"/>
  <c r="Q25" i="7"/>
  <c r="Q26" i="7"/>
  <c r="Q27" i="7"/>
  <c r="Q28" i="7"/>
  <c r="Q29" i="7"/>
  <c r="Q30" i="7"/>
  <c r="Q31" i="7"/>
  <c r="Q32" i="7"/>
  <c r="Q33" i="7"/>
  <c r="Q23" i="7"/>
  <c r="P24" i="7"/>
  <c r="P25" i="7"/>
  <c r="P26" i="7"/>
  <c r="P27" i="7"/>
  <c r="P28" i="7"/>
  <c r="P29" i="7"/>
  <c r="P30" i="7"/>
  <c r="P31" i="7"/>
  <c r="P32" i="7"/>
  <c r="P33" i="7"/>
  <c r="P23" i="7"/>
  <c r="C31" i="7"/>
  <c r="C30" i="7"/>
  <c r="C29" i="7"/>
  <c r="C28" i="7"/>
  <c r="C27" i="7"/>
  <c r="C26" i="7"/>
  <c r="C25" i="7"/>
  <c r="C24" i="7"/>
  <c r="C23" i="7"/>
  <c r="P84" i="11"/>
  <c r="N84" i="11"/>
  <c r="P101" i="11"/>
  <c r="P134" i="11"/>
  <c r="P123" i="11"/>
  <c r="P117" i="11"/>
  <c r="N115" i="11"/>
  <c r="N112" i="11"/>
  <c r="N113" i="11"/>
  <c r="N111" i="11"/>
  <c r="N117" i="11"/>
  <c r="P106" i="11"/>
  <c r="N106" i="11"/>
  <c r="N101" i="11"/>
  <c r="N93" i="11"/>
  <c r="P88" i="11"/>
  <c r="P94" i="11" s="1"/>
  <c r="N88" i="11"/>
  <c r="N74" i="11"/>
  <c r="N69" i="11"/>
  <c r="P69" i="11" s="1"/>
  <c r="P73" i="11" s="1"/>
  <c r="N70" i="11"/>
  <c r="N71" i="11"/>
  <c r="N72" i="11"/>
  <c r="N73" i="11"/>
  <c r="N68" i="11"/>
  <c r="N65" i="11"/>
  <c r="N66" i="11"/>
  <c r="P66" i="11" s="1"/>
  <c r="N64" i="11"/>
  <c r="P60" i="11"/>
  <c r="P62" i="11" s="1"/>
  <c r="N62" i="11"/>
  <c r="N61" i="11"/>
  <c r="N60" i="11"/>
  <c r="P58" i="11"/>
  <c r="N58" i="11"/>
  <c r="N57" i="11"/>
  <c r="N56" i="11"/>
  <c r="N55" i="11"/>
  <c r="P53" i="11"/>
  <c r="N47" i="11"/>
  <c r="N48" i="11"/>
  <c r="N49" i="11"/>
  <c r="N50" i="11"/>
  <c r="N51" i="11"/>
  <c r="N52" i="11"/>
  <c r="N53" i="11"/>
  <c r="N46" i="11"/>
  <c r="CK61" i="5"/>
  <c r="CJ61" i="5"/>
  <c r="CI61" i="5"/>
  <c r="CH61" i="5"/>
  <c r="CK60" i="5" a="1"/>
  <c r="CK60" i="5" s="1"/>
  <c r="CJ60" i="5" a="1"/>
  <c r="CJ60" i="5" s="1"/>
  <c r="CI60" i="5" a="1"/>
  <c r="CI60" i="5" s="1"/>
  <c r="CH60" i="5" a="1"/>
  <c r="CH60" i="5" s="1"/>
  <c r="CK59" i="5" a="1"/>
  <c r="CK59" i="5" s="1"/>
  <c r="CJ59" i="5" a="1"/>
  <c r="CJ59" i="5" s="1"/>
  <c r="CI59" i="5" a="1"/>
  <c r="CI59" i="5" s="1"/>
  <c r="CH59" i="5" a="1"/>
  <c r="CH59" i="5" s="1"/>
  <c r="CK58" i="5" a="1"/>
  <c r="CK58" i="5" s="1"/>
  <c r="CJ58" i="5" a="1"/>
  <c r="CJ58" i="5" s="1"/>
  <c r="CI58" i="5" a="1"/>
  <c r="CI58" i="5" s="1"/>
  <c r="CH58" i="5" a="1"/>
  <c r="CH58" i="5" s="1"/>
  <c r="CK57" i="5" a="1"/>
  <c r="CK57" i="5" s="1"/>
  <c r="CJ57" i="5" a="1"/>
  <c r="CJ57" i="5" s="1"/>
  <c r="CI57" i="5" a="1"/>
  <c r="CI57" i="5" s="1"/>
  <c r="CH57" i="5" a="1"/>
  <c r="CH57" i="5" s="1"/>
  <c r="CK56" i="5" a="1"/>
  <c r="CK56" i="5" s="1"/>
  <c r="CJ56" i="5" a="1"/>
  <c r="CJ56" i="5" s="1"/>
  <c r="CI56" i="5" a="1"/>
  <c r="CI56" i="5" s="1"/>
  <c r="CH56" i="5" a="1"/>
  <c r="CH56" i="5" s="1"/>
  <c r="CK43" i="5"/>
  <c r="CJ43" i="5"/>
  <c r="CI43" i="5"/>
  <c r="CH43" i="5"/>
  <c r="CK42" i="5"/>
  <c r="CJ42" i="5"/>
  <c r="CI42" i="5"/>
  <c r="CH42" i="5"/>
  <c r="CK41" i="5"/>
  <c r="CJ41" i="5"/>
  <c r="CI41" i="5"/>
  <c r="CH41" i="5"/>
  <c r="CK40" i="5"/>
  <c r="CJ40" i="5"/>
  <c r="CI40" i="5"/>
  <c r="CH40" i="5"/>
  <c r="CK39" i="5"/>
  <c r="CJ39" i="5"/>
  <c r="CI39" i="5"/>
  <c r="CH39" i="5"/>
  <c r="H22" i="10"/>
  <c r="I22" i="10"/>
  <c r="J22" i="10"/>
  <c r="K22" i="10"/>
  <c r="L22" i="10"/>
  <c r="M22" i="10"/>
  <c r="N22" i="10"/>
  <c r="O22" i="10"/>
  <c r="P22" i="10"/>
  <c r="G22" i="10"/>
  <c r="H21" i="10"/>
  <c r="I21" i="10"/>
  <c r="J21" i="10"/>
  <c r="K21" i="10"/>
  <c r="L21" i="10"/>
  <c r="M21" i="10"/>
  <c r="N21" i="10"/>
  <c r="O21" i="10"/>
  <c r="P21" i="10"/>
  <c r="G21" i="10"/>
  <c r="H17" i="10"/>
  <c r="I17" i="10"/>
  <c r="J17" i="10"/>
  <c r="K17" i="10"/>
  <c r="L17" i="10"/>
  <c r="M17" i="10"/>
  <c r="N17" i="10"/>
  <c r="O17" i="10"/>
  <c r="P17" i="10"/>
  <c r="G17" i="10"/>
  <c r="P140" i="11" l="1"/>
  <c r="P74" i="11"/>
  <c r="I17" i="6"/>
  <c r="I16" i="6"/>
  <c r="H15" i="6"/>
  <c r="H14" i="6"/>
  <c r="G13" i="6"/>
  <c r="H12" i="6"/>
  <c r="F52" i="10"/>
  <c r="F55" i="10"/>
  <c r="F57" i="10"/>
  <c r="F58" i="10"/>
  <c r="F31" i="10"/>
  <c r="F32" i="10"/>
  <c r="F33" i="10"/>
  <c r="F34" i="10"/>
  <c r="F35" i="10"/>
  <c r="F36" i="10"/>
  <c r="F37" i="10"/>
  <c r="F38" i="10"/>
  <c r="F39" i="10"/>
  <c r="F40" i="10"/>
  <c r="F43" i="10"/>
  <c r="F45" i="10"/>
  <c r="F4" i="10"/>
  <c r="G5" i="10"/>
  <c r="F6" i="10"/>
  <c r="F11" i="10"/>
  <c r="F12" i="10"/>
  <c r="F17" i="10"/>
  <c r="F18" i="10"/>
  <c r="F19" i="10"/>
  <c r="F20" i="10"/>
  <c r="F21" i="10"/>
  <c r="F23" i="10"/>
  <c r="F24" i="10"/>
  <c r="F25" i="10"/>
  <c r="G45" i="10" l="1"/>
  <c r="F41" i="10"/>
  <c r="G55" i="10"/>
  <c r="G60" i="10"/>
  <c r="G53" i="10"/>
  <c r="F13" i="10"/>
  <c r="G4" i="10"/>
  <c r="G6" i="10"/>
  <c r="G57" i="10" s="1"/>
  <c r="G58" i="10" s="1"/>
  <c r="H5" i="10"/>
  <c r="G8" i="10"/>
  <c r="F54" i="10" l="1"/>
  <c r="H55" i="10"/>
  <c r="H53" i="10"/>
  <c r="H60" i="10"/>
  <c r="H45" i="10"/>
  <c r="H8" i="10"/>
  <c r="H4" i="10"/>
  <c r="I5" i="10"/>
  <c r="H6" i="10"/>
  <c r="H57" i="10" s="1"/>
  <c r="H58" i="10" s="1"/>
  <c r="I53" i="10" l="1"/>
  <c r="I55" i="10"/>
  <c r="I60" i="10"/>
  <c r="I45" i="10"/>
  <c r="J5" i="10"/>
  <c r="I8" i="10"/>
  <c r="I6" i="10"/>
  <c r="I57" i="10" s="1"/>
  <c r="I58" i="10" s="1"/>
  <c r="I4" i="10"/>
  <c r="J53" i="10" l="1"/>
  <c r="J60" i="10"/>
  <c r="J55" i="10"/>
  <c r="J45" i="10"/>
  <c r="K5" i="10"/>
  <c r="J8" i="10"/>
  <c r="J4" i="10"/>
  <c r="J6" i="10"/>
  <c r="J57" i="10" s="1"/>
  <c r="J58" i="10" s="1"/>
  <c r="K53" i="10" l="1"/>
  <c r="K60" i="10"/>
  <c r="K55" i="10"/>
  <c r="K45" i="10"/>
  <c r="L5" i="10"/>
  <c r="K6" i="10"/>
  <c r="K57" i="10" s="1"/>
  <c r="K58" i="10" s="1"/>
  <c r="K4" i="10"/>
  <c r="K8" i="10"/>
  <c r="L55" i="10" l="1"/>
  <c r="L53" i="10"/>
  <c r="L60" i="10"/>
  <c r="L45" i="10"/>
  <c r="L8" i="10"/>
  <c r="M5" i="10"/>
  <c r="L6" i="10"/>
  <c r="L57" i="10" s="1"/>
  <c r="L58" i="10" s="1"/>
  <c r="L4" i="10"/>
  <c r="M55" i="10" l="1"/>
  <c r="M53" i="10"/>
  <c r="M60" i="10"/>
  <c r="M45" i="10"/>
  <c r="M6" i="10"/>
  <c r="M57" i="10" s="1"/>
  <c r="M58" i="10" s="1"/>
  <c r="N5" i="10"/>
  <c r="M8" i="10"/>
  <c r="M4" i="10"/>
  <c r="N60" i="10" l="1"/>
  <c r="N55" i="10"/>
  <c r="N53" i="10"/>
  <c r="N45" i="10"/>
  <c r="N4" i="10"/>
  <c r="N6" i="10"/>
  <c r="N57" i="10" s="1"/>
  <c r="N58" i="10" s="1"/>
  <c r="N8" i="10"/>
  <c r="O5" i="10"/>
  <c r="O55" i="10" l="1"/>
  <c r="O60" i="10"/>
  <c r="O53" i="10"/>
  <c r="O45" i="10"/>
  <c r="O4" i="10"/>
  <c r="O6" i="10"/>
  <c r="O57" i="10" s="1"/>
  <c r="O58" i="10" s="1"/>
  <c r="O8" i="10"/>
  <c r="P5" i="10"/>
  <c r="P55" i="10" l="1"/>
  <c r="P53" i="10"/>
  <c r="P60" i="10"/>
  <c r="P45" i="10"/>
  <c r="P8" i="10"/>
  <c r="P4" i="10"/>
  <c r="P6" i="10"/>
  <c r="P57" i="10" s="1"/>
  <c r="P58" i="10" s="1"/>
  <c r="Q5" i="10"/>
  <c r="Q53" i="10" l="1"/>
  <c r="Q55" i="10"/>
  <c r="Q60" i="10"/>
  <c r="Q45" i="10"/>
  <c r="R5" i="10"/>
  <c r="Q8" i="10"/>
  <c r="Q6" i="10"/>
  <c r="Q57" i="10" s="1"/>
  <c r="Q58" i="10" s="1"/>
  <c r="Q4" i="10"/>
  <c r="R53" i="10" l="1"/>
  <c r="R55" i="10"/>
  <c r="R60" i="10"/>
  <c r="R45" i="10"/>
  <c r="S5" i="10"/>
  <c r="R8" i="10"/>
  <c r="R4" i="10"/>
  <c r="R6" i="10"/>
  <c r="R57" i="10" s="1"/>
  <c r="R58" i="10" s="1"/>
  <c r="S53" i="10" l="1"/>
  <c r="S60" i="10"/>
  <c r="S55" i="10"/>
  <c r="S45" i="10"/>
  <c r="T5" i="10"/>
  <c r="S8" i="10"/>
  <c r="S6" i="10"/>
  <c r="S57" i="10" s="1"/>
  <c r="S58" i="10" s="1"/>
  <c r="S4" i="10"/>
  <c r="T60" i="10" l="1"/>
  <c r="T55" i="10"/>
  <c r="T53" i="10"/>
  <c r="T45" i="10"/>
  <c r="T8" i="10"/>
  <c r="T4" i="10"/>
  <c r="U5" i="10"/>
  <c r="T6" i="10"/>
  <c r="T57" i="10" s="1"/>
  <c r="T58" i="10" s="1"/>
  <c r="U60" i="10" l="1"/>
  <c r="U53" i="10"/>
  <c r="U55" i="10"/>
  <c r="U45" i="10"/>
  <c r="U6" i="10"/>
  <c r="U57" i="10" s="1"/>
  <c r="U58" i="10" s="1"/>
  <c r="V5" i="10"/>
  <c r="U4" i="10"/>
  <c r="U8" i="10"/>
  <c r="V60" i="10" l="1"/>
  <c r="V53" i="10"/>
  <c r="V55" i="10"/>
  <c r="V45" i="10"/>
  <c r="V4" i="10"/>
  <c r="V6" i="10"/>
  <c r="V57" i="10" s="1"/>
  <c r="V58" i="10" s="1"/>
  <c r="V8" i="10"/>
  <c r="W5" i="10"/>
  <c r="W55" i="10" l="1"/>
  <c r="W53" i="10"/>
  <c r="W60" i="10"/>
  <c r="W45" i="10"/>
  <c r="W4" i="10"/>
  <c r="W6" i="10"/>
  <c r="W57" i="10" s="1"/>
  <c r="W58" i="10" s="1"/>
  <c r="X5" i="10"/>
  <c r="W8" i="10"/>
  <c r="X55" i="10" l="1"/>
  <c r="X53" i="10"/>
  <c r="X60" i="10"/>
  <c r="X45" i="10"/>
  <c r="X8" i="10"/>
  <c r="X4" i="10"/>
  <c r="Y5" i="10"/>
  <c r="X6" i="10"/>
  <c r="X57" i="10" s="1"/>
  <c r="X58" i="10" s="1"/>
  <c r="Y53" i="10" l="1"/>
  <c r="Y55" i="10"/>
  <c r="Y60" i="10"/>
  <c r="Y45" i="10"/>
  <c r="Z5" i="10"/>
  <c r="Y8" i="10"/>
  <c r="Y6" i="10"/>
  <c r="Y57" i="10" s="1"/>
  <c r="Y58" i="10" s="1"/>
  <c r="Y4" i="10"/>
  <c r="Z53" i="10" l="1"/>
  <c r="Z55" i="10"/>
  <c r="Z60" i="10"/>
  <c r="Z45" i="10"/>
  <c r="AA5" i="10"/>
  <c r="Z8" i="10"/>
  <c r="Z4" i="10"/>
  <c r="Z6" i="10"/>
  <c r="Z57" i="10" s="1"/>
  <c r="Z58" i="10" s="1"/>
  <c r="AA53" i="10" l="1"/>
  <c r="AA55" i="10"/>
  <c r="AA60" i="10"/>
  <c r="AA45" i="10"/>
  <c r="AB5" i="10"/>
  <c r="AA6" i="10"/>
  <c r="AA57" i="10" s="1"/>
  <c r="AA58" i="10" s="1"/>
  <c r="AA4" i="10"/>
  <c r="AA8" i="10"/>
  <c r="AB60" i="10" l="1"/>
  <c r="AB53" i="10"/>
  <c r="AB55" i="10"/>
  <c r="AB45" i="10"/>
  <c r="AB8" i="10"/>
  <c r="AB4" i="10"/>
  <c r="AC5" i="10"/>
  <c r="AB6" i="10"/>
  <c r="AB57" i="10" s="1"/>
  <c r="AB58" i="10" s="1"/>
  <c r="AC60" i="10" l="1"/>
  <c r="AC53" i="10"/>
  <c r="AC55" i="10"/>
  <c r="AC45" i="10"/>
  <c r="AC6" i="10"/>
  <c r="AC57" i="10" s="1"/>
  <c r="AC58" i="10" s="1"/>
  <c r="AD5" i="10"/>
  <c r="AC8" i="10"/>
  <c r="AC4" i="10"/>
  <c r="AD60" i="10" l="1"/>
  <c r="AD53" i="10"/>
  <c r="AD55" i="10"/>
  <c r="AD45" i="10"/>
  <c r="AD4" i="10"/>
  <c r="AD6" i="10"/>
  <c r="AD57" i="10" s="1"/>
  <c r="AD58" i="10" s="1"/>
  <c r="AD8" i="10"/>
  <c r="AE5" i="10"/>
  <c r="AE55" i="10" l="1"/>
  <c r="AE60" i="10"/>
  <c r="AE53" i="10"/>
  <c r="AE45" i="10"/>
  <c r="AE4" i="10"/>
  <c r="AE6" i="10"/>
  <c r="AE57" i="10" s="1"/>
  <c r="AE58" i="10" s="1"/>
  <c r="AE8" i="10"/>
  <c r="AF5" i="10"/>
  <c r="AF55" i="10" l="1"/>
  <c r="AF53" i="10"/>
  <c r="AF60" i="10"/>
  <c r="AF45" i="10"/>
  <c r="AF8" i="10"/>
  <c r="AF4" i="10"/>
  <c r="AF6" i="10"/>
  <c r="AF57" i="10" s="1"/>
  <c r="AF58" i="10" s="1"/>
  <c r="AG5" i="10"/>
  <c r="AG53" i="10" l="1"/>
  <c r="AG55" i="10"/>
  <c r="AG60" i="10"/>
  <c r="AG45" i="10"/>
  <c r="AH5" i="10"/>
  <c r="AG8" i="10"/>
  <c r="AG6" i="10"/>
  <c r="AG57" i="10" s="1"/>
  <c r="AG58" i="10" s="1"/>
  <c r="AG4" i="10"/>
  <c r="AH53" i="10" l="1"/>
  <c r="AH60" i="10"/>
  <c r="AH55" i="10"/>
  <c r="AH45" i="10"/>
  <c r="AI5" i="10"/>
  <c r="AH8" i="10"/>
  <c r="AH4" i="10"/>
  <c r="AH6" i="10"/>
  <c r="AH57" i="10" s="1"/>
  <c r="AH58" i="10" s="1"/>
  <c r="AI53" i="10" l="1"/>
  <c r="AI55" i="10"/>
  <c r="AI60" i="10"/>
  <c r="AI45" i="10"/>
  <c r="AJ5" i="10"/>
  <c r="AI8" i="10"/>
  <c r="AI6" i="10"/>
  <c r="AI57" i="10" s="1"/>
  <c r="AI58" i="10" s="1"/>
  <c r="AI4" i="10"/>
  <c r="AJ55" i="10" l="1"/>
  <c r="AJ60" i="10"/>
  <c r="AJ53" i="10"/>
  <c r="AJ45" i="10"/>
  <c r="AJ8" i="10"/>
  <c r="AJ4" i="10"/>
  <c r="AK5" i="10"/>
  <c r="AJ6" i="10"/>
  <c r="AJ57" i="10" s="1"/>
  <c r="AJ58" i="10" s="1"/>
  <c r="AK55" i="10" l="1"/>
  <c r="AK60" i="10"/>
  <c r="AK53" i="10"/>
  <c r="AK45" i="10"/>
  <c r="AK6" i="10"/>
  <c r="AK57" i="10" s="1"/>
  <c r="AK58" i="10" s="1"/>
  <c r="AL5" i="10"/>
  <c r="AK4" i="10"/>
  <c r="AK8" i="10"/>
  <c r="AL60" i="10" l="1"/>
  <c r="AL55" i="10"/>
  <c r="AL53" i="10"/>
  <c r="AL45" i="10"/>
  <c r="AL4" i="10"/>
  <c r="AL6" i="10"/>
  <c r="AL57" i="10" s="1"/>
  <c r="AL58" i="10" s="1"/>
  <c r="AL8" i="10"/>
  <c r="AM5" i="10"/>
  <c r="AM55" i="10" l="1"/>
  <c r="AM53" i="10"/>
  <c r="AM60" i="10"/>
  <c r="AM45" i="10"/>
  <c r="AM4" i="10"/>
  <c r="AM6" i="10"/>
  <c r="AM57" i="10" s="1"/>
  <c r="AM58" i="10" s="1"/>
  <c r="AN5" i="10"/>
  <c r="AM8" i="10"/>
  <c r="AN55" i="10" l="1"/>
  <c r="AN53" i="10"/>
  <c r="AN60" i="10"/>
  <c r="AN45" i="10"/>
  <c r="AN8" i="10"/>
  <c r="AN4" i="10"/>
  <c r="AO5" i="10"/>
  <c r="AN6" i="10"/>
  <c r="AN57" i="10" s="1"/>
  <c r="AN58" i="10" s="1"/>
  <c r="AO53" i="10" l="1"/>
  <c r="AO55" i="10"/>
  <c r="AO60" i="10"/>
  <c r="AO45" i="10"/>
  <c r="AP5" i="10"/>
  <c r="AO8" i="10"/>
  <c r="AO6" i="10"/>
  <c r="AO57" i="10" s="1"/>
  <c r="AO58" i="10" s="1"/>
  <c r="AO4" i="10"/>
  <c r="AP53" i="10" l="1"/>
  <c r="AP55" i="10"/>
  <c r="AP45" i="10"/>
  <c r="AQ5" i="10"/>
  <c r="AP8" i="10"/>
  <c r="AP4" i="10"/>
  <c r="AP6" i="10"/>
  <c r="AP57" i="10" s="1"/>
  <c r="AP58" i="10" s="1"/>
  <c r="AQ53" i="10" l="1"/>
  <c r="AQ55" i="10"/>
  <c r="AQ60" i="10"/>
  <c r="AQ45" i="10"/>
  <c r="AR5" i="10"/>
  <c r="AQ6" i="10"/>
  <c r="AQ57" i="10" s="1"/>
  <c r="AQ58" i="10" s="1"/>
  <c r="AQ4" i="10"/>
  <c r="AQ8" i="10"/>
  <c r="AR53" i="10" l="1"/>
  <c r="AR55" i="10"/>
  <c r="AR60" i="10"/>
  <c r="AR45" i="10"/>
  <c r="AR8" i="10"/>
  <c r="AS5" i="10"/>
  <c r="AR6" i="10"/>
  <c r="AR57" i="10" s="1"/>
  <c r="AR58" i="10" s="1"/>
  <c r="AR4" i="10"/>
  <c r="AS53" i="10" l="1"/>
  <c r="AS60" i="10"/>
  <c r="AS55" i="10"/>
  <c r="AS45" i="10"/>
  <c r="AS6" i="10"/>
  <c r="AS57" i="10" s="1"/>
  <c r="AS58" i="10" s="1"/>
  <c r="AT5" i="10"/>
  <c r="AS8" i="10"/>
  <c r="AS4" i="10"/>
  <c r="AT60" i="10" l="1"/>
  <c r="AT53" i="10"/>
  <c r="AT55" i="10"/>
  <c r="AT45" i="10"/>
  <c r="AT4" i="10"/>
  <c r="AT6" i="10"/>
  <c r="AT57" i="10" s="1"/>
  <c r="AT58" i="10" s="1"/>
  <c r="AT8" i="10"/>
  <c r="AU5" i="10"/>
  <c r="AU55" i="10" l="1"/>
  <c r="AU60" i="10"/>
  <c r="AU53" i="10"/>
  <c r="AU45" i="10"/>
  <c r="AU4" i="10"/>
  <c r="AU6" i="10"/>
  <c r="AU57" i="10" s="1"/>
  <c r="AU58" i="10" s="1"/>
  <c r="AU8" i="10"/>
  <c r="AV5" i="10"/>
  <c r="G5" i="4"/>
  <c r="F6" i="4"/>
  <c r="D15" i="4"/>
  <c r="CK96" i="5"/>
  <c r="CJ96" i="5"/>
  <c r="CI96" i="5"/>
  <c r="CH96" i="5"/>
  <c r="CK95" i="5"/>
  <c r="CJ95" i="5"/>
  <c r="CI95" i="5"/>
  <c r="CH95" i="5"/>
  <c r="CK94" i="5"/>
  <c r="CJ94" i="5"/>
  <c r="CI94" i="5"/>
  <c r="CH94" i="5"/>
  <c r="CK93" i="5"/>
  <c r="CJ93" i="5"/>
  <c r="CI93" i="5"/>
  <c r="CH93" i="5"/>
  <c r="CK92" i="5"/>
  <c r="CJ92" i="5"/>
  <c r="CI92" i="5"/>
  <c r="CH92" i="5"/>
  <c r="CK91" i="5"/>
  <c r="CJ91" i="5"/>
  <c r="CI91" i="5"/>
  <c r="CH91" i="5"/>
  <c r="CK90" i="5"/>
  <c r="CJ90" i="5"/>
  <c r="CI90" i="5"/>
  <c r="CH90" i="5"/>
  <c r="CK89" i="5"/>
  <c r="CJ89" i="5"/>
  <c r="CI89" i="5"/>
  <c r="CH89" i="5"/>
  <c r="CK88" i="5"/>
  <c r="CJ88" i="5"/>
  <c r="CI88" i="5"/>
  <c r="CH88" i="5"/>
  <c r="CK87" i="5"/>
  <c r="CJ87" i="5"/>
  <c r="CI87" i="5"/>
  <c r="CH87" i="5"/>
  <c r="CK86" i="5"/>
  <c r="CJ86" i="5"/>
  <c r="CI86" i="5"/>
  <c r="CH86" i="5"/>
  <c r="CK85" i="5"/>
  <c r="CJ85" i="5"/>
  <c r="CI85" i="5"/>
  <c r="CH85" i="5"/>
  <c r="CK84" i="5"/>
  <c r="CJ84" i="5"/>
  <c r="CI84" i="5"/>
  <c r="CH84" i="5"/>
  <c r="CK83" i="5"/>
  <c r="CJ83" i="5"/>
  <c r="CI83" i="5"/>
  <c r="CH83" i="5"/>
  <c r="CK82" i="5"/>
  <c r="CJ82" i="5"/>
  <c r="CI82" i="5"/>
  <c r="CH82" i="5"/>
  <c r="CK67" i="5" a="1"/>
  <c r="CK67" i="5" s="1"/>
  <c r="CJ67" i="5" a="1"/>
  <c r="CJ67" i="5" s="1"/>
  <c r="CI67" i="5" a="1"/>
  <c r="CI67" i="5" s="1"/>
  <c r="CH67" i="5" a="1"/>
  <c r="CH67" i="5" s="1"/>
  <c r="CH29" i="5"/>
  <c r="CI29" i="5"/>
  <c r="CJ29" i="5"/>
  <c r="CK29" i="5"/>
  <c r="CH30" i="5"/>
  <c r="CI30" i="5"/>
  <c r="CJ30" i="5"/>
  <c r="CK30" i="5"/>
  <c r="CH31" i="5"/>
  <c r="CI31" i="5"/>
  <c r="CJ31" i="5"/>
  <c r="CK31" i="5"/>
  <c r="CH32" i="5"/>
  <c r="CI32" i="5"/>
  <c r="CJ32" i="5"/>
  <c r="CK32" i="5"/>
  <c r="CH33" i="5"/>
  <c r="CI33" i="5"/>
  <c r="CJ33" i="5"/>
  <c r="CK33" i="5"/>
  <c r="CH34" i="5"/>
  <c r="CI34" i="5"/>
  <c r="CJ34" i="5"/>
  <c r="CK34" i="5"/>
  <c r="CH35" i="5"/>
  <c r="CI35" i="5"/>
  <c r="CJ35" i="5"/>
  <c r="CK35" i="5"/>
  <c r="CH36" i="5"/>
  <c r="CI36" i="5"/>
  <c r="CJ36" i="5"/>
  <c r="CK36" i="5"/>
  <c r="CH37" i="5"/>
  <c r="CI37" i="5"/>
  <c r="CJ37" i="5"/>
  <c r="CK37" i="5"/>
  <c r="CH38" i="5"/>
  <c r="CI38" i="5"/>
  <c r="CJ38" i="5"/>
  <c r="CK38" i="5"/>
  <c r="CH46" i="5" a="1"/>
  <c r="CH46" i="5" s="1"/>
  <c r="CI46" i="5" a="1"/>
  <c r="CI46" i="5" s="1"/>
  <c r="CJ46" i="5" a="1"/>
  <c r="CJ46" i="5" s="1"/>
  <c r="CK46" i="5" a="1"/>
  <c r="CK46" i="5" s="1"/>
  <c r="CH47" i="5" a="1"/>
  <c r="CH47" i="5" s="1"/>
  <c r="CI47" i="5" a="1"/>
  <c r="CI47" i="5" s="1"/>
  <c r="CJ47" i="5" a="1"/>
  <c r="CJ47" i="5" s="1"/>
  <c r="CK47" i="5" a="1"/>
  <c r="CK47" i="5" s="1"/>
  <c r="CH48" i="5" a="1"/>
  <c r="CH48" i="5" s="1"/>
  <c r="CI48" i="5" a="1"/>
  <c r="CI48" i="5" s="1"/>
  <c r="CJ48" i="5" a="1"/>
  <c r="CJ48" i="5" s="1"/>
  <c r="CK48" i="5" a="1"/>
  <c r="CK48" i="5" s="1"/>
  <c r="CH49" i="5" a="1"/>
  <c r="CH49" i="5" s="1"/>
  <c r="CI49" i="5" a="1"/>
  <c r="CI49" i="5" s="1"/>
  <c r="CJ49" i="5" a="1"/>
  <c r="CJ49" i="5" s="1"/>
  <c r="CK49" i="5" a="1"/>
  <c r="CK49" i="5" s="1"/>
  <c r="CH50" i="5" a="1"/>
  <c r="CH50" i="5" s="1"/>
  <c r="CI50" i="5" a="1"/>
  <c r="CI50" i="5" s="1"/>
  <c r="CJ50" i="5" a="1"/>
  <c r="CJ50" i="5" s="1"/>
  <c r="CK50" i="5" a="1"/>
  <c r="CK50" i="5" s="1"/>
  <c r="CH51" i="5" a="1"/>
  <c r="CH51" i="5" s="1"/>
  <c r="CI51" i="5" a="1"/>
  <c r="CI51" i="5" s="1"/>
  <c r="CJ51" i="5" a="1"/>
  <c r="CJ51" i="5" s="1"/>
  <c r="CK51" i="5" a="1"/>
  <c r="CK51" i="5" s="1"/>
  <c r="CH52" i="5" a="1"/>
  <c r="CH52" i="5" s="1"/>
  <c r="CI52" i="5" a="1"/>
  <c r="CI52" i="5" s="1"/>
  <c r="CJ52" i="5" a="1"/>
  <c r="CJ52" i="5" s="1"/>
  <c r="CK52" i="5" a="1"/>
  <c r="CK52" i="5" s="1"/>
  <c r="CH53" i="5" a="1"/>
  <c r="CH53" i="5" s="1"/>
  <c r="CI53" i="5" a="1"/>
  <c r="CI53" i="5" s="1"/>
  <c r="CJ53" i="5" a="1"/>
  <c r="CJ53" i="5" s="1"/>
  <c r="CK53" i="5" a="1"/>
  <c r="CK53" i="5" s="1"/>
  <c r="CH54" i="5" a="1"/>
  <c r="CH54" i="5" s="1"/>
  <c r="CI54" i="5" a="1"/>
  <c r="CI54" i="5" s="1"/>
  <c r="CJ54" i="5" a="1"/>
  <c r="CJ54" i="5" s="1"/>
  <c r="CK54" i="5" a="1"/>
  <c r="CK54" i="5" s="1"/>
  <c r="CH55" i="5" a="1"/>
  <c r="CH55" i="5" s="1"/>
  <c r="CI55" i="5" a="1"/>
  <c r="CI55" i="5" s="1"/>
  <c r="CJ55" i="5" a="1"/>
  <c r="CJ55" i="5" s="1"/>
  <c r="CK55" i="5" a="1"/>
  <c r="CK55" i="5" s="1"/>
  <c r="N5" i="5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AG5" i="5" s="1"/>
  <c r="AH5" i="5" s="1"/>
  <c r="AI5" i="5" s="1"/>
  <c r="AJ5" i="5" s="1"/>
  <c r="AK5" i="5" s="1"/>
  <c r="AL5" i="5" s="1"/>
  <c r="AM5" i="5" s="1"/>
  <c r="AN5" i="5" s="1"/>
  <c r="AO5" i="5" s="1"/>
  <c r="AP5" i="5" s="1"/>
  <c r="AQ5" i="5" s="1"/>
  <c r="AR5" i="5" s="1"/>
  <c r="AS5" i="5" s="1"/>
  <c r="AT5" i="5" s="1"/>
  <c r="AU5" i="5" s="1"/>
  <c r="AV5" i="5" s="1"/>
  <c r="AW5" i="5" s="1"/>
  <c r="AX5" i="5" s="1"/>
  <c r="AY5" i="5" s="1"/>
  <c r="AZ5" i="5" s="1"/>
  <c r="BA5" i="5" s="1"/>
  <c r="BB5" i="5" s="1"/>
  <c r="BC5" i="5" s="1"/>
  <c r="BD5" i="5" s="1"/>
  <c r="BE5" i="5" s="1"/>
  <c r="BF5" i="5" s="1"/>
  <c r="BG5" i="5" s="1"/>
  <c r="BH5" i="5" s="1"/>
  <c r="BI5" i="5" s="1"/>
  <c r="BJ5" i="5" s="1"/>
  <c r="BK5" i="5" s="1"/>
  <c r="BL5" i="5" s="1"/>
  <c r="BM5" i="5" s="1"/>
  <c r="BN5" i="5" s="1"/>
  <c r="BO5" i="5" s="1"/>
  <c r="BP5" i="5" s="1"/>
  <c r="BQ5" i="5" s="1"/>
  <c r="BR5" i="5" s="1"/>
  <c r="BS5" i="5" s="1"/>
  <c r="BT5" i="5" s="1"/>
  <c r="BU5" i="5" s="1"/>
  <c r="BV5" i="5" s="1"/>
  <c r="BW5" i="5" s="1"/>
  <c r="BX5" i="5" s="1"/>
  <c r="BY5" i="5" s="1"/>
  <c r="BZ5" i="5" s="1"/>
  <c r="CA5" i="5" s="1"/>
  <c r="CB5" i="5" s="1"/>
  <c r="CC5" i="5" s="1"/>
  <c r="CD5" i="5" s="1"/>
  <c r="CE5" i="5" s="1"/>
  <c r="CF5" i="5" s="1"/>
  <c r="CG5" i="5" s="1"/>
  <c r="CG4" i="5" s="1"/>
  <c r="P21" i="3"/>
  <c r="M141" i="3"/>
  <c r="D141" i="3"/>
  <c r="P140" i="3"/>
  <c r="C14" i="7"/>
  <c r="D31" i="7" s="1"/>
  <c r="C15" i="7"/>
  <c r="C32" i="7" s="1"/>
  <c r="D32" i="7" s="1"/>
  <c r="G32" i="10" l="1"/>
  <c r="G34" i="10"/>
  <c r="G37" i="10"/>
  <c r="G31" i="10"/>
  <c r="G35" i="10"/>
  <c r="G39" i="10"/>
  <c r="G36" i="10"/>
  <c r="G38" i="10"/>
  <c r="G40" i="10"/>
  <c r="G33" i="10"/>
  <c r="H31" i="10"/>
  <c r="H35" i="10"/>
  <c r="H37" i="10"/>
  <c r="AV55" i="10"/>
  <c r="AV53" i="10"/>
  <c r="AV60" i="10"/>
  <c r="AV45" i="10"/>
  <c r="AV8" i="10"/>
  <c r="AV4" i="10"/>
  <c r="AV6" i="10"/>
  <c r="AV57" i="10" s="1"/>
  <c r="AV58" i="10" s="1"/>
  <c r="AW5" i="10"/>
  <c r="G6" i="4"/>
  <c r="G13" i="4"/>
  <c r="G19" i="10" s="1"/>
  <c r="G20" i="10" s="1"/>
  <c r="G4" i="4"/>
  <c r="H5" i="4"/>
  <c r="H33" i="10" s="1"/>
  <c r="CJ97" i="5"/>
  <c r="CI97" i="5"/>
  <c r="CH97" i="5"/>
  <c r="CK97" i="5"/>
  <c r="CK63" i="5"/>
  <c r="CK62" i="5"/>
  <c r="CJ63" i="5"/>
  <c r="CJ62" i="5"/>
  <c r="CK64" i="5"/>
  <c r="CJ64" i="5"/>
  <c r="CH64" i="5"/>
  <c r="CI64" i="5"/>
  <c r="CI63" i="5"/>
  <c r="CI62" i="5"/>
  <c r="CH63" i="5"/>
  <c r="CH62" i="5"/>
  <c r="CC4" i="5"/>
  <c r="CB4" i="5"/>
  <c r="CA4" i="5"/>
  <c r="CF4" i="5"/>
  <c r="BX4" i="5"/>
  <c r="BZ4" i="5"/>
  <c r="CE4" i="5"/>
  <c r="BW4" i="5"/>
  <c r="BY4" i="5"/>
  <c r="CD4" i="5"/>
  <c r="BV4" i="5"/>
  <c r="D26" i="5"/>
  <c r="D25" i="5"/>
  <c r="D22" i="5"/>
  <c r="D21" i="5"/>
  <c r="D20" i="5"/>
  <c r="D19" i="5"/>
  <c r="D18" i="5"/>
  <c r="D17" i="5"/>
  <c r="D16" i="5"/>
  <c r="D15" i="5"/>
  <c r="D14" i="5"/>
  <c r="D13" i="5"/>
  <c r="D12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L13" i="5"/>
  <c r="L30" i="5" s="1"/>
  <c r="L47" i="5" s="1"/>
  <c r="L14" i="5"/>
  <c r="L31" i="5" s="1"/>
  <c r="L48" i="5" s="1"/>
  <c r="L15" i="5"/>
  <c r="L32" i="5" s="1"/>
  <c r="L49" i="5" s="1"/>
  <c r="L16" i="5"/>
  <c r="L33" i="5" s="1"/>
  <c r="L50" i="5" s="1"/>
  <c r="L17" i="5"/>
  <c r="L34" i="5" s="1"/>
  <c r="L51" i="5" s="1"/>
  <c r="L18" i="5"/>
  <c r="L35" i="5" s="1"/>
  <c r="L52" i="5" s="1"/>
  <c r="L19" i="5"/>
  <c r="L36" i="5" s="1"/>
  <c r="L53" i="5" s="1"/>
  <c r="L20" i="5"/>
  <c r="L37" i="5" s="1"/>
  <c r="L54" i="5" s="1"/>
  <c r="L21" i="5"/>
  <c r="L38" i="5" s="1"/>
  <c r="L55" i="5" s="1"/>
  <c r="L22" i="5"/>
  <c r="L39" i="5" s="1"/>
  <c r="L56" i="5" s="1"/>
  <c r="L23" i="5"/>
  <c r="L40" i="5" s="1"/>
  <c r="L57" i="5" s="1"/>
  <c r="L24" i="5"/>
  <c r="L41" i="5" s="1"/>
  <c r="L58" i="5" s="1"/>
  <c r="L25" i="5"/>
  <c r="L42" i="5" s="1"/>
  <c r="L59" i="5" s="1"/>
  <c r="L26" i="5"/>
  <c r="L43" i="5" s="1"/>
  <c r="L60" i="5" s="1"/>
  <c r="L12" i="5"/>
  <c r="L29" i="5" s="1"/>
  <c r="L46" i="5" s="1"/>
  <c r="G13" i="5"/>
  <c r="G14" i="5"/>
  <c r="G15" i="5"/>
  <c r="G16" i="5"/>
  <c r="G17" i="5"/>
  <c r="G18" i="5"/>
  <c r="G19" i="5"/>
  <c r="G20" i="5"/>
  <c r="G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12" i="5"/>
  <c r="N4" i="5"/>
  <c r="M6" i="5"/>
  <c r="P164" i="3"/>
  <c r="C13" i="7" s="1"/>
  <c r="D30" i="7" s="1"/>
  <c r="P160" i="3"/>
  <c r="P155" i="3"/>
  <c r="P146" i="3"/>
  <c r="C12" i="7" s="1"/>
  <c r="D29" i="7" s="1"/>
  <c r="P145" i="3"/>
  <c r="P141" i="3"/>
  <c r="C11" i="7" s="1"/>
  <c r="D28" i="7" s="1"/>
  <c r="P137" i="3"/>
  <c r="P133" i="3"/>
  <c r="P126" i="3"/>
  <c r="C10" i="7" s="1"/>
  <c r="D27" i="7" s="1"/>
  <c r="P125" i="3"/>
  <c r="P122" i="3"/>
  <c r="P117" i="3"/>
  <c r="C9" i="7" s="1"/>
  <c r="D26" i="7" s="1"/>
  <c r="P116" i="3"/>
  <c r="P109" i="3"/>
  <c r="C8" i="7" s="1"/>
  <c r="D25" i="7" s="1"/>
  <c r="P108" i="3"/>
  <c r="P102" i="3"/>
  <c r="P95" i="3"/>
  <c r="P96" i="3"/>
  <c r="C7" i="7" s="1"/>
  <c r="D24" i="7" s="1"/>
  <c r="P88" i="3"/>
  <c r="C6" i="7" s="1"/>
  <c r="P87" i="3"/>
  <c r="P79" i="3"/>
  <c r="P74" i="3"/>
  <c r="P68" i="3"/>
  <c r="I21" i="1"/>
  <c r="J16" i="1"/>
  <c r="K16" i="1" s="1"/>
  <c r="L16" i="1" s="1"/>
  <c r="X24" i="5" l="1"/>
  <c r="AC24" i="5"/>
  <c r="AK24" i="5"/>
  <c r="AS24" i="5"/>
  <c r="BA24" i="5"/>
  <c r="BI24" i="5"/>
  <c r="BQ24" i="5"/>
  <c r="BY24" i="5"/>
  <c r="CG24" i="5"/>
  <c r="BM24" i="5"/>
  <c r="BV24" i="5"/>
  <c r="CF24" i="5"/>
  <c r="AD24" i="5"/>
  <c r="AL24" i="5"/>
  <c r="AT24" i="5"/>
  <c r="BB24" i="5"/>
  <c r="BJ24" i="5"/>
  <c r="BR24" i="5"/>
  <c r="BZ24" i="5"/>
  <c r="AF24" i="5"/>
  <c r="AV24" i="5"/>
  <c r="BL24" i="5"/>
  <c r="CB24" i="5"/>
  <c r="AG24" i="5"/>
  <c r="AW24" i="5"/>
  <c r="BU24" i="5"/>
  <c r="Z24" i="5"/>
  <c r="BF24" i="5"/>
  <c r="CD24" i="5"/>
  <c r="AE24" i="5"/>
  <c r="AM24" i="5"/>
  <c r="AU24" i="5"/>
  <c r="BC24" i="5"/>
  <c r="BK24" i="5"/>
  <c r="BS24" i="5"/>
  <c r="CA24" i="5"/>
  <c r="W24" i="5"/>
  <c r="AN24" i="5"/>
  <c r="BD24" i="5"/>
  <c r="BT24" i="5"/>
  <c r="Y24" i="5"/>
  <c r="AO24" i="5"/>
  <c r="BE24" i="5"/>
  <c r="CC24" i="5"/>
  <c r="AP24" i="5"/>
  <c r="BN24" i="5"/>
  <c r="AH24" i="5"/>
  <c r="AX24" i="5"/>
  <c r="AA24" i="5"/>
  <c r="AI24" i="5"/>
  <c r="AQ24" i="5"/>
  <c r="AY24" i="5"/>
  <c r="BG24" i="5"/>
  <c r="BO24" i="5"/>
  <c r="BW24" i="5"/>
  <c r="CE24" i="5"/>
  <c r="AB24" i="5"/>
  <c r="AJ24" i="5"/>
  <c r="AR24" i="5"/>
  <c r="AZ24" i="5"/>
  <c r="BH24" i="5"/>
  <c r="BX24" i="5"/>
  <c r="BP24" i="5"/>
  <c r="C28" i="5"/>
  <c r="H32" i="10"/>
  <c r="H40" i="10"/>
  <c r="H38" i="10"/>
  <c r="H34" i="10"/>
  <c r="H36" i="10"/>
  <c r="H39" i="10"/>
  <c r="M57" i="5" a="1"/>
  <c r="M57" i="5" s="1"/>
  <c r="M56" i="5" a="1"/>
  <c r="M56" i="5" s="1"/>
  <c r="M43" i="5"/>
  <c r="M42" i="5"/>
  <c r="M58" i="5" a="1"/>
  <c r="M58" i="5" s="1"/>
  <c r="M59" i="5" a="1"/>
  <c r="M59" i="5" s="1"/>
  <c r="M41" i="5"/>
  <c r="M39" i="5"/>
  <c r="M60" i="5" a="1"/>
  <c r="M60" i="5" s="1"/>
  <c r="M40" i="5"/>
  <c r="G23" i="10"/>
  <c r="AW53" i="10"/>
  <c r="AW55" i="10"/>
  <c r="AW60" i="10"/>
  <c r="AW45" i="10"/>
  <c r="AX5" i="10"/>
  <c r="AW8" i="10"/>
  <c r="AW6" i="10"/>
  <c r="AW57" i="10" s="1"/>
  <c r="AW58" i="10" s="1"/>
  <c r="AW4" i="10"/>
  <c r="G15" i="4"/>
  <c r="H6" i="4"/>
  <c r="H4" i="4"/>
  <c r="H15" i="4" s="1"/>
  <c r="H13" i="4"/>
  <c r="H19" i="10" s="1"/>
  <c r="H20" i="10" s="1"/>
  <c r="I5" i="4"/>
  <c r="I31" i="10" s="1"/>
  <c r="M96" i="5"/>
  <c r="M88" i="5"/>
  <c r="M85" i="5"/>
  <c r="M95" i="5"/>
  <c r="M87" i="5"/>
  <c r="M93" i="5"/>
  <c r="M92" i="5"/>
  <c r="M84" i="5"/>
  <c r="M94" i="5"/>
  <c r="M86" i="5"/>
  <c r="M83" i="5"/>
  <c r="M90" i="5"/>
  <c r="M89" i="5"/>
  <c r="M82" i="5"/>
  <c r="CC6" i="5"/>
  <c r="CB6" i="5"/>
  <c r="BW6" i="5"/>
  <c r="BV6" i="5"/>
  <c r="CG6" i="5"/>
  <c r="BX6" i="5"/>
  <c r="CE6" i="5"/>
  <c r="CD6" i="5"/>
  <c r="CF6" i="5"/>
  <c r="BY6" i="5"/>
  <c r="CA6" i="5"/>
  <c r="BZ6" i="5"/>
  <c r="D23" i="7"/>
  <c r="D33" i="7" s="1"/>
  <c r="C33" i="7"/>
  <c r="F22" i="7"/>
  <c r="C16" i="7"/>
  <c r="D11" i="7" s="1"/>
  <c r="F21" i="7"/>
  <c r="M48" i="5" a="1"/>
  <c r="M48" i="5" s="1"/>
  <c r="M49" i="5" a="1"/>
  <c r="M49" i="5" s="1"/>
  <c r="M50" i="5" a="1"/>
  <c r="M50" i="5" s="1"/>
  <c r="M51" i="5" a="1"/>
  <c r="M51" i="5" s="1"/>
  <c r="M46" i="5" a="1"/>
  <c r="M46" i="5" s="1"/>
  <c r="M54" i="5" a="1"/>
  <c r="M54" i="5" s="1"/>
  <c r="M47" i="5" a="1"/>
  <c r="M47" i="5" s="1"/>
  <c r="M52" i="5" a="1"/>
  <c r="M52" i="5" s="1"/>
  <c r="M53" i="5" a="1"/>
  <c r="M53" i="5" s="1"/>
  <c r="M31" i="5"/>
  <c r="M34" i="5"/>
  <c r="M37" i="5"/>
  <c r="M32" i="5"/>
  <c r="M36" i="5"/>
  <c r="M30" i="5"/>
  <c r="M35" i="5"/>
  <c r="M33" i="5"/>
  <c r="M29" i="5"/>
  <c r="N6" i="5"/>
  <c r="J20" i="1"/>
  <c r="K20" i="1" s="1"/>
  <c r="L20" i="1" s="1"/>
  <c r="J19" i="1"/>
  <c r="K19" i="1" s="1"/>
  <c r="L19" i="1" s="1"/>
  <c r="J18" i="1"/>
  <c r="K18" i="1" s="1"/>
  <c r="L18" i="1" s="1"/>
  <c r="J17" i="1"/>
  <c r="K17" i="1" s="1"/>
  <c r="L17" i="1" s="1"/>
  <c r="J15" i="1"/>
  <c r="K15" i="1" s="1"/>
  <c r="L15" i="1" s="1"/>
  <c r="J14" i="1"/>
  <c r="K14" i="1" s="1"/>
  <c r="L14" i="1" s="1"/>
  <c r="J13" i="1"/>
  <c r="K13" i="1" s="1"/>
  <c r="L13" i="1" s="1"/>
  <c r="J12" i="1"/>
  <c r="K12" i="1" s="1"/>
  <c r="L12" i="1" s="1"/>
  <c r="J11" i="1"/>
  <c r="K11" i="1" s="1"/>
  <c r="L11" i="1" s="1"/>
  <c r="J10" i="1"/>
  <c r="K10" i="1" s="1"/>
  <c r="L10" i="1" s="1"/>
  <c r="J9" i="1"/>
  <c r="K9" i="1" s="1"/>
  <c r="L9" i="1" s="1"/>
  <c r="J8" i="1"/>
  <c r="K8" i="1" s="1"/>
  <c r="L8" i="1" s="1"/>
  <c r="J7" i="1"/>
  <c r="K7" i="1" s="1"/>
  <c r="L7" i="1" s="1"/>
  <c r="J6" i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D21" i="1"/>
  <c r="D2" i="6" s="1"/>
  <c r="F15" i="1"/>
  <c r="G21" i="5" s="1"/>
  <c r="M55" i="5" s="1" a="1"/>
  <c r="M55" i="5" s="1"/>
  <c r="I32" i="10" l="1"/>
  <c r="F24" i="7"/>
  <c r="F28" i="7"/>
  <c r="F32" i="7"/>
  <c r="F25" i="7"/>
  <c r="F29" i="7"/>
  <c r="F30" i="7"/>
  <c r="F27" i="7"/>
  <c r="F23" i="7"/>
  <c r="F31" i="7"/>
  <c r="F26" i="7"/>
  <c r="I33" i="10"/>
  <c r="I34" i="10"/>
  <c r="I37" i="10"/>
  <c r="I35" i="10"/>
  <c r="I36" i="10"/>
  <c r="I38" i="10"/>
  <c r="I40" i="10"/>
  <c r="I39" i="10"/>
  <c r="BX60" i="5" a="1"/>
  <c r="BX60" i="5" s="1"/>
  <c r="BX58" i="5" a="1"/>
  <c r="BX58" i="5" s="1"/>
  <c r="BX43" i="5"/>
  <c r="BX41" i="5"/>
  <c r="BX57" i="5" a="1"/>
  <c r="BX57" i="5" s="1"/>
  <c r="BX39" i="5"/>
  <c r="BX40" i="5"/>
  <c r="BX56" i="5" a="1"/>
  <c r="BX56" i="5" s="1"/>
  <c r="BX59" i="5" a="1"/>
  <c r="BX59" i="5" s="1"/>
  <c r="BX42" i="5"/>
  <c r="N58" i="5" a="1"/>
  <c r="N58" i="5" s="1"/>
  <c r="N57" i="5" a="1"/>
  <c r="N57" i="5" s="1"/>
  <c r="N59" i="5" a="1"/>
  <c r="N59" i="5" s="1"/>
  <c r="N43" i="5"/>
  <c r="N60" i="5" a="1"/>
  <c r="N60" i="5" s="1"/>
  <c r="N56" i="5" a="1"/>
  <c r="N56" i="5" s="1"/>
  <c r="N42" i="5"/>
  <c r="N40" i="5"/>
  <c r="N41" i="5"/>
  <c r="N39" i="5"/>
  <c r="CG56" i="5" a="1"/>
  <c r="CG56" i="5" s="1"/>
  <c r="CG43" i="5"/>
  <c r="CG41" i="5"/>
  <c r="CG58" i="5" a="1"/>
  <c r="CG58" i="5" s="1"/>
  <c r="CG57" i="5" a="1"/>
  <c r="CG57" i="5" s="1"/>
  <c r="CG42" i="5"/>
  <c r="CG40" i="5"/>
  <c r="CG39" i="5"/>
  <c r="CG60" i="5" a="1"/>
  <c r="CG60" i="5" s="1"/>
  <c r="CG59" i="5" a="1"/>
  <c r="CG59" i="5" s="1"/>
  <c r="BZ56" i="5" a="1"/>
  <c r="BZ56" i="5" s="1"/>
  <c r="BZ58" i="5" a="1"/>
  <c r="BZ58" i="5" s="1"/>
  <c r="BZ43" i="5"/>
  <c r="BZ41" i="5"/>
  <c r="BZ60" i="5" a="1"/>
  <c r="BZ60" i="5" s="1"/>
  <c r="BZ59" i="5" a="1"/>
  <c r="BZ59" i="5" s="1"/>
  <c r="BZ42" i="5"/>
  <c r="BZ40" i="5"/>
  <c r="BZ57" i="5" a="1"/>
  <c r="BZ57" i="5" s="1"/>
  <c r="BZ39" i="5"/>
  <c r="BV59" i="5" a="1"/>
  <c r="BV59" i="5" s="1"/>
  <c r="BV57" i="5" a="1"/>
  <c r="BV57" i="5" s="1"/>
  <c r="BV56" i="5" a="1"/>
  <c r="BV56" i="5" s="1"/>
  <c r="BV42" i="5"/>
  <c r="BV60" i="5" a="1"/>
  <c r="BV60" i="5" s="1"/>
  <c r="BV39" i="5"/>
  <c r="BV41" i="5"/>
  <c r="BV40" i="5"/>
  <c r="BV58" i="5" a="1"/>
  <c r="BV58" i="5" s="1"/>
  <c r="BV43" i="5"/>
  <c r="CA42" i="5"/>
  <c r="CA40" i="5"/>
  <c r="CA56" i="5" a="1"/>
  <c r="CA56" i="5" s="1"/>
  <c r="CA59" i="5" a="1"/>
  <c r="CA59" i="5" s="1"/>
  <c r="CA58" i="5" a="1"/>
  <c r="CA58" i="5" s="1"/>
  <c r="CA43" i="5"/>
  <c r="CA41" i="5"/>
  <c r="CA57" i="5" a="1"/>
  <c r="CA57" i="5" s="1"/>
  <c r="CA39" i="5"/>
  <c r="CA60" i="5" a="1"/>
  <c r="CA60" i="5" s="1"/>
  <c r="BW59" i="5" a="1"/>
  <c r="BW59" i="5" s="1"/>
  <c r="BW60" i="5" a="1"/>
  <c r="BW60" i="5" s="1"/>
  <c r="BW57" i="5" a="1"/>
  <c r="BW57" i="5" s="1"/>
  <c r="BW43" i="5"/>
  <c r="BW41" i="5"/>
  <c r="BW39" i="5"/>
  <c r="BW58" i="5" a="1"/>
  <c r="BW58" i="5" s="1"/>
  <c r="BW56" i="5" a="1"/>
  <c r="BW56" i="5" s="1"/>
  <c r="BW42" i="5"/>
  <c r="BW40" i="5"/>
  <c r="BY58" i="5" a="1"/>
  <c r="BY58" i="5" s="1"/>
  <c r="BY43" i="5"/>
  <c r="BY41" i="5"/>
  <c r="BY60" i="5" a="1"/>
  <c r="BY60" i="5" s="1"/>
  <c r="BY56" i="5" a="1"/>
  <c r="BY56" i="5" s="1"/>
  <c r="BY59" i="5" a="1"/>
  <c r="BY59" i="5" s="1"/>
  <c r="BY42" i="5"/>
  <c r="BY57" i="5" a="1"/>
  <c r="BY57" i="5" s="1"/>
  <c r="BY40" i="5"/>
  <c r="BY39" i="5"/>
  <c r="CB59" i="5" a="1"/>
  <c r="CB59" i="5" s="1"/>
  <c r="CB42" i="5"/>
  <c r="CB60" i="5" a="1"/>
  <c r="CB60" i="5" s="1"/>
  <c r="CB56" i="5" a="1"/>
  <c r="CB56" i="5" s="1"/>
  <c r="CB43" i="5"/>
  <c r="CB41" i="5"/>
  <c r="CB40" i="5"/>
  <c r="CB58" i="5" a="1"/>
  <c r="CB58" i="5" s="1"/>
  <c r="CB57" i="5" a="1"/>
  <c r="CB57" i="5" s="1"/>
  <c r="CB39" i="5"/>
  <c r="CF58" i="5" a="1"/>
  <c r="CF58" i="5" s="1"/>
  <c r="CF56" i="5" a="1"/>
  <c r="CF56" i="5" s="1"/>
  <c r="CF43" i="5"/>
  <c r="CF41" i="5"/>
  <c r="CF60" i="5" a="1"/>
  <c r="CF60" i="5" s="1"/>
  <c r="CF57" i="5" a="1"/>
  <c r="CF57" i="5" s="1"/>
  <c r="CF42" i="5"/>
  <c r="CF39" i="5"/>
  <c r="CF40" i="5"/>
  <c r="CF59" i="5" a="1"/>
  <c r="CF59" i="5" s="1"/>
  <c r="CC59" i="5" a="1"/>
  <c r="CC59" i="5" s="1"/>
  <c r="CC42" i="5"/>
  <c r="CC60" i="5" a="1"/>
  <c r="CC60" i="5" s="1"/>
  <c r="CC57" i="5" a="1"/>
  <c r="CC57" i="5" s="1"/>
  <c r="CC43" i="5"/>
  <c r="CC41" i="5"/>
  <c r="CC40" i="5"/>
  <c r="CC56" i="5" a="1"/>
  <c r="CC56" i="5" s="1"/>
  <c r="CC58" i="5" a="1"/>
  <c r="CC58" i="5" s="1"/>
  <c r="CC39" i="5"/>
  <c r="CD60" i="5" a="1"/>
  <c r="CD60" i="5" s="1"/>
  <c r="CD57" i="5" a="1"/>
  <c r="CD57" i="5" s="1"/>
  <c r="CD58" i="5" a="1"/>
  <c r="CD58" i="5" s="1"/>
  <c r="CD59" i="5" a="1"/>
  <c r="CD59" i="5" s="1"/>
  <c r="CD42" i="5"/>
  <c r="CD39" i="5"/>
  <c r="CD43" i="5"/>
  <c r="CD40" i="5"/>
  <c r="CD56" i="5" a="1"/>
  <c r="CD56" i="5" s="1"/>
  <c r="CD41" i="5"/>
  <c r="CE57" i="5" a="1"/>
  <c r="CE57" i="5" s="1"/>
  <c r="CE58" i="5" a="1"/>
  <c r="CE58" i="5" s="1"/>
  <c r="CE56" i="5" a="1"/>
  <c r="CE56" i="5" s="1"/>
  <c r="CE43" i="5"/>
  <c r="CE41" i="5"/>
  <c r="CE60" i="5" a="1"/>
  <c r="CE60" i="5" s="1"/>
  <c r="CE59" i="5" a="1"/>
  <c r="CE59" i="5" s="1"/>
  <c r="CE42" i="5"/>
  <c r="CE39" i="5"/>
  <c r="CE40" i="5"/>
  <c r="H23" i="10"/>
  <c r="AX53" i="10"/>
  <c r="AX60" i="10"/>
  <c r="AX55" i="10"/>
  <c r="AX45" i="10"/>
  <c r="AY5" i="10"/>
  <c r="AX8" i="10"/>
  <c r="AX4" i="10"/>
  <c r="AX6" i="10"/>
  <c r="AX57" i="10" s="1"/>
  <c r="AX58" i="10" s="1"/>
  <c r="I13" i="4"/>
  <c r="I19" i="10" s="1"/>
  <c r="I20" i="10" s="1"/>
  <c r="I4" i="4"/>
  <c r="I15" i="4" s="1"/>
  <c r="I6" i="4"/>
  <c r="J5" i="4"/>
  <c r="BY95" i="5"/>
  <c r="BY93" i="5"/>
  <c r="BY91" i="5"/>
  <c r="BY96" i="5"/>
  <c r="BY94" i="5"/>
  <c r="BY92" i="5"/>
  <c r="BY90" i="5"/>
  <c r="BY87" i="5"/>
  <c r="BY86" i="5"/>
  <c r="BY82" i="5"/>
  <c r="BY85" i="5"/>
  <c r="BY89" i="5"/>
  <c r="BY88" i="5"/>
  <c r="BY83" i="5"/>
  <c r="BY84" i="5"/>
  <c r="CB96" i="5"/>
  <c r="CB94" i="5"/>
  <c r="CB92" i="5"/>
  <c r="CB90" i="5"/>
  <c r="CB86" i="5"/>
  <c r="CB84" i="5"/>
  <c r="CB89" i="5"/>
  <c r="CB95" i="5"/>
  <c r="CB93" i="5"/>
  <c r="CB91" i="5"/>
  <c r="CB88" i="5"/>
  <c r="CB85" i="5"/>
  <c r="CB87" i="5"/>
  <c r="CB83" i="5"/>
  <c r="CB82" i="5"/>
  <c r="CF95" i="5"/>
  <c r="CF93" i="5"/>
  <c r="CF91" i="5"/>
  <c r="CF85" i="5"/>
  <c r="CF83" i="5"/>
  <c r="CF88" i="5"/>
  <c r="CF89" i="5"/>
  <c r="CF92" i="5"/>
  <c r="CF82" i="5"/>
  <c r="CF84" i="5"/>
  <c r="CF94" i="5"/>
  <c r="CF87" i="5"/>
  <c r="CF86" i="5"/>
  <c r="CF90" i="5"/>
  <c r="CF96" i="5"/>
  <c r="CC96" i="5"/>
  <c r="CC94" i="5"/>
  <c r="CC92" i="5"/>
  <c r="CC90" i="5"/>
  <c r="CC89" i="5"/>
  <c r="CC91" i="5"/>
  <c r="CC83" i="5"/>
  <c r="CC93" i="5"/>
  <c r="CC95" i="5"/>
  <c r="CC87" i="5"/>
  <c r="CC82" i="5"/>
  <c r="CC88" i="5"/>
  <c r="CC85" i="5"/>
  <c r="CC84" i="5"/>
  <c r="CC86" i="5"/>
  <c r="CD85" i="5"/>
  <c r="CD96" i="5"/>
  <c r="CD94" i="5"/>
  <c r="CD92" i="5"/>
  <c r="CD90" i="5"/>
  <c r="CD93" i="5"/>
  <c r="CD82" i="5"/>
  <c r="CD89" i="5"/>
  <c r="CD83" i="5"/>
  <c r="CD95" i="5"/>
  <c r="CD88" i="5"/>
  <c r="CD84" i="5"/>
  <c r="CD86" i="5"/>
  <c r="CD91" i="5"/>
  <c r="CD87" i="5"/>
  <c r="CE95" i="5"/>
  <c r="CE93" i="5"/>
  <c r="CE91" i="5"/>
  <c r="CE89" i="5"/>
  <c r="CE87" i="5"/>
  <c r="CE96" i="5"/>
  <c r="CE94" i="5"/>
  <c r="CE92" i="5"/>
  <c r="CE90" i="5"/>
  <c r="CE85" i="5"/>
  <c r="CE88" i="5"/>
  <c r="CE84" i="5"/>
  <c r="CE83" i="5"/>
  <c r="CE82" i="5"/>
  <c r="CE86" i="5"/>
  <c r="CG95" i="5"/>
  <c r="CG93" i="5"/>
  <c r="CG91" i="5"/>
  <c r="CG88" i="5"/>
  <c r="CG92" i="5"/>
  <c r="CG83" i="5"/>
  <c r="CG82" i="5"/>
  <c r="CG86" i="5"/>
  <c r="CG89" i="5"/>
  <c r="CG84" i="5"/>
  <c r="CG87" i="5"/>
  <c r="CG94" i="5"/>
  <c r="CG96" i="5"/>
  <c r="CG85" i="5"/>
  <c r="CG90" i="5"/>
  <c r="BX95" i="5"/>
  <c r="BX93" i="5"/>
  <c r="BX91" i="5"/>
  <c r="BX88" i="5"/>
  <c r="BX85" i="5"/>
  <c r="BX83" i="5"/>
  <c r="BX96" i="5"/>
  <c r="BX94" i="5"/>
  <c r="BX92" i="5"/>
  <c r="BX90" i="5"/>
  <c r="BX87" i="5"/>
  <c r="BX84" i="5"/>
  <c r="BX86" i="5"/>
  <c r="BX82" i="5"/>
  <c r="BX89" i="5"/>
  <c r="BZ87" i="5"/>
  <c r="BZ86" i="5"/>
  <c r="BZ88" i="5"/>
  <c r="BZ90" i="5"/>
  <c r="BZ85" i="5"/>
  <c r="BZ91" i="5"/>
  <c r="BZ92" i="5"/>
  <c r="BZ93" i="5"/>
  <c r="BZ89" i="5"/>
  <c r="BZ94" i="5"/>
  <c r="BZ96" i="5"/>
  <c r="BZ84" i="5"/>
  <c r="BZ83" i="5"/>
  <c r="BZ95" i="5"/>
  <c r="BZ82" i="5"/>
  <c r="BV95" i="5"/>
  <c r="BV93" i="5"/>
  <c r="BV91" i="5"/>
  <c r="BV96" i="5"/>
  <c r="BV94" i="5"/>
  <c r="BV92" i="5"/>
  <c r="BV90" i="5"/>
  <c r="BV88" i="5"/>
  <c r="BV85" i="5"/>
  <c r="BV89" i="5"/>
  <c r="BV87" i="5"/>
  <c r="BV83" i="5"/>
  <c r="BV84" i="5"/>
  <c r="BV86" i="5"/>
  <c r="BV82" i="5"/>
  <c r="N90" i="5"/>
  <c r="N86" i="5"/>
  <c r="N84" i="5"/>
  <c r="N83" i="5"/>
  <c r="N91" i="5"/>
  <c r="N92" i="5"/>
  <c r="N93" i="5"/>
  <c r="N94" i="5"/>
  <c r="N85" i="5"/>
  <c r="N96" i="5"/>
  <c r="N88" i="5"/>
  <c r="N87" i="5"/>
  <c r="N95" i="5"/>
  <c r="N89" i="5"/>
  <c r="N82" i="5"/>
  <c r="CA96" i="5"/>
  <c r="CA94" i="5"/>
  <c r="CA92" i="5"/>
  <c r="CA90" i="5"/>
  <c r="CA88" i="5"/>
  <c r="CA95" i="5"/>
  <c r="CA93" i="5"/>
  <c r="CA91" i="5"/>
  <c r="CA87" i="5"/>
  <c r="CA86" i="5"/>
  <c r="CA84" i="5"/>
  <c r="CA89" i="5"/>
  <c r="CA82" i="5"/>
  <c r="CA83" i="5"/>
  <c r="CA85" i="5"/>
  <c r="BW95" i="5"/>
  <c r="BW93" i="5"/>
  <c r="BW91" i="5"/>
  <c r="BW89" i="5"/>
  <c r="BW87" i="5"/>
  <c r="BW96" i="5"/>
  <c r="BW94" i="5"/>
  <c r="BW92" i="5"/>
  <c r="BW90" i="5"/>
  <c r="BW88" i="5"/>
  <c r="BW85" i="5"/>
  <c r="BW83" i="5"/>
  <c r="BW84" i="5"/>
  <c r="BW86" i="5"/>
  <c r="BW82" i="5"/>
  <c r="M91" i="5"/>
  <c r="CC51" i="5" a="1"/>
  <c r="CC51" i="5" s="1"/>
  <c r="CC54" i="5" a="1"/>
  <c r="CC54" i="5" s="1"/>
  <c r="CC47" i="5" a="1"/>
  <c r="CC47" i="5" s="1"/>
  <c r="CC50" i="5" a="1"/>
  <c r="CC50" i="5" s="1"/>
  <c r="CC48" i="5" a="1"/>
  <c r="CC48" i="5" s="1"/>
  <c r="CC30" i="5"/>
  <c r="CC37" i="5"/>
  <c r="CC35" i="5"/>
  <c r="CC33" i="5"/>
  <c r="CC29" i="5"/>
  <c r="CC49" i="5" a="1"/>
  <c r="CC49" i="5" s="1"/>
  <c r="CC36" i="5"/>
  <c r="CC53" i="5" a="1"/>
  <c r="CC53" i="5" s="1"/>
  <c r="CC32" i="5"/>
  <c r="CC52" i="5" a="1"/>
  <c r="CC52" i="5" s="1"/>
  <c r="CC46" i="5" a="1"/>
  <c r="CC46" i="5" s="1"/>
  <c r="CC31" i="5"/>
  <c r="CC34" i="5"/>
  <c r="CA46" i="5" a="1"/>
  <c r="CA46" i="5" s="1"/>
  <c r="CA30" i="5"/>
  <c r="CA34" i="5"/>
  <c r="CA38" i="5"/>
  <c r="CA47" i="5" a="1"/>
  <c r="CA47" i="5" s="1"/>
  <c r="CA49" i="5" a="1"/>
  <c r="CA49" i="5" s="1"/>
  <c r="CA51" i="5" a="1"/>
  <c r="CA51" i="5" s="1"/>
  <c r="CA31" i="5"/>
  <c r="CA35" i="5"/>
  <c r="CA29" i="5"/>
  <c r="CA33" i="5"/>
  <c r="CA37" i="5"/>
  <c r="CA36" i="5"/>
  <c r="CA52" i="5" a="1"/>
  <c r="CA52" i="5" s="1"/>
  <c r="CA55" i="5" a="1"/>
  <c r="CA55" i="5" s="1"/>
  <c r="CA48" i="5" a="1"/>
  <c r="CA48" i="5" s="1"/>
  <c r="CA50" i="5" a="1"/>
  <c r="CA50" i="5" s="1"/>
  <c r="CA53" i="5" a="1"/>
  <c r="CA53" i="5" s="1"/>
  <c r="CA32" i="5"/>
  <c r="CA54" i="5" a="1"/>
  <c r="CA54" i="5" s="1"/>
  <c r="BW29" i="5"/>
  <c r="BW30" i="5"/>
  <c r="BW31" i="5"/>
  <c r="BW32" i="5"/>
  <c r="BW33" i="5"/>
  <c r="BW34" i="5"/>
  <c r="BW35" i="5"/>
  <c r="BW36" i="5"/>
  <c r="BW37" i="5"/>
  <c r="BW38" i="5"/>
  <c r="BW46" i="5" a="1"/>
  <c r="BW46" i="5" s="1"/>
  <c r="BW47" i="5" a="1"/>
  <c r="BW47" i="5" s="1"/>
  <c r="BW49" i="5" a="1"/>
  <c r="BW49" i="5" s="1"/>
  <c r="BW51" i="5" a="1"/>
  <c r="BW51" i="5" s="1"/>
  <c r="BW48" i="5" a="1"/>
  <c r="BW48" i="5" s="1"/>
  <c r="BW54" i="5" a="1"/>
  <c r="BW54" i="5" s="1"/>
  <c r="BW55" i="5" a="1"/>
  <c r="BW55" i="5" s="1"/>
  <c r="BW50" i="5" a="1"/>
  <c r="BW50" i="5" s="1"/>
  <c r="BW53" i="5" a="1"/>
  <c r="BW53" i="5" s="1"/>
  <c r="BW52" i="5" a="1"/>
  <c r="BW52" i="5" s="1"/>
  <c r="BY31" i="5"/>
  <c r="BY35" i="5"/>
  <c r="BY48" i="5" a="1"/>
  <c r="BY48" i="5" s="1"/>
  <c r="BY50" i="5" a="1"/>
  <c r="BY50" i="5" s="1"/>
  <c r="BY52" i="5" a="1"/>
  <c r="BY52" i="5" s="1"/>
  <c r="BY53" i="5" a="1"/>
  <c r="BY53" i="5" s="1"/>
  <c r="BY54" i="5" a="1"/>
  <c r="BY54" i="5" s="1"/>
  <c r="BY55" i="5" a="1"/>
  <c r="BY55" i="5" s="1"/>
  <c r="BY32" i="5"/>
  <c r="BY36" i="5"/>
  <c r="BY30" i="5"/>
  <c r="BY34" i="5"/>
  <c r="BY38" i="5"/>
  <c r="BY33" i="5"/>
  <c r="BY49" i="5" a="1"/>
  <c r="BY49" i="5" s="1"/>
  <c r="BY29" i="5"/>
  <c r="BY51" i="5" a="1"/>
  <c r="BY51" i="5" s="1"/>
  <c r="BY37" i="5"/>
  <c r="BY46" i="5" a="1"/>
  <c r="BY46" i="5" s="1"/>
  <c r="BY47" i="5" a="1"/>
  <c r="BY47" i="5" s="1"/>
  <c r="CB29" i="5"/>
  <c r="CB33" i="5"/>
  <c r="CB37" i="5"/>
  <c r="CB52" i="5" a="1"/>
  <c r="CB52" i="5" s="1"/>
  <c r="CB53" i="5" a="1"/>
  <c r="CB53" i="5" s="1"/>
  <c r="CB54" i="5" a="1"/>
  <c r="CB54" i="5" s="1"/>
  <c r="CB55" i="5" a="1"/>
  <c r="CB55" i="5" s="1"/>
  <c r="CB46" i="5" a="1"/>
  <c r="CB46" i="5" s="1"/>
  <c r="CB30" i="5"/>
  <c r="CB34" i="5"/>
  <c r="CB38" i="5"/>
  <c r="CB49" i="5" a="1"/>
  <c r="CB49" i="5" s="1"/>
  <c r="CB47" i="5" a="1"/>
  <c r="CB47" i="5" s="1"/>
  <c r="CB31" i="5"/>
  <c r="CB35" i="5"/>
  <c r="CB48" i="5" a="1"/>
  <c r="CB48" i="5" s="1"/>
  <c r="CB50" i="5" a="1"/>
  <c r="CB50" i="5" s="1"/>
  <c r="CB36" i="5"/>
  <c r="CB32" i="5"/>
  <c r="CB51" i="5" a="1"/>
  <c r="CB51" i="5" s="1"/>
  <c r="CC55" i="5" a="1"/>
  <c r="CC55" i="5" s="1"/>
  <c r="CF29" i="5"/>
  <c r="CF30" i="5"/>
  <c r="CF31" i="5"/>
  <c r="CF32" i="5"/>
  <c r="CF33" i="5"/>
  <c r="CF34" i="5"/>
  <c r="CF35" i="5"/>
  <c r="CF36" i="5"/>
  <c r="CF37" i="5"/>
  <c r="CF38" i="5"/>
  <c r="CF52" i="5" a="1"/>
  <c r="CF52" i="5" s="1"/>
  <c r="CF53" i="5" a="1"/>
  <c r="CF53" i="5" s="1"/>
  <c r="CF54" i="5" a="1"/>
  <c r="CF54" i="5" s="1"/>
  <c r="CF55" i="5" a="1"/>
  <c r="CF55" i="5" s="1"/>
  <c r="CF47" i="5" a="1"/>
  <c r="CF47" i="5" s="1"/>
  <c r="CF49" i="5" a="1"/>
  <c r="CF49" i="5" s="1"/>
  <c r="CF51" i="5" a="1"/>
  <c r="CF51" i="5" s="1"/>
  <c r="CF48" i="5" a="1"/>
  <c r="CF48" i="5" s="1"/>
  <c r="CF50" i="5" a="1"/>
  <c r="CF50" i="5" s="1"/>
  <c r="CF46" i="5" a="1"/>
  <c r="CF46" i="5" s="1"/>
  <c r="CD29" i="5"/>
  <c r="CD30" i="5"/>
  <c r="CD31" i="5"/>
  <c r="CD32" i="5"/>
  <c r="CD33" i="5"/>
  <c r="CD34" i="5"/>
  <c r="CD35" i="5"/>
  <c r="CD36" i="5"/>
  <c r="CD37" i="5"/>
  <c r="CD38" i="5"/>
  <c r="CD46" i="5" a="1"/>
  <c r="CD46" i="5" s="1"/>
  <c r="CD50" i="5" a="1"/>
  <c r="CD50" i="5" s="1"/>
  <c r="CD48" i="5" a="1"/>
  <c r="CD48" i="5" s="1"/>
  <c r="CD47" i="5" a="1"/>
  <c r="CD47" i="5" s="1"/>
  <c r="CD49" i="5" a="1"/>
  <c r="CD49" i="5" s="1"/>
  <c r="CD51" i="5" a="1"/>
  <c r="CD51" i="5" s="1"/>
  <c r="CD54" i="5" a="1"/>
  <c r="CD54" i="5" s="1"/>
  <c r="CD52" i="5" a="1"/>
  <c r="CD52" i="5" s="1"/>
  <c r="CD55" i="5" a="1"/>
  <c r="CD55" i="5" s="1"/>
  <c r="CD53" i="5" a="1"/>
  <c r="CD53" i="5" s="1"/>
  <c r="CE29" i="5"/>
  <c r="CE30" i="5"/>
  <c r="CE31" i="5"/>
  <c r="CE32" i="5"/>
  <c r="CE33" i="5"/>
  <c r="CE34" i="5"/>
  <c r="CE35" i="5"/>
  <c r="CE36" i="5"/>
  <c r="CE37" i="5"/>
  <c r="CE38" i="5"/>
  <c r="CE46" i="5" a="1"/>
  <c r="CE46" i="5" s="1"/>
  <c r="CE47" i="5" a="1"/>
  <c r="CE47" i="5" s="1"/>
  <c r="CE49" i="5" a="1"/>
  <c r="CE49" i="5" s="1"/>
  <c r="CE51" i="5" a="1"/>
  <c r="CE51" i="5" s="1"/>
  <c r="CE48" i="5" a="1"/>
  <c r="CE48" i="5" s="1"/>
  <c r="CE50" i="5" a="1"/>
  <c r="CE50" i="5" s="1"/>
  <c r="CE54" i="5" a="1"/>
  <c r="CE54" i="5" s="1"/>
  <c r="CE55" i="5" a="1"/>
  <c r="CE55" i="5" s="1"/>
  <c r="CE52" i="5" a="1"/>
  <c r="CE52" i="5" s="1"/>
  <c r="CE53" i="5" a="1"/>
  <c r="CE53" i="5" s="1"/>
  <c r="BX29" i="5"/>
  <c r="BX30" i="5"/>
  <c r="BX31" i="5"/>
  <c r="BX32" i="5"/>
  <c r="BX33" i="5"/>
  <c r="BX34" i="5"/>
  <c r="BX35" i="5"/>
  <c r="BX36" i="5"/>
  <c r="BX37" i="5"/>
  <c r="BX38" i="5"/>
  <c r="BX48" i="5" a="1"/>
  <c r="BX48" i="5" s="1"/>
  <c r="BX50" i="5" a="1"/>
  <c r="BX50" i="5" s="1"/>
  <c r="BX52" i="5" a="1"/>
  <c r="BX52" i="5" s="1"/>
  <c r="BX53" i="5" a="1"/>
  <c r="BX53" i="5" s="1"/>
  <c r="BX54" i="5" a="1"/>
  <c r="BX54" i="5" s="1"/>
  <c r="BX55" i="5" a="1"/>
  <c r="BX55" i="5" s="1"/>
  <c r="BX46" i="5" a="1"/>
  <c r="BX46" i="5" s="1"/>
  <c r="BX47" i="5" a="1"/>
  <c r="BX47" i="5" s="1"/>
  <c r="BX49" i="5" a="1"/>
  <c r="BX49" i="5" s="1"/>
  <c r="BX51" i="5" a="1"/>
  <c r="BX51" i="5" s="1"/>
  <c r="CC38" i="5"/>
  <c r="CG32" i="5"/>
  <c r="CG36" i="5"/>
  <c r="CG46" i="5" a="1"/>
  <c r="CG46" i="5" s="1"/>
  <c r="CG48" i="5" a="1"/>
  <c r="CG48" i="5" s="1"/>
  <c r="CG50" i="5" a="1"/>
  <c r="CG50" i="5" s="1"/>
  <c r="CG29" i="5"/>
  <c r="CG33" i="5"/>
  <c r="CG37" i="5"/>
  <c r="CG52" i="5" a="1"/>
  <c r="CG52" i="5" s="1"/>
  <c r="CG53" i="5" a="1"/>
  <c r="CG53" i="5" s="1"/>
  <c r="CG54" i="5" a="1"/>
  <c r="CG54" i="5" s="1"/>
  <c r="CG55" i="5" a="1"/>
  <c r="CG55" i="5" s="1"/>
  <c r="CG30" i="5"/>
  <c r="CG34" i="5"/>
  <c r="CG38" i="5"/>
  <c r="CG47" i="5" a="1"/>
  <c r="CG47" i="5" s="1"/>
  <c r="CG51" i="5" a="1"/>
  <c r="CG51" i="5" s="1"/>
  <c r="CG35" i="5"/>
  <c r="CG31" i="5"/>
  <c r="CG49" i="5" a="1"/>
  <c r="CG49" i="5" s="1"/>
  <c r="BZ46" i="5" a="1"/>
  <c r="BZ46" i="5" s="1"/>
  <c r="BZ30" i="5"/>
  <c r="BZ34" i="5"/>
  <c r="BZ38" i="5"/>
  <c r="BZ47" i="5" a="1"/>
  <c r="BZ47" i="5" s="1"/>
  <c r="BZ49" i="5" a="1"/>
  <c r="BZ49" i="5" s="1"/>
  <c r="BZ51" i="5" a="1"/>
  <c r="BZ51" i="5" s="1"/>
  <c r="BZ31" i="5"/>
  <c r="BZ35" i="5"/>
  <c r="BZ32" i="5"/>
  <c r="BZ36" i="5"/>
  <c r="BZ48" i="5" a="1"/>
  <c r="BZ48" i="5" s="1"/>
  <c r="BZ50" i="5" a="1"/>
  <c r="BZ50" i="5" s="1"/>
  <c r="BZ53" i="5" a="1"/>
  <c r="BZ53" i="5" s="1"/>
  <c r="BZ33" i="5"/>
  <c r="BZ29" i="5"/>
  <c r="BZ54" i="5" a="1"/>
  <c r="BZ54" i="5" s="1"/>
  <c r="BZ52" i="5" a="1"/>
  <c r="BZ52" i="5" s="1"/>
  <c r="BZ37" i="5"/>
  <c r="BZ55" i="5" a="1"/>
  <c r="BZ55" i="5" s="1"/>
  <c r="BV29" i="5"/>
  <c r="BV30" i="5"/>
  <c r="BV31" i="5"/>
  <c r="BV32" i="5"/>
  <c r="BV33" i="5"/>
  <c r="BV34" i="5"/>
  <c r="BV35" i="5"/>
  <c r="BV36" i="5"/>
  <c r="BV37" i="5"/>
  <c r="BV38" i="5"/>
  <c r="BV46" i="5" a="1"/>
  <c r="BV46" i="5" s="1"/>
  <c r="BV47" i="5" a="1"/>
  <c r="BV47" i="5" s="1"/>
  <c r="BV49" i="5" a="1"/>
  <c r="BV49" i="5" s="1"/>
  <c r="BV51" i="5" a="1"/>
  <c r="BV51" i="5" s="1"/>
  <c r="BV54" i="5" a="1"/>
  <c r="BV54" i="5" s="1"/>
  <c r="BV52" i="5" a="1"/>
  <c r="BV52" i="5" s="1"/>
  <c r="BV55" i="5" a="1"/>
  <c r="BV55" i="5" s="1"/>
  <c r="BV53" i="5" a="1"/>
  <c r="BV53" i="5" s="1"/>
  <c r="BV48" i="5" a="1"/>
  <c r="BV48" i="5" s="1"/>
  <c r="BV50" i="5" a="1"/>
  <c r="BV50" i="5" s="1"/>
  <c r="G22" i="7"/>
  <c r="D10" i="7"/>
  <c r="G21" i="7"/>
  <c r="D9" i="7"/>
  <c r="D8" i="7"/>
  <c r="D7" i="7"/>
  <c r="D12" i="7"/>
  <c r="D15" i="7"/>
  <c r="D14" i="7"/>
  <c r="D13" i="7"/>
  <c r="D6" i="7"/>
  <c r="N52" i="5" a="1"/>
  <c r="N52" i="5" s="1"/>
  <c r="N53" i="5" a="1"/>
  <c r="N53" i="5" s="1"/>
  <c r="N50" i="5" a="1"/>
  <c r="N50" i="5" s="1"/>
  <c r="N47" i="5" a="1"/>
  <c r="N47" i="5" s="1"/>
  <c r="N55" i="5" a="1"/>
  <c r="N55" i="5" s="1"/>
  <c r="N54" i="5" a="1"/>
  <c r="N54" i="5" s="1"/>
  <c r="N49" i="5" a="1"/>
  <c r="N49" i="5" s="1"/>
  <c r="N46" i="5" a="1"/>
  <c r="N46" i="5" s="1"/>
  <c r="N51" i="5" a="1"/>
  <c r="N51" i="5" s="1"/>
  <c r="N48" i="5" a="1"/>
  <c r="N48" i="5" s="1"/>
  <c r="M38" i="5"/>
  <c r="M63" i="5" s="1"/>
  <c r="M64" i="5"/>
  <c r="M62" i="5"/>
  <c r="N37" i="5"/>
  <c r="N36" i="5"/>
  <c r="N30" i="5"/>
  <c r="N34" i="5"/>
  <c r="N32" i="5"/>
  <c r="N35" i="5"/>
  <c r="N31" i="5"/>
  <c r="N29" i="5"/>
  <c r="N38" i="5"/>
  <c r="N33" i="5"/>
  <c r="O4" i="5"/>
  <c r="O6" i="5"/>
  <c r="J21" i="1"/>
  <c r="K6" i="1"/>
  <c r="BY8" i="5" l="1" a="1"/>
  <c r="BY8" i="5" s="1"/>
  <c r="CB8" i="5" a="1"/>
  <c r="CB8" i="5" s="1"/>
  <c r="CF8" i="5" a="1"/>
  <c r="CF8" i="5" s="1"/>
  <c r="CA8" i="5" a="1"/>
  <c r="CA8" i="5" s="1"/>
  <c r="CC8" i="5" a="1"/>
  <c r="CC8" i="5" s="1"/>
  <c r="N8" i="5" a="1"/>
  <c r="N8" i="5" s="1"/>
  <c r="BZ8" i="5" a="1"/>
  <c r="BZ8" i="5" s="1"/>
  <c r="CD8" i="5" a="1"/>
  <c r="CD8" i="5" s="1"/>
  <c r="BX8" i="5" a="1"/>
  <c r="BX8" i="5" s="1"/>
  <c r="BV8" i="5" a="1"/>
  <c r="BV8" i="5" s="1"/>
  <c r="BW8" i="5" a="1"/>
  <c r="BW8" i="5" s="1"/>
  <c r="CG8" i="5" a="1"/>
  <c r="CG8" i="5" s="1"/>
  <c r="CE8" i="5" a="1"/>
  <c r="CE8" i="5" s="1"/>
  <c r="M8" i="5" a="1"/>
  <c r="M8" i="5" s="1"/>
  <c r="G24" i="7"/>
  <c r="G28" i="7"/>
  <c r="G32" i="7"/>
  <c r="G26" i="7"/>
  <c r="G30" i="7"/>
  <c r="G25" i="7"/>
  <c r="G23" i="7"/>
  <c r="G31" i="7"/>
  <c r="G27" i="7"/>
  <c r="G29" i="7"/>
  <c r="J31" i="10"/>
  <c r="J39" i="10"/>
  <c r="J38" i="10"/>
  <c r="J32" i="10"/>
  <c r="J33" i="10"/>
  <c r="J34" i="10"/>
  <c r="J36" i="10"/>
  <c r="J40" i="10"/>
  <c r="J37" i="10"/>
  <c r="J35" i="10"/>
  <c r="F33" i="7"/>
  <c r="CG61" i="5"/>
  <c r="CD61" i="5"/>
  <c r="BY61" i="5"/>
  <c r="CE61" i="5"/>
  <c r="CB61" i="5"/>
  <c r="BZ61" i="5"/>
  <c r="CA61" i="5"/>
  <c r="CC61" i="5"/>
  <c r="BX61" i="5"/>
  <c r="CF61" i="5"/>
  <c r="N61" i="5"/>
  <c r="BV61" i="5"/>
  <c r="BW61" i="5"/>
  <c r="M61" i="5"/>
  <c r="O56" i="5" a="1"/>
  <c r="O56" i="5" s="1"/>
  <c r="O42" i="5"/>
  <c r="O59" i="5" a="1"/>
  <c r="O59" i="5" s="1"/>
  <c r="O58" i="5" a="1"/>
  <c r="O58" i="5" s="1"/>
  <c r="O57" i="5" a="1"/>
  <c r="O57" i="5" s="1"/>
  <c r="O40" i="5"/>
  <c r="O43" i="5"/>
  <c r="O39" i="5"/>
  <c r="O60" i="5" a="1"/>
  <c r="O60" i="5" s="1"/>
  <c r="O41" i="5"/>
  <c r="G41" i="10"/>
  <c r="I23" i="10"/>
  <c r="AY53" i="10"/>
  <c r="AY55" i="10"/>
  <c r="AY60" i="10"/>
  <c r="AY45" i="10"/>
  <c r="AZ5" i="10"/>
  <c r="AY8" i="10"/>
  <c r="AY4" i="10"/>
  <c r="AY6" i="10"/>
  <c r="AY57" i="10" s="1"/>
  <c r="AY58" i="10" s="1"/>
  <c r="G31" i="4"/>
  <c r="J4" i="4"/>
  <c r="K5" i="4"/>
  <c r="K32" i="10" s="1"/>
  <c r="J13" i="4"/>
  <c r="J19" i="10" s="1"/>
  <c r="J20" i="10" s="1"/>
  <c r="J6" i="4"/>
  <c r="G17" i="4" a="1"/>
  <c r="G17" i="4" s="1"/>
  <c r="G24" i="10" s="1"/>
  <c r="G25" i="10" s="1"/>
  <c r="BV66" i="5"/>
  <c r="CD66" i="5"/>
  <c r="BW66" i="5"/>
  <c r="BZ66" i="5"/>
  <c r="CG66" i="5"/>
  <c r="CE66" i="5"/>
  <c r="CB66" i="5"/>
  <c r="BY66" i="5"/>
  <c r="CA66" i="5"/>
  <c r="BX66" i="5"/>
  <c r="N66" i="5"/>
  <c r="CF66" i="5"/>
  <c r="CC66" i="5"/>
  <c r="O96" i="5"/>
  <c r="O94" i="5"/>
  <c r="O92" i="5"/>
  <c r="O90" i="5"/>
  <c r="O88" i="5"/>
  <c r="O95" i="5"/>
  <c r="O93" i="5"/>
  <c r="O91" i="5"/>
  <c r="O86" i="5"/>
  <c r="O89" i="5"/>
  <c r="O85" i="5"/>
  <c r="O84" i="5"/>
  <c r="O83" i="5"/>
  <c r="O82" i="5"/>
  <c r="O87" i="5"/>
  <c r="CC63" i="5"/>
  <c r="CC64" i="5"/>
  <c r="CC62" i="5"/>
  <c r="BZ67" i="5" a="1"/>
  <c r="BZ67" i="5" s="1"/>
  <c r="CG67" i="5" a="1"/>
  <c r="CG67" i="5" s="1"/>
  <c r="CE67" i="5" a="1"/>
  <c r="CE67" i="5" s="1"/>
  <c r="CA67" i="5" a="1"/>
  <c r="CA67" i="5" s="1"/>
  <c r="CB67" i="5" a="1"/>
  <c r="CB67" i="5" s="1"/>
  <c r="BY67" i="5" a="1"/>
  <c r="BY67" i="5" s="1"/>
  <c r="N67" i="5" a="1"/>
  <c r="N67" i="5" s="1"/>
  <c r="BX67" i="5" a="1"/>
  <c r="BX67" i="5" s="1"/>
  <c r="BV67" i="5" a="1"/>
  <c r="BV67" i="5" s="1"/>
  <c r="CF67" i="5" a="1"/>
  <c r="CF67" i="5" s="1"/>
  <c r="CD67" i="5" a="1"/>
  <c r="CD67" i="5" s="1"/>
  <c r="BW67" i="5" a="1"/>
  <c r="BW67" i="5" s="1"/>
  <c r="BW97" i="5" s="1"/>
  <c r="CC67" i="5" a="1"/>
  <c r="CC67" i="5" s="1"/>
  <c r="M67" i="5" a="1"/>
  <c r="M67" i="5" s="1"/>
  <c r="M66" i="5"/>
  <c r="BY64" i="5"/>
  <c r="BV64" i="5"/>
  <c r="BZ62" i="5"/>
  <c r="CD63" i="5"/>
  <c r="CG62" i="5"/>
  <c r="CE62" i="5"/>
  <c r="CD64" i="5"/>
  <c r="CF64" i="5"/>
  <c r="BW62" i="5"/>
  <c r="BX64" i="5"/>
  <c r="CE63" i="5"/>
  <c r="CB63" i="5"/>
  <c r="BW63" i="5"/>
  <c r="BX62" i="5"/>
  <c r="CE64" i="5"/>
  <c r="CB62" i="5"/>
  <c r="BY62" i="5"/>
  <c r="BW64" i="5"/>
  <c r="CA62" i="5"/>
  <c r="BZ64" i="5"/>
  <c r="CG64" i="5"/>
  <c r="BX63" i="5"/>
  <c r="CB64" i="5"/>
  <c r="BY63" i="5"/>
  <c r="CG63" i="5"/>
  <c r="BV62" i="5"/>
  <c r="CF62" i="5"/>
  <c r="BV63" i="5"/>
  <c r="BZ63" i="5"/>
  <c r="CD62" i="5"/>
  <c r="CF63" i="5"/>
  <c r="CA63" i="5"/>
  <c r="CA64" i="5"/>
  <c r="H22" i="7"/>
  <c r="H21" i="7"/>
  <c r="D16" i="7"/>
  <c r="O55" i="5" a="1"/>
  <c r="O55" i="5" s="1"/>
  <c r="O53" i="5" a="1"/>
  <c r="O53" i="5" s="1"/>
  <c r="O52" i="5" a="1"/>
  <c r="O52" i="5" s="1"/>
  <c r="O50" i="5" a="1"/>
  <c r="O50" i="5" s="1"/>
  <c r="O51" i="5" a="1"/>
  <c r="O51" i="5" s="1"/>
  <c r="O49" i="5" a="1"/>
  <c r="O49" i="5" s="1"/>
  <c r="O54" i="5" a="1"/>
  <c r="O54" i="5" s="1"/>
  <c r="O47" i="5" a="1"/>
  <c r="O47" i="5" s="1"/>
  <c r="O46" i="5" a="1"/>
  <c r="O46" i="5" s="1"/>
  <c r="O48" i="5" a="1"/>
  <c r="O48" i="5" s="1"/>
  <c r="N63" i="5"/>
  <c r="G36" i="4" s="1" a="1"/>
  <c r="G36" i="4" s="1"/>
  <c r="G11" i="10" s="1"/>
  <c r="N64" i="5"/>
  <c r="G37" i="4" s="1" a="1"/>
  <c r="G37" i="4" s="1"/>
  <c r="G12" i="10" s="1"/>
  <c r="N62" i="5"/>
  <c r="O37" i="5"/>
  <c r="O35" i="5"/>
  <c r="O36" i="5"/>
  <c r="O30" i="5"/>
  <c r="O33" i="5"/>
  <c r="O32" i="5"/>
  <c r="O29" i="5"/>
  <c r="O31" i="5"/>
  <c r="O38" i="5"/>
  <c r="O34" i="5"/>
  <c r="P4" i="5"/>
  <c r="P6" i="5"/>
  <c r="K21" i="1"/>
  <c r="L6" i="1"/>
  <c r="L21" i="1" s="1"/>
  <c r="O8" i="5" l="1" a="1"/>
  <c r="O8" i="5" s="1"/>
  <c r="G33" i="7"/>
  <c r="K38" i="10"/>
  <c r="H23" i="7"/>
  <c r="H27" i="7"/>
  <c r="H31" i="7"/>
  <c r="H24" i="7"/>
  <c r="H28" i="7"/>
  <c r="H32" i="7"/>
  <c r="H25" i="7"/>
  <c r="H30" i="7"/>
  <c r="H26" i="7"/>
  <c r="H29" i="7"/>
  <c r="K35" i="10"/>
  <c r="K34" i="10"/>
  <c r="K37" i="10"/>
  <c r="K31" i="10"/>
  <c r="K36" i="10"/>
  <c r="O61" i="5"/>
  <c r="CC97" i="5"/>
  <c r="G43" i="10"/>
  <c r="P56" i="5" a="1"/>
  <c r="P56" i="5" s="1"/>
  <c r="P42" i="5"/>
  <c r="P60" i="5" a="1"/>
  <c r="P60" i="5" s="1"/>
  <c r="P40" i="5"/>
  <c r="P43" i="5"/>
  <c r="P41" i="5"/>
  <c r="P57" i="5" a="1"/>
  <c r="P57" i="5" s="1"/>
  <c r="P59" i="5" a="1"/>
  <c r="P59" i="5" s="1"/>
  <c r="P58" i="5" a="1"/>
  <c r="P58" i="5" s="1"/>
  <c r="P39" i="5"/>
  <c r="H41" i="10"/>
  <c r="J23" i="10"/>
  <c r="CD97" i="5"/>
  <c r="AZ55" i="10"/>
  <c r="AZ60" i="10"/>
  <c r="AZ53" i="10"/>
  <c r="AZ45" i="10"/>
  <c r="G13" i="10"/>
  <c r="AZ8" i="10"/>
  <c r="AZ4" i="10"/>
  <c r="AZ6" i="10"/>
  <c r="AZ57" i="10" s="1"/>
  <c r="AZ58" i="10" s="1"/>
  <c r="BA5" i="10"/>
  <c r="G46" i="4" a="1"/>
  <c r="G46" i="4" s="1"/>
  <c r="J15" i="4"/>
  <c r="BV97" i="5"/>
  <c r="BX97" i="5"/>
  <c r="BY97" i="5"/>
  <c r="CB97" i="5"/>
  <c r="CA97" i="5"/>
  <c r="G44" i="4" a="1"/>
  <c r="G44" i="4" s="1"/>
  <c r="G38" i="4"/>
  <c r="G45" i="4" a="1"/>
  <c r="G45" i="4" s="1"/>
  <c r="H31" i="4"/>
  <c r="CE97" i="5"/>
  <c r="K4" i="4"/>
  <c r="K15" i="4" s="1"/>
  <c r="L5" i="4"/>
  <c r="K13" i="4"/>
  <c r="K19" i="10" s="1"/>
  <c r="K20" i="10" s="1"/>
  <c r="K6" i="4"/>
  <c r="CF97" i="5"/>
  <c r="CG97" i="5"/>
  <c r="BZ97" i="5"/>
  <c r="H17" i="4" a="1"/>
  <c r="H17" i="4" s="1"/>
  <c r="H24" i="10" s="1"/>
  <c r="H25" i="10" s="1"/>
  <c r="N97" i="5"/>
  <c r="O66" i="5"/>
  <c r="M97" i="5"/>
  <c r="P96" i="5"/>
  <c r="P94" i="5"/>
  <c r="P92" i="5"/>
  <c r="P86" i="5"/>
  <c r="P84" i="5"/>
  <c r="P89" i="5"/>
  <c r="P95" i="5"/>
  <c r="P93" i="5"/>
  <c r="P91" i="5"/>
  <c r="P83" i="5"/>
  <c r="P85" i="5"/>
  <c r="P90" i="5"/>
  <c r="P87" i="5"/>
  <c r="P88" i="5"/>
  <c r="P82" i="5"/>
  <c r="O67" i="5" a="1"/>
  <c r="O67" i="5" s="1"/>
  <c r="I21" i="7"/>
  <c r="I22" i="7"/>
  <c r="P55" i="5" a="1"/>
  <c r="P55" i="5" s="1"/>
  <c r="P49" i="5" a="1"/>
  <c r="P49" i="5" s="1"/>
  <c r="P51" i="5" a="1"/>
  <c r="P51" i="5" s="1"/>
  <c r="P54" i="5" a="1"/>
  <c r="P54" i="5" s="1"/>
  <c r="P48" i="5" a="1"/>
  <c r="P48" i="5" s="1"/>
  <c r="P50" i="5" a="1"/>
  <c r="P50" i="5" s="1"/>
  <c r="P47" i="5" a="1"/>
  <c r="P47" i="5" s="1"/>
  <c r="P53" i="5" a="1"/>
  <c r="P53" i="5" s="1"/>
  <c r="P52" i="5" a="1"/>
  <c r="P52" i="5" s="1"/>
  <c r="P46" i="5" a="1"/>
  <c r="P46" i="5" s="1"/>
  <c r="O64" i="5"/>
  <c r="H37" i="4" s="1" a="1"/>
  <c r="H37" i="4" s="1"/>
  <c r="O62" i="5"/>
  <c r="O63" i="5"/>
  <c r="H36" i="4" s="1" a="1"/>
  <c r="H36" i="4" s="1"/>
  <c r="H11" i="10" s="1"/>
  <c r="P35" i="5"/>
  <c r="P38" i="5"/>
  <c r="P33" i="5"/>
  <c r="P37" i="5"/>
  <c r="P31" i="5"/>
  <c r="P36" i="5"/>
  <c r="P30" i="5"/>
  <c r="P32" i="5"/>
  <c r="P29" i="5"/>
  <c r="P34" i="5"/>
  <c r="Q4" i="5"/>
  <c r="Q6" i="5"/>
  <c r="G54" i="10" l="1"/>
  <c r="G51" i="10" s="1"/>
  <c r="P8" i="5" a="1"/>
  <c r="P8" i="5" s="1"/>
  <c r="H33" i="7"/>
  <c r="I23" i="7"/>
  <c r="I27" i="7"/>
  <c r="I31" i="7"/>
  <c r="I25" i="7"/>
  <c r="I29" i="7"/>
  <c r="I28" i="7"/>
  <c r="I32" i="7"/>
  <c r="I26" i="7"/>
  <c r="I30" i="7"/>
  <c r="I24" i="7"/>
  <c r="L33" i="10"/>
  <c r="P61" i="5"/>
  <c r="Q42" i="5"/>
  <c r="Q60" i="5" a="1"/>
  <c r="Q60" i="5" s="1"/>
  <c r="Q56" i="5" a="1"/>
  <c r="Q56" i="5" s="1"/>
  <c r="Q43" i="5"/>
  <c r="Q57" i="5" a="1"/>
  <c r="Q57" i="5" s="1"/>
  <c r="Q59" i="5" a="1"/>
  <c r="Q59" i="5" s="1"/>
  <c r="Q58" i="5" a="1"/>
  <c r="Q58" i="5" s="1"/>
  <c r="Q39" i="5"/>
  <c r="Q41" i="5"/>
  <c r="Q40" i="5"/>
  <c r="H43" i="10"/>
  <c r="I41" i="10"/>
  <c r="K23" i="10"/>
  <c r="G11" i="4" a="1"/>
  <c r="G11" i="4" s="1"/>
  <c r="G43" i="4" s="1" a="1"/>
  <c r="G43" i="4" s="1"/>
  <c r="BA55" i="10"/>
  <c r="BA53" i="10"/>
  <c r="BA60" i="10"/>
  <c r="BA45" i="10"/>
  <c r="BA6" i="10"/>
  <c r="BA57" i="10" s="1"/>
  <c r="BA58" i="10" s="1"/>
  <c r="BB5" i="10"/>
  <c r="BA4" i="10"/>
  <c r="BA8" i="10"/>
  <c r="H46" i="4" a="1"/>
  <c r="H46" i="4" s="1"/>
  <c r="H12" i="10"/>
  <c r="H13" i="10" s="1"/>
  <c r="H54" i="10" s="1"/>
  <c r="H51" i="10" s="1"/>
  <c r="O97" i="5"/>
  <c r="H11" i="4" s="1" a="1"/>
  <c r="H11" i="4" s="1"/>
  <c r="H44" i="4" a="1"/>
  <c r="H44" i="4" s="1"/>
  <c r="I31" i="4"/>
  <c r="H38" i="4"/>
  <c r="H45" i="4" a="1"/>
  <c r="H45" i="4" s="1"/>
  <c r="L6" i="4"/>
  <c r="L13" i="4"/>
  <c r="L4" i="4"/>
  <c r="M5" i="4"/>
  <c r="I17" i="4" a="1"/>
  <c r="I17" i="4" s="1"/>
  <c r="I24" i="10" s="1"/>
  <c r="I25" i="10" s="1"/>
  <c r="P66" i="5"/>
  <c r="Q96" i="5"/>
  <c r="Q94" i="5"/>
  <c r="Q92" i="5"/>
  <c r="Q89" i="5"/>
  <c r="Q90" i="5"/>
  <c r="Q91" i="5"/>
  <c r="Q83" i="5"/>
  <c r="Q85" i="5"/>
  <c r="Q84" i="5"/>
  <c r="Q87" i="5"/>
  <c r="Q93" i="5"/>
  <c r="Q95" i="5"/>
  <c r="Q88" i="5"/>
  <c r="Q86" i="5"/>
  <c r="Q82" i="5"/>
  <c r="P67" i="5" a="1"/>
  <c r="P67" i="5" s="1"/>
  <c r="P97" i="5" s="1"/>
  <c r="J22" i="7"/>
  <c r="J21" i="7"/>
  <c r="Q54" i="5" a="1"/>
  <c r="Q54" i="5" s="1"/>
  <c r="Q53" i="5" a="1"/>
  <c r="Q53" i="5" s="1"/>
  <c r="Q48" i="5" a="1"/>
  <c r="Q48" i="5" s="1"/>
  <c r="Q55" i="5" a="1"/>
  <c r="Q55" i="5" s="1"/>
  <c r="Q51" i="5" a="1"/>
  <c r="Q51" i="5" s="1"/>
  <c r="Q50" i="5" a="1"/>
  <c r="Q50" i="5" s="1"/>
  <c r="Q47" i="5" a="1"/>
  <c r="Q47" i="5" s="1"/>
  <c r="Q52" i="5" a="1"/>
  <c r="Q52" i="5" s="1"/>
  <c r="Q46" i="5" a="1"/>
  <c r="Q46" i="5" s="1"/>
  <c r="Q49" i="5" a="1"/>
  <c r="Q49" i="5" s="1"/>
  <c r="P63" i="5"/>
  <c r="I36" i="4" s="1" a="1"/>
  <c r="I36" i="4" s="1"/>
  <c r="I11" i="10" s="1"/>
  <c r="P62" i="5"/>
  <c r="P64" i="5"/>
  <c r="I37" i="4" s="1" a="1"/>
  <c r="I37" i="4" s="1"/>
  <c r="Q38" i="5"/>
  <c r="Q33" i="5"/>
  <c r="Q37" i="5"/>
  <c r="Q31" i="5"/>
  <c r="Q35" i="5"/>
  <c r="Q36" i="5"/>
  <c r="Q30" i="5"/>
  <c r="Q29" i="5"/>
  <c r="Q32" i="5"/>
  <c r="Q34" i="5"/>
  <c r="R4" i="5"/>
  <c r="R6" i="5"/>
  <c r="Q8" i="5" l="1" a="1"/>
  <c r="Q8" i="5" s="1"/>
  <c r="I33" i="7"/>
  <c r="J26" i="7"/>
  <c r="J30" i="7"/>
  <c r="J23" i="7"/>
  <c r="J27" i="7"/>
  <c r="J31" i="7"/>
  <c r="J28" i="7"/>
  <c r="J25" i="7"/>
  <c r="J29" i="7"/>
  <c r="J32" i="7"/>
  <c r="J24" i="7"/>
  <c r="Q61" i="5"/>
  <c r="I43" i="10"/>
  <c r="R60" i="5" a="1"/>
  <c r="R60" i="5" s="1"/>
  <c r="R42" i="5"/>
  <c r="R56" i="5" a="1"/>
  <c r="R56" i="5" s="1"/>
  <c r="R58" i="5" a="1"/>
  <c r="R58" i="5" s="1"/>
  <c r="R39" i="5"/>
  <c r="R59" i="5" a="1"/>
  <c r="R59" i="5" s="1"/>
  <c r="R41" i="5"/>
  <c r="R43" i="5"/>
  <c r="R40" i="5"/>
  <c r="R57" i="5" a="1"/>
  <c r="R57" i="5" s="1"/>
  <c r="G12" i="4" a="1"/>
  <c r="G12" i="4" s="1"/>
  <c r="G14" i="4" s="1"/>
  <c r="J41" i="10"/>
  <c r="I11" i="4" a="1"/>
  <c r="I11" i="4" s="1"/>
  <c r="I12" i="4" s="1" a="1"/>
  <c r="I12" i="4" s="1"/>
  <c r="BB55" i="10"/>
  <c r="BB53" i="10"/>
  <c r="BB45" i="10"/>
  <c r="H12" i="4" a="1"/>
  <c r="H12" i="4" s="1"/>
  <c r="BB4" i="10"/>
  <c r="BB6" i="10"/>
  <c r="BB57" i="10" s="1"/>
  <c r="BB58" i="10" s="1"/>
  <c r="BB8" i="10"/>
  <c r="BC5" i="10"/>
  <c r="I46" i="4" a="1"/>
  <c r="I46" i="4" s="1"/>
  <c r="I12" i="10"/>
  <c r="I13" i="10" s="1"/>
  <c r="I54" i="10" s="1"/>
  <c r="I51" i="10" s="1"/>
  <c r="L15" i="4"/>
  <c r="H43" i="4" a="1"/>
  <c r="H43" i="4" s="1"/>
  <c r="I38" i="4"/>
  <c r="I45" i="4" a="1"/>
  <c r="I45" i="4" s="1"/>
  <c r="I44" i="4" a="1"/>
  <c r="I44" i="4" s="1"/>
  <c r="J31" i="4"/>
  <c r="M13" i="4"/>
  <c r="M4" i="4"/>
  <c r="M15" i="4" s="1"/>
  <c r="M6" i="4"/>
  <c r="N5" i="4"/>
  <c r="J17" i="4" a="1"/>
  <c r="J17" i="4" s="1"/>
  <c r="J24" i="10" s="1"/>
  <c r="J25" i="10" s="1"/>
  <c r="Q66" i="5"/>
  <c r="R87" i="5"/>
  <c r="R96" i="5"/>
  <c r="R94" i="5"/>
  <c r="R92" i="5"/>
  <c r="R85" i="5"/>
  <c r="R84" i="5"/>
  <c r="R93" i="5"/>
  <c r="R88" i="5"/>
  <c r="R82" i="5"/>
  <c r="R95" i="5"/>
  <c r="R90" i="5"/>
  <c r="R89" i="5"/>
  <c r="R86" i="5"/>
  <c r="R91" i="5"/>
  <c r="R83" i="5"/>
  <c r="Q67" i="5" a="1"/>
  <c r="Q67" i="5" s="1"/>
  <c r="K22" i="7"/>
  <c r="K21" i="7"/>
  <c r="R55" i="5" a="1"/>
  <c r="R55" i="5" s="1"/>
  <c r="R54" i="5" a="1"/>
  <c r="R54" i="5" s="1"/>
  <c r="R52" i="5" a="1"/>
  <c r="R52" i="5" s="1"/>
  <c r="R50" i="5" a="1"/>
  <c r="R50" i="5" s="1"/>
  <c r="R53" i="5" a="1"/>
  <c r="R53" i="5" s="1"/>
  <c r="R51" i="5" a="1"/>
  <c r="R51" i="5" s="1"/>
  <c r="R46" i="5" a="1"/>
  <c r="R46" i="5" s="1"/>
  <c r="R47" i="5" a="1"/>
  <c r="R47" i="5" s="1"/>
  <c r="R49" i="5" a="1"/>
  <c r="R49" i="5" s="1"/>
  <c r="R48" i="5" a="1"/>
  <c r="R48" i="5" s="1"/>
  <c r="Q63" i="5"/>
  <c r="J36" i="4" s="1" a="1"/>
  <c r="J36" i="4" s="1"/>
  <c r="J11" i="10" s="1"/>
  <c r="Q64" i="5"/>
  <c r="J37" i="4" s="1" a="1"/>
  <c r="J37" i="4" s="1"/>
  <c r="Q62" i="5"/>
  <c r="R38" i="5"/>
  <c r="R33" i="5"/>
  <c r="R36" i="5"/>
  <c r="R37" i="5"/>
  <c r="R31" i="5"/>
  <c r="R35" i="5"/>
  <c r="R34" i="5"/>
  <c r="R29" i="5"/>
  <c r="R30" i="5"/>
  <c r="R32" i="5"/>
  <c r="S4" i="5"/>
  <c r="S6" i="5"/>
  <c r="R8" i="5" l="1" a="1"/>
  <c r="R8" i="5" s="1"/>
  <c r="K26" i="7"/>
  <c r="K30" i="7"/>
  <c r="K24" i="7"/>
  <c r="K28" i="7"/>
  <c r="K32" i="7"/>
  <c r="K23" i="7"/>
  <c r="K31" i="7"/>
  <c r="K29" i="7"/>
  <c r="K27" i="7"/>
  <c r="K25" i="7"/>
  <c r="J33" i="7"/>
  <c r="J43" i="10"/>
  <c r="R61" i="5"/>
  <c r="S59" i="5" a="1"/>
  <c r="S59" i="5" s="1"/>
  <c r="S58" i="5" a="1"/>
  <c r="S58" i="5" s="1"/>
  <c r="S57" i="5" a="1"/>
  <c r="S57" i="5" s="1"/>
  <c r="S43" i="5"/>
  <c r="S41" i="5"/>
  <c r="S60" i="5" a="1"/>
  <c r="S60" i="5" s="1"/>
  <c r="S42" i="5"/>
  <c r="S39" i="5"/>
  <c r="S40" i="5"/>
  <c r="S56" i="5" a="1"/>
  <c r="S56" i="5" s="1"/>
  <c r="I43" i="4" a="1"/>
  <c r="I43" i="4" s="1"/>
  <c r="BC55" i="10"/>
  <c r="BC53" i="10"/>
  <c r="BC60" i="10"/>
  <c r="BC45" i="10"/>
  <c r="J46" i="4" a="1"/>
  <c r="J46" i="4" s="1"/>
  <c r="J12" i="10"/>
  <c r="J13" i="10" s="1"/>
  <c r="J54" i="10" s="1"/>
  <c r="J51" i="10" s="1"/>
  <c r="BC4" i="10"/>
  <c r="BC6" i="10"/>
  <c r="BC57" i="10" s="1"/>
  <c r="BC58" i="10" s="1"/>
  <c r="BD5" i="10"/>
  <c r="BC8" i="10"/>
  <c r="H14" i="4"/>
  <c r="I14" i="4"/>
  <c r="G16" i="4"/>
  <c r="Q97" i="5"/>
  <c r="J38" i="4"/>
  <c r="J45" i="4" a="1"/>
  <c r="J45" i="4" s="1"/>
  <c r="J44" i="4" a="1"/>
  <c r="J44" i="4" s="1"/>
  <c r="K31" i="4"/>
  <c r="N6" i="4"/>
  <c r="N4" i="4"/>
  <c r="N13" i="4"/>
  <c r="O5" i="4"/>
  <c r="K17" i="4" a="1"/>
  <c r="K17" i="4" s="1"/>
  <c r="R66" i="5"/>
  <c r="S95" i="5"/>
  <c r="S93" i="5"/>
  <c r="S91" i="5"/>
  <c r="S89" i="5"/>
  <c r="S96" i="5"/>
  <c r="S94" i="5"/>
  <c r="S92" i="5"/>
  <c r="S87" i="5"/>
  <c r="S85" i="5"/>
  <c r="S88" i="5"/>
  <c r="S90" i="5"/>
  <c r="S82" i="5"/>
  <c r="S83" i="5"/>
  <c r="S86" i="5"/>
  <c r="S84" i="5"/>
  <c r="R67" i="5" a="1"/>
  <c r="R67" i="5" s="1"/>
  <c r="L22" i="7"/>
  <c r="L21" i="7"/>
  <c r="S55" i="5" a="1"/>
  <c r="S55" i="5" s="1"/>
  <c r="S50" i="5" a="1"/>
  <c r="S50" i="5" s="1"/>
  <c r="S54" i="5" a="1"/>
  <c r="S54" i="5" s="1"/>
  <c r="S52" i="5" a="1"/>
  <c r="S52" i="5" s="1"/>
  <c r="S49" i="5" a="1"/>
  <c r="S49" i="5" s="1"/>
  <c r="S51" i="5" a="1"/>
  <c r="S51" i="5" s="1"/>
  <c r="S53" i="5" a="1"/>
  <c r="S53" i="5" s="1"/>
  <c r="S46" i="5" a="1"/>
  <c r="S46" i="5" s="1"/>
  <c r="S48" i="5" a="1"/>
  <c r="S48" i="5" s="1"/>
  <c r="S47" i="5" a="1"/>
  <c r="S47" i="5" s="1"/>
  <c r="R64" i="5"/>
  <c r="K37" i="4" s="1" a="1"/>
  <c r="K37" i="4" s="1"/>
  <c r="R63" i="5"/>
  <c r="K36" i="4" s="1" a="1"/>
  <c r="K36" i="4" s="1"/>
  <c r="K11" i="10" s="1"/>
  <c r="R62" i="5"/>
  <c r="S36" i="5"/>
  <c r="S35" i="5"/>
  <c r="S34" i="5"/>
  <c r="S29" i="5"/>
  <c r="S38" i="5"/>
  <c r="S32" i="5"/>
  <c r="S37" i="5"/>
  <c r="S33" i="5"/>
  <c r="S31" i="5"/>
  <c r="S30" i="5"/>
  <c r="T4" i="5"/>
  <c r="T6" i="5"/>
  <c r="S8" i="5" l="1" a="1"/>
  <c r="S8" i="5" s="1"/>
  <c r="L25" i="7"/>
  <c r="L29" i="7"/>
  <c r="L26" i="7"/>
  <c r="L30" i="7"/>
  <c r="L23" i="7"/>
  <c r="L31" i="7"/>
  <c r="L28" i="7"/>
  <c r="L24" i="7"/>
  <c r="L32" i="7"/>
  <c r="L27" i="7"/>
  <c r="K33" i="7"/>
  <c r="S61" i="5"/>
  <c r="T59" i="5" a="1"/>
  <c r="T59" i="5" s="1"/>
  <c r="T57" i="5" a="1"/>
  <c r="T57" i="5" s="1"/>
  <c r="T58" i="5" a="1"/>
  <c r="T58" i="5" s="1"/>
  <c r="T43" i="5"/>
  <c r="T56" i="5" a="1"/>
  <c r="T56" i="5" s="1"/>
  <c r="T42" i="5"/>
  <c r="T39" i="5"/>
  <c r="T41" i="5"/>
  <c r="T60" i="5" a="1"/>
  <c r="T60" i="5" s="1"/>
  <c r="T40" i="5"/>
  <c r="J11" i="4" a="1"/>
  <c r="J11" i="4" s="1"/>
  <c r="J43" i="4" s="1" a="1"/>
  <c r="J43" i="4" s="1"/>
  <c r="BD55" i="10"/>
  <c r="BD53" i="10"/>
  <c r="BD60" i="10"/>
  <c r="BD45" i="10"/>
  <c r="K46" i="4" a="1"/>
  <c r="K46" i="4" s="1"/>
  <c r="K12" i="10"/>
  <c r="K13" i="10" s="1"/>
  <c r="K54" i="10" s="1"/>
  <c r="K51" i="10" s="1"/>
  <c r="I16" i="4"/>
  <c r="BD8" i="10"/>
  <c r="BD4" i="10"/>
  <c r="BE5" i="10"/>
  <c r="BD6" i="10"/>
  <c r="BD57" i="10" s="1"/>
  <c r="BD58" i="10" s="1"/>
  <c r="H16" i="4"/>
  <c r="N15" i="4"/>
  <c r="G18" i="4"/>
  <c r="R97" i="5"/>
  <c r="K11" i="4" s="1" a="1"/>
  <c r="K11" i="4" s="1"/>
  <c r="K44" i="4" a="1"/>
  <c r="K44" i="4" s="1"/>
  <c r="K38" i="4"/>
  <c r="K45" i="4" a="1"/>
  <c r="K45" i="4" s="1"/>
  <c r="L31" i="4"/>
  <c r="L17" i="4" a="1"/>
  <c r="L17" i="4" s="1"/>
  <c r="O4" i="4"/>
  <c r="O15" i="4" s="1"/>
  <c r="P5" i="4"/>
  <c r="O6" i="4"/>
  <c r="N21" i="7" s="1"/>
  <c r="O13" i="4"/>
  <c r="S66" i="5"/>
  <c r="T95" i="5"/>
  <c r="T93" i="5"/>
  <c r="T91" i="5"/>
  <c r="T87" i="5"/>
  <c r="T85" i="5"/>
  <c r="T88" i="5"/>
  <c r="T89" i="5"/>
  <c r="T92" i="5"/>
  <c r="T90" i="5"/>
  <c r="T82" i="5"/>
  <c r="T94" i="5"/>
  <c r="T86" i="5"/>
  <c r="T84" i="5"/>
  <c r="T96" i="5"/>
  <c r="T83" i="5"/>
  <c r="S67" i="5" a="1"/>
  <c r="S67" i="5" s="1"/>
  <c r="M22" i="7"/>
  <c r="M21" i="7"/>
  <c r="T55" i="5" a="1"/>
  <c r="T55" i="5" s="1"/>
  <c r="T49" i="5" a="1"/>
  <c r="T49" i="5" s="1"/>
  <c r="T53" i="5" a="1"/>
  <c r="T53" i="5" s="1"/>
  <c r="T51" i="5" a="1"/>
  <c r="T51" i="5" s="1"/>
  <c r="T46" i="5" a="1"/>
  <c r="T46" i="5" s="1"/>
  <c r="T52" i="5" a="1"/>
  <c r="T52" i="5" s="1"/>
  <c r="T48" i="5" a="1"/>
  <c r="T48" i="5" s="1"/>
  <c r="T50" i="5" a="1"/>
  <c r="T50" i="5" s="1"/>
  <c r="T47" i="5" a="1"/>
  <c r="T47" i="5" s="1"/>
  <c r="T54" i="5" a="1"/>
  <c r="T54" i="5" s="1"/>
  <c r="S64" i="5"/>
  <c r="L37" i="4" s="1" a="1"/>
  <c r="L37" i="4" s="1"/>
  <c r="L46" i="4" s="1" a="1"/>
  <c r="L46" i="4" s="1"/>
  <c r="S62" i="5"/>
  <c r="S63" i="5"/>
  <c r="L36" i="4" s="1" a="1"/>
  <c r="L36" i="4" s="1"/>
  <c r="T36" i="5"/>
  <c r="T34" i="5"/>
  <c r="T29" i="5"/>
  <c r="T38" i="5"/>
  <c r="T32" i="5"/>
  <c r="T37" i="5"/>
  <c r="T33" i="5"/>
  <c r="T31" i="5"/>
  <c r="T35" i="5"/>
  <c r="T30" i="5"/>
  <c r="U4" i="5"/>
  <c r="U6" i="5"/>
  <c r="T8" i="5" l="1" a="1"/>
  <c r="T8" i="5" s="1"/>
  <c r="L33" i="7"/>
  <c r="M25" i="7"/>
  <c r="M29" i="7"/>
  <c r="M23" i="7"/>
  <c r="M27" i="7"/>
  <c r="M31" i="7"/>
  <c r="M26" i="7"/>
  <c r="M24" i="7"/>
  <c r="M32" i="7"/>
  <c r="M28" i="7"/>
  <c r="M30" i="7"/>
  <c r="T61" i="5"/>
  <c r="U58" i="5" a="1"/>
  <c r="U58" i="5" s="1"/>
  <c r="U43" i="5"/>
  <c r="U56" i="5" a="1"/>
  <c r="U56" i="5" s="1"/>
  <c r="U59" i="5" a="1"/>
  <c r="U59" i="5" s="1"/>
  <c r="U57" i="5" a="1"/>
  <c r="U57" i="5" s="1"/>
  <c r="U41" i="5"/>
  <c r="U42" i="5"/>
  <c r="U40" i="5"/>
  <c r="U39" i="5"/>
  <c r="U60" i="5" a="1"/>
  <c r="U60" i="5" s="1"/>
  <c r="J12" i="4" a="1"/>
  <c r="J12" i="4" s="1"/>
  <c r="J14" i="4" s="1"/>
  <c r="S97" i="5"/>
  <c r="BE53" i="10"/>
  <c r="BE55" i="10"/>
  <c r="BE60" i="10"/>
  <c r="BE45" i="10"/>
  <c r="I18" i="4"/>
  <c r="H18" i="4"/>
  <c r="BF5" i="10"/>
  <c r="BE8" i="10"/>
  <c r="BE6" i="10"/>
  <c r="BE57" i="10" s="1"/>
  <c r="BE58" i="10" s="1"/>
  <c r="BE4" i="10"/>
  <c r="K12" i="4" a="1"/>
  <c r="K12" i="4" s="1"/>
  <c r="K43" i="4" a="1"/>
  <c r="K43" i="4" s="1"/>
  <c r="G33" i="4"/>
  <c r="G46" i="10" s="1"/>
  <c r="L44" i="4" a="1"/>
  <c r="L44" i="4" s="1"/>
  <c r="L38" i="4"/>
  <c r="L45" i="4" a="1"/>
  <c r="L45" i="4" s="1"/>
  <c r="M31" i="4"/>
  <c r="P6" i="4"/>
  <c r="O21" i="7" s="1"/>
  <c r="Q5" i="4"/>
  <c r="P13" i="4"/>
  <c r="P4" i="4"/>
  <c r="P15" i="4" s="1"/>
  <c r="M17" i="4" a="1"/>
  <c r="M17" i="4" s="1"/>
  <c r="M24" i="10" s="1"/>
  <c r="T66" i="5"/>
  <c r="U95" i="5"/>
  <c r="U93" i="5"/>
  <c r="U91" i="5"/>
  <c r="U88" i="5"/>
  <c r="U90" i="5"/>
  <c r="U92" i="5"/>
  <c r="U82" i="5"/>
  <c r="U86" i="5"/>
  <c r="U94" i="5"/>
  <c r="U87" i="5"/>
  <c r="U96" i="5"/>
  <c r="U85" i="5"/>
  <c r="U89" i="5"/>
  <c r="U84" i="5"/>
  <c r="U83" i="5"/>
  <c r="T67" i="5" a="1"/>
  <c r="T67" i="5" s="1"/>
  <c r="N22" i="7"/>
  <c r="O22" i="7"/>
  <c r="U53" i="5" a="1"/>
  <c r="U53" i="5" s="1"/>
  <c r="U54" i="5" a="1"/>
  <c r="U54" i="5" s="1"/>
  <c r="U51" i="5" a="1"/>
  <c r="U51" i="5" s="1"/>
  <c r="U48" i="5" a="1"/>
  <c r="U48" i="5" s="1"/>
  <c r="U52" i="5" a="1"/>
  <c r="U52" i="5" s="1"/>
  <c r="U47" i="5" a="1"/>
  <c r="U47" i="5" s="1"/>
  <c r="U49" i="5" a="1"/>
  <c r="U49" i="5" s="1"/>
  <c r="U50" i="5" a="1"/>
  <c r="U50" i="5" s="1"/>
  <c r="U46" i="5" a="1"/>
  <c r="U46" i="5" s="1"/>
  <c r="U55" i="5" a="1"/>
  <c r="U55" i="5" s="1"/>
  <c r="T62" i="5"/>
  <c r="T63" i="5"/>
  <c r="M36" i="4" s="1" a="1"/>
  <c r="M36" i="4" s="1"/>
  <c r="T64" i="5"/>
  <c r="M37" i="4" s="1" a="1"/>
  <c r="M37" i="4" s="1"/>
  <c r="M46" i="4" s="1" a="1"/>
  <c r="M46" i="4" s="1"/>
  <c r="U34" i="5"/>
  <c r="U37" i="5"/>
  <c r="U38" i="5"/>
  <c r="U32" i="5"/>
  <c r="U30" i="5"/>
  <c r="U35" i="5"/>
  <c r="U29" i="5"/>
  <c r="U36" i="5"/>
  <c r="U31" i="5"/>
  <c r="U33" i="5"/>
  <c r="V4" i="5"/>
  <c r="V6" i="5"/>
  <c r="U8" i="5" l="1" a="1"/>
  <c r="U8" i="5" s="1"/>
  <c r="O24" i="7"/>
  <c r="O28" i="7"/>
  <c r="O32" i="7"/>
  <c r="O26" i="7"/>
  <c r="O30" i="7"/>
  <c r="O29" i="7"/>
  <c r="O31" i="7"/>
  <c r="O23" i="7"/>
  <c r="O27" i="7"/>
  <c r="O25" i="7"/>
  <c r="M33" i="7"/>
  <c r="N24" i="7"/>
  <c r="N28" i="7"/>
  <c r="N32" i="7"/>
  <c r="N25" i="7"/>
  <c r="N29" i="7"/>
  <c r="N26" i="7"/>
  <c r="N23" i="7"/>
  <c r="N31" i="7"/>
  <c r="N27" i="7"/>
  <c r="N30" i="7"/>
  <c r="U61" i="5"/>
  <c r="V56" i="5" a="1"/>
  <c r="V56" i="5" s="1"/>
  <c r="V58" i="5" a="1"/>
  <c r="V58" i="5" s="1"/>
  <c r="V43" i="5"/>
  <c r="V41" i="5"/>
  <c r="V60" i="5" a="1"/>
  <c r="V60" i="5" s="1"/>
  <c r="V40" i="5"/>
  <c r="V42" i="5"/>
  <c r="V59" i="5" a="1"/>
  <c r="V59" i="5" s="1"/>
  <c r="V39" i="5"/>
  <c r="V57" i="5" a="1"/>
  <c r="V57" i="5" s="1"/>
  <c r="L11" i="4" a="1"/>
  <c r="L11" i="4" s="1"/>
  <c r="L12" i="4" s="1" a="1"/>
  <c r="L12" i="4" s="1"/>
  <c r="L14" i="4" s="1"/>
  <c r="L16" i="4" s="1"/>
  <c r="L18" i="4" s="1"/>
  <c r="L33" i="4" s="1"/>
  <c r="L40" i="4" s="1"/>
  <c r="BF53" i="10"/>
  <c r="BF60" i="10"/>
  <c r="BF55" i="10"/>
  <c r="BF45" i="10"/>
  <c r="I33" i="4"/>
  <c r="BG5" i="10"/>
  <c r="BF8" i="10"/>
  <c r="BF4" i="10"/>
  <c r="BF6" i="10"/>
  <c r="BF57" i="10" s="1"/>
  <c r="BF58" i="10" s="1"/>
  <c r="K14" i="4"/>
  <c r="K16" i="4" s="1"/>
  <c r="K18" i="4" s="1"/>
  <c r="H33" i="4"/>
  <c r="G40" i="4"/>
  <c r="J16" i="4"/>
  <c r="T97" i="5"/>
  <c r="M11" i="4" s="1" a="1"/>
  <c r="M11" i="4" s="1"/>
  <c r="M44" i="4" a="1"/>
  <c r="M44" i="4" s="1"/>
  <c r="M38" i="4"/>
  <c r="M45" i="4" a="1"/>
  <c r="M45" i="4" s="1"/>
  <c r="N31" i="4"/>
  <c r="N17" i="4" a="1"/>
  <c r="N17" i="4" s="1"/>
  <c r="Q13" i="4"/>
  <c r="Q6" i="4"/>
  <c r="P21" i="7" s="1"/>
  <c r="R5" i="4"/>
  <c r="Q4" i="4"/>
  <c r="Q15" i="4" s="1"/>
  <c r="U66" i="5"/>
  <c r="V90" i="5"/>
  <c r="V86" i="5"/>
  <c r="V93" i="5"/>
  <c r="V94" i="5"/>
  <c r="V87" i="5"/>
  <c r="V95" i="5"/>
  <c r="V88" i="5"/>
  <c r="V83" i="5"/>
  <c r="V96" i="5"/>
  <c r="V89" i="5"/>
  <c r="V84" i="5"/>
  <c r="V91" i="5"/>
  <c r="V85" i="5"/>
  <c r="V92" i="5"/>
  <c r="V82" i="5"/>
  <c r="U67" i="5" a="1"/>
  <c r="U67" i="5" s="1"/>
  <c r="P22" i="7"/>
  <c r="Q24" i="4" s="1" a="1"/>
  <c r="Q24" i="4" s="1"/>
  <c r="V54" i="5" a="1"/>
  <c r="V54" i="5" s="1"/>
  <c r="V53" i="5" a="1"/>
  <c r="V53" i="5" s="1"/>
  <c r="V50" i="5" a="1"/>
  <c r="V50" i="5" s="1"/>
  <c r="V52" i="5" a="1"/>
  <c r="V52" i="5" s="1"/>
  <c r="V49" i="5" a="1"/>
  <c r="V49" i="5" s="1"/>
  <c r="V46" i="5" a="1"/>
  <c r="V46" i="5" s="1"/>
  <c r="V48" i="5" a="1"/>
  <c r="V48" i="5" s="1"/>
  <c r="V47" i="5" a="1"/>
  <c r="V47" i="5" s="1"/>
  <c r="V55" i="5" a="1"/>
  <c r="V55" i="5" s="1"/>
  <c r="V51" i="5" a="1"/>
  <c r="V51" i="5" s="1"/>
  <c r="U63" i="5"/>
  <c r="N36" i="4" s="1" a="1"/>
  <c r="N36" i="4" s="1"/>
  <c r="U64" i="5"/>
  <c r="N37" i="4" s="1" a="1"/>
  <c r="N37" i="4" s="1"/>
  <c r="N46" i="4" s="1" a="1"/>
  <c r="N46" i="4" s="1"/>
  <c r="U62" i="5"/>
  <c r="V37" i="5"/>
  <c r="V30" i="5"/>
  <c r="V38" i="5"/>
  <c r="V34" i="5"/>
  <c r="V32" i="5"/>
  <c r="V33" i="5"/>
  <c r="V31" i="5"/>
  <c r="V36" i="5"/>
  <c r="V35" i="5"/>
  <c r="V29" i="5"/>
  <c r="W4" i="5"/>
  <c r="W6" i="5"/>
  <c r="V8" i="5" l="1" a="1"/>
  <c r="V8" i="5" s="1"/>
  <c r="O33" i="7"/>
  <c r="N33" i="7"/>
  <c r="V61" i="5"/>
  <c r="W60" i="5" a="1"/>
  <c r="W60" i="5" s="1"/>
  <c r="W42" i="5"/>
  <c r="W58" i="5" a="1"/>
  <c r="W58" i="5" s="1"/>
  <c r="W57" i="5" a="1"/>
  <c r="W57" i="5" s="1"/>
  <c r="W40" i="5"/>
  <c r="W56" i="5" a="1"/>
  <c r="W56" i="5" s="1"/>
  <c r="W39" i="5"/>
  <c r="W59" i="5" a="1"/>
  <c r="W59" i="5" s="1"/>
  <c r="W41" i="5"/>
  <c r="W43" i="5"/>
  <c r="L43" i="4" a="1"/>
  <c r="L43" i="4" s="1"/>
  <c r="BG53" i="10"/>
  <c r="BG60" i="10"/>
  <c r="BG55" i="10"/>
  <c r="BG45" i="10"/>
  <c r="H40" i="4"/>
  <c r="H46" i="10"/>
  <c r="I40" i="4"/>
  <c r="I46" i="10"/>
  <c r="K33" i="4"/>
  <c r="BH5" i="10"/>
  <c r="BG6" i="10"/>
  <c r="BG57" i="10" s="1"/>
  <c r="BG58" i="10" s="1"/>
  <c r="BG4" i="10"/>
  <c r="BG8" i="10"/>
  <c r="M43" i="4" a="1"/>
  <c r="M43" i="4" s="1"/>
  <c r="J18" i="4"/>
  <c r="M12" i="4" a="1"/>
  <c r="M12" i="4" s="1"/>
  <c r="M14" i="4" s="1"/>
  <c r="N44" i="4" a="1"/>
  <c r="N44" i="4" s="1"/>
  <c r="N38" i="4"/>
  <c r="N45" i="4" a="1"/>
  <c r="N45" i="4" s="1"/>
  <c r="U97" i="5"/>
  <c r="O31" i="4"/>
  <c r="P31" i="4"/>
  <c r="O17" i="4" a="1"/>
  <c r="O17" i="4" s="1"/>
  <c r="R4" i="4"/>
  <c r="R15" i="4" s="1"/>
  <c r="S5" i="4"/>
  <c r="R13" i="4"/>
  <c r="R6" i="4"/>
  <c r="Q21" i="7" s="1"/>
  <c r="V66" i="5"/>
  <c r="W96" i="5"/>
  <c r="W94" i="5"/>
  <c r="W92" i="5"/>
  <c r="W90" i="5"/>
  <c r="W88" i="5"/>
  <c r="W95" i="5"/>
  <c r="W93" i="5"/>
  <c r="W91" i="5"/>
  <c r="W86" i="5"/>
  <c r="W87" i="5"/>
  <c r="W84" i="5"/>
  <c r="W83" i="5"/>
  <c r="W89" i="5"/>
  <c r="W82" i="5"/>
  <c r="W85" i="5"/>
  <c r="V67" i="5" a="1"/>
  <c r="V67" i="5" s="1"/>
  <c r="Q22" i="4" a="1"/>
  <c r="Q22" i="4" s="1"/>
  <c r="Q23" i="4" a="1"/>
  <c r="Q23" i="4" s="1"/>
  <c r="Q26" i="4" a="1"/>
  <c r="Q26" i="4" s="1"/>
  <c r="Q30" i="4" a="1"/>
  <c r="Q30" i="4" s="1"/>
  <c r="Q25" i="4" a="1"/>
  <c r="Q25" i="4" s="1"/>
  <c r="Q28" i="4" a="1"/>
  <c r="Q28" i="4" s="1"/>
  <c r="Q27" i="4" a="1"/>
  <c r="Q27" i="4" s="1"/>
  <c r="Q22" i="7"/>
  <c r="R24" i="4" s="1" a="1"/>
  <c r="R24" i="4" s="1"/>
  <c r="Q21" i="4" a="1"/>
  <c r="Q21" i="4" s="1"/>
  <c r="Q29" i="4" a="1"/>
  <c r="Q29" i="4" s="1"/>
  <c r="W50" i="5" a="1"/>
  <c r="W50" i="5" s="1"/>
  <c r="W52" i="5" a="1"/>
  <c r="W52" i="5" s="1"/>
  <c r="W49" i="5" a="1"/>
  <c r="W49" i="5" s="1"/>
  <c r="W54" i="5" a="1"/>
  <c r="W54" i="5" s="1"/>
  <c r="W47" i="5" a="1"/>
  <c r="W47" i="5" s="1"/>
  <c r="W46" i="5" a="1"/>
  <c r="W46" i="5" s="1"/>
  <c r="W53" i="5" a="1"/>
  <c r="W53" i="5" s="1"/>
  <c r="W55" i="5" a="1"/>
  <c r="W55" i="5" s="1"/>
  <c r="W51" i="5" a="1"/>
  <c r="W51" i="5" s="1"/>
  <c r="W48" i="5" a="1"/>
  <c r="W48" i="5" s="1"/>
  <c r="V62" i="5"/>
  <c r="V64" i="5"/>
  <c r="O37" i="4" s="1" a="1"/>
  <c r="O37" i="4" s="1"/>
  <c r="O46" i="4" s="1" a="1"/>
  <c r="O46" i="4" s="1"/>
  <c r="V63" i="5"/>
  <c r="O36" i="4" s="1" a="1"/>
  <c r="O36" i="4" s="1"/>
  <c r="W37" i="5"/>
  <c r="W35" i="5"/>
  <c r="W30" i="5"/>
  <c r="W38" i="5"/>
  <c r="W34" i="5"/>
  <c r="W32" i="5"/>
  <c r="W29" i="5"/>
  <c r="W31" i="5"/>
  <c r="W33" i="5"/>
  <c r="W36" i="5"/>
  <c r="X4" i="5"/>
  <c r="X6" i="5"/>
  <c r="W8" i="5" l="1" a="1"/>
  <c r="W8" i="5" s="1"/>
  <c r="W61" i="5"/>
  <c r="X60" i="5" a="1"/>
  <c r="X60" i="5" s="1"/>
  <c r="X42" i="5"/>
  <c r="X58" i="5" a="1"/>
  <c r="X58" i="5" s="1"/>
  <c r="X57" i="5" a="1"/>
  <c r="X57" i="5" s="1"/>
  <c r="X40" i="5"/>
  <c r="X59" i="5" a="1"/>
  <c r="X59" i="5" s="1"/>
  <c r="X43" i="5"/>
  <c r="X39" i="5"/>
  <c r="X41" i="5"/>
  <c r="X56" i="5" a="1"/>
  <c r="X56" i="5" s="1"/>
  <c r="N11" i="4" a="1"/>
  <c r="N11" i="4" s="1"/>
  <c r="N43" i="4" s="1" a="1"/>
  <c r="N43" i="4" s="1"/>
  <c r="BH53" i="10"/>
  <c r="BH60" i="10"/>
  <c r="BH55" i="10"/>
  <c r="BH45" i="10"/>
  <c r="K40" i="4"/>
  <c r="BH8" i="10"/>
  <c r="BI5" i="10"/>
  <c r="BH6" i="10"/>
  <c r="BH57" i="10" s="1"/>
  <c r="BH58" i="10" s="1"/>
  <c r="BH4" i="10"/>
  <c r="M16" i="4"/>
  <c r="J33" i="4"/>
  <c r="J46" i="10" s="1"/>
  <c r="V97" i="5"/>
  <c r="O44" i="4" a="1"/>
  <c r="O44" i="4" s="1"/>
  <c r="O38" i="4"/>
  <c r="O45" i="4" a="1"/>
  <c r="O45" i="4" s="1"/>
  <c r="P44" i="4" a="1"/>
  <c r="P44" i="4" s="1"/>
  <c r="Q31" i="4"/>
  <c r="S4" i="4"/>
  <c r="S15" i="4" s="1"/>
  <c r="T5" i="4"/>
  <c r="S22" i="7" s="1"/>
  <c r="S6" i="4"/>
  <c r="R21" i="7" s="1"/>
  <c r="S13" i="4"/>
  <c r="P17" i="4" a="1"/>
  <c r="P17" i="4" s="1"/>
  <c r="W66" i="5"/>
  <c r="X96" i="5"/>
  <c r="X94" i="5"/>
  <c r="X92" i="5"/>
  <c r="X90" i="5"/>
  <c r="X86" i="5"/>
  <c r="X84" i="5"/>
  <c r="X95" i="5"/>
  <c r="X93" i="5"/>
  <c r="X91" i="5"/>
  <c r="X89" i="5"/>
  <c r="X88" i="5"/>
  <c r="X83" i="5"/>
  <c r="X85" i="5"/>
  <c r="X87" i="5"/>
  <c r="X82" i="5"/>
  <c r="W67" i="5" a="1"/>
  <c r="W67" i="5" s="1"/>
  <c r="R22" i="4" a="1"/>
  <c r="R22" i="4" s="1"/>
  <c r="R23" i="4" a="1"/>
  <c r="R23" i="4" s="1"/>
  <c r="R26" i="4" a="1"/>
  <c r="R26" i="4" s="1"/>
  <c r="R28" i="4" a="1"/>
  <c r="R28" i="4" s="1"/>
  <c r="R27" i="4" a="1"/>
  <c r="R27" i="4" s="1"/>
  <c r="R30" i="4" a="1"/>
  <c r="R30" i="4" s="1"/>
  <c r="R25" i="4" a="1"/>
  <c r="R25" i="4" s="1"/>
  <c r="R21" i="4" a="1"/>
  <c r="R21" i="4" s="1"/>
  <c r="R29" i="4" a="1"/>
  <c r="R29" i="4" s="1"/>
  <c r="R22" i="7"/>
  <c r="X55" i="5" a="1"/>
  <c r="X55" i="5" s="1"/>
  <c r="X52" i="5" a="1"/>
  <c r="X52" i="5" s="1"/>
  <c r="X49" i="5" a="1"/>
  <c r="X49" i="5" s="1"/>
  <c r="X53" i="5" a="1"/>
  <c r="X53" i="5" s="1"/>
  <c r="X46" i="5" a="1"/>
  <c r="X46" i="5" s="1"/>
  <c r="X51" i="5" a="1"/>
  <c r="X51" i="5" s="1"/>
  <c r="X50" i="5" a="1"/>
  <c r="X50" i="5" s="1"/>
  <c r="X54" i="5" a="1"/>
  <c r="X54" i="5" s="1"/>
  <c r="X47" i="5" a="1"/>
  <c r="X47" i="5" s="1"/>
  <c r="X48" i="5" a="1"/>
  <c r="X48" i="5" s="1"/>
  <c r="W64" i="5"/>
  <c r="P37" i="4" s="1" a="1"/>
  <c r="P37" i="4" s="1"/>
  <c r="P46" i="4" s="1" a="1"/>
  <c r="P46" i="4" s="1"/>
  <c r="W62" i="5"/>
  <c r="W63" i="5"/>
  <c r="P36" i="4" s="1" a="1"/>
  <c r="P36" i="4" s="1"/>
  <c r="X35" i="5"/>
  <c r="X38" i="5"/>
  <c r="X36" i="5"/>
  <c r="X33" i="5"/>
  <c r="X31" i="5"/>
  <c r="X30" i="5"/>
  <c r="X32" i="5"/>
  <c r="X29" i="5"/>
  <c r="X37" i="5"/>
  <c r="X34" i="5"/>
  <c r="Y4" i="5"/>
  <c r="Y6" i="5"/>
  <c r="X8" i="5" l="1" a="1"/>
  <c r="X8" i="5" s="1"/>
  <c r="S27" i="7"/>
  <c r="S30" i="7"/>
  <c r="S25" i="7"/>
  <c r="S26" i="7"/>
  <c r="S28" i="7"/>
  <c r="S32" i="7"/>
  <c r="S23" i="7"/>
  <c r="S31" i="7"/>
  <c r="S29" i="7"/>
  <c r="S33" i="7"/>
  <c r="S24" i="7"/>
  <c r="S29" i="4" a="1"/>
  <c r="S29" i="4" s="1"/>
  <c r="R26" i="7"/>
  <c r="R24" i="7"/>
  <c r="R27" i="7"/>
  <c r="R28" i="7"/>
  <c r="R32" i="7"/>
  <c r="R31" i="7"/>
  <c r="R30" i="7"/>
  <c r="R33" i="7"/>
  <c r="R29" i="7"/>
  <c r="R25" i="7"/>
  <c r="R23" i="7"/>
  <c r="X61" i="5"/>
  <c r="Y60" i="5" a="1"/>
  <c r="Y60" i="5" s="1"/>
  <c r="Y42" i="5"/>
  <c r="Y57" i="5" a="1"/>
  <c r="Y57" i="5" s="1"/>
  <c r="Y59" i="5" a="1"/>
  <c r="Y59" i="5" s="1"/>
  <c r="Y56" i="5" a="1"/>
  <c r="Y56" i="5" s="1"/>
  <c r="Y41" i="5"/>
  <c r="Y39" i="5"/>
  <c r="Y40" i="5"/>
  <c r="Y58" i="5" a="1"/>
  <c r="Y58" i="5" s="1"/>
  <c r="Y43" i="5"/>
  <c r="N12" i="4" a="1"/>
  <c r="N12" i="4" s="1"/>
  <c r="N14" i="4" s="1"/>
  <c r="N16" i="4" s="1"/>
  <c r="N18" i="4" s="1"/>
  <c r="N33" i="4" s="1"/>
  <c r="N40" i="4" s="1"/>
  <c r="O11" i="4" a="1"/>
  <c r="O11" i="4" s="1"/>
  <c r="O43" i="4" s="1" a="1"/>
  <c r="O43" i="4" s="1"/>
  <c r="BI53" i="10"/>
  <c r="BI60" i="10"/>
  <c r="BI55" i="10"/>
  <c r="BI45" i="10"/>
  <c r="BI6" i="10"/>
  <c r="BI57" i="10" s="1"/>
  <c r="BI58" i="10" s="1"/>
  <c r="BJ5" i="10"/>
  <c r="BI8" i="10"/>
  <c r="BI4" i="10"/>
  <c r="J40" i="4"/>
  <c r="M18" i="4"/>
  <c r="W97" i="5"/>
  <c r="Q44" i="4" a="1"/>
  <c r="Q44" i="4" s="1"/>
  <c r="P38" i="4"/>
  <c r="P45" i="4" a="1"/>
  <c r="P45" i="4" s="1"/>
  <c r="R31" i="4"/>
  <c r="Q17" i="4" a="1"/>
  <c r="Q17" i="4" s="1"/>
  <c r="T6" i="4"/>
  <c r="S21" i="7" s="1"/>
  <c r="T13" i="4"/>
  <c r="U5" i="4"/>
  <c r="T22" i="7" s="1"/>
  <c r="T4" i="4"/>
  <c r="T15" i="4" s="1"/>
  <c r="X66" i="5"/>
  <c r="Y96" i="5"/>
  <c r="Y94" i="5"/>
  <c r="Y92" i="5"/>
  <c r="Y90" i="5"/>
  <c r="Y95" i="5"/>
  <c r="Y93" i="5"/>
  <c r="Y91" i="5"/>
  <c r="Y89" i="5"/>
  <c r="Y88" i="5"/>
  <c r="Y83" i="5"/>
  <c r="Y86" i="5"/>
  <c r="Y84" i="5"/>
  <c r="Y85" i="5"/>
  <c r="Y87" i="5"/>
  <c r="Y82" i="5"/>
  <c r="X67" i="5" a="1"/>
  <c r="X67" i="5" s="1"/>
  <c r="S22" i="4" a="1"/>
  <c r="S22" i="4" s="1"/>
  <c r="S24" i="4" a="1"/>
  <c r="S24" i="4" s="1"/>
  <c r="S25" i="4" a="1"/>
  <c r="S25" i="4" s="1"/>
  <c r="S30" i="4" a="1"/>
  <c r="S30" i="4" s="1"/>
  <c r="S27" i="4" a="1"/>
  <c r="S27" i="4" s="1"/>
  <c r="S26" i="4" a="1"/>
  <c r="S26" i="4" s="1"/>
  <c r="S28" i="4" a="1"/>
  <c r="S28" i="4" s="1"/>
  <c r="S23" i="4" a="1"/>
  <c r="S23" i="4" s="1"/>
  <c r="T25" i="4" a="1"/>
  <c r="T25" i="4" s="1"/>
  <c r="S21" i="4" a="1"/>
  <c r="S21" i="4" s="1"/>
  <c r="Y55" i="5" a="1"/>
  <c r="Y55" i="5" s="1"/>
  <c r="Y53" i="5" a="1"/>
  <c r="Y53" i="5" s="1"/>
  <c r="Y48" i="5" a="1"/>
  <c r="Y48" i="5" s="1"/>
  <c r="Y54" i="5" a="1"/>
  <c r="Y54" i="5" s="1"/>
  <c r="Y51" i="5" a="1"/>
  <c r="Y51" i="5" s="1"/>
  <c r="Y47" i="5" a="1"/>
  <c r="Y47" i="5" s="1"/>
  <c r="Y50" i="5" a="1"/>
  <c r="Y50" i="5" s="1"/>
  <c r="Y49" i="5" a="1"/>
  <c r="Y49" i="5" s="1"/>
  <c r="Y52" i="5" a="1"/>
  <c r="Y52" i="5" s="1"/>
  <c r="Y46" i="5" a="1"/>
  <c r="Y46" i="5" s="1"/>
  <c r="X63" i="5"/>
  <c r="Q36" i="4" s="1" a="1"/>
  <c r="Q36" i="4" s="1"/>
  <c r="X62" i="5"/>
  <c r="X64" i="5"/>
  <c r="Q37" i="4" s="1" a="1"/>
  <c r="Q37" i="4" s="1"/>
  <c r="Q46" i="4" s="1" a="1"/>
  <c r="Q46" i="4" s="1"/>
  <c r="Y38" i="5"/>
  <c r="Y36" i="5"/>
  <c r="Y33" i="5"/>
  <c r="Y31" i="5"/>
  <c r="Y30" i="5"/>
  <c r="Y37" i="5"/>
  <c r="Y34" i="5"/>
  <c r="Y32" i="5"/>
  <c r="Y29" i="5"/>
  <c r="Y35" i="5"/>
  <c r="Z4" i="5"/>
  <c r="Z6" i="5"/>
  <c r="Y8" i="5" l="1" a="1"/>
  <c r="Y8" i="5" s="1"/>
  <c r="T24" i="7"/>
  <c r="T27" i="7"/>
  <c r="T25" i="7"/>
  <c r="T28" i="7"/>
  <c r="T32" i="7"/>
  <c r="T23" i="7"/>
  <c r="T26" i="7"/>
  <c r="T30" i="7"/>
  <c r="T33" i="7"/>
  <c r="T31" i="7"/>
  <c r="T29" i="7"/>
  <c r="Y61" i="5"/>
  <c r="Z57" i="5" a="1"/>
  <c r="Z57" i="5" s="1"/>
  <c r="Z59" i="5" a="1"/>
  <c r="Z59" i="5" s="1"/>
  <c r="Z56" i="5" a="1"/>
  <c r="Z56" i="5" s="1"/>
  <c r="Z60" i="5" a="1"/>
  <c r="Z60" i="5" s="1"/>
  <c r="Z42" i="5"/>
  <c r="Z39" i="5"/>
  <c r="Z41" i="5"/>
  <c r="Z40" i="5"/>
  <c r="Z58" i="5" a="1"/>
  <c r="Z58" i="5" s="1"/>
  <c r="Z43" i="5"/>
  <c r="O12" i="4" a="1"/>
  <c r="O12" i="4" s="1"/>
  <c r="O14" i="4" s="1"/>
  <c r="O16" i="4" s="1"/>
  <c r="O18" i="4" s="1"/>
  <c r="O33" i="4" s="1"/>
  <c r="O40" i="4" s="1"/>
  <c r="P11" i="4" a="1"/>
  <c r="P11" i="4" s="1"/>
  <c r="P12" i="4" s="1" a="1"/>
  <c r="P12" i="4" s="1"/>
  <c r="P14" i="4" s="1"/>
  <c r="P16" i="4" s="1"/>
  <c r="P18" i="4" s="1"/>
  <c r="P33" i="4" s="1"/>
  <c r="P40" i="4" s="1"/>
  <c r="BJ60" i="10"/>
  <c r="BJ55" i="10"/>
  <c r="BJ53" i="10"/>
  <c r="BJ45" i="10"/>
  <c r="BJ4" i="10"/>
  <c r="BJ6" i="10"/>
  <c r="BJ57" i="10" s="1"/>
  <c r="BJ58" i="10" s="1"/>
  <c r="BJ8" i="10"/>
  <c r="BK5" i="10"/>
  <c r="M33" i="4"/>
  <c r="X97" i="5"/>
  <c r="Q11" i="4" s="1" a="1"/>
  <c r="Q11" i="4" s="1"/>
  <c r="Q43" i="4" s="1" a="1"/>
  <c r="Q43" i="4" s="1"/>
  <c r="R44" i="4" a="1"/>
  <c r="R44" i="4" s="1"/>
  <c r="Q38" i="4"/>
  <c r="Q45" i="4" a="1"/>
  <c r="Q45" i="4" s="1"/>
  <c r="S31" i="4"/>
  <c r="U13" i="4"/>
  <c r="U4" i="4"/>
  <c r="U15" i="4" s="1"/>
  <c r="U6" i="4"/>
  <c r="T21" i="7" s="1"/>
  <c r="V5" i="4"/>
  <c r="U22" i="7" s="1"/>
  <c r="R17" i="4" a="1"/>
  <c r="R17" i="4" s="1"/>
  <c r="Y66" i="5"/>
  <c r="Z95" i="5"/>
  <c r="Z93" i="5"/>
  <c r="Z91" i="5"/>
  <c r="Z90" i="5"/>
  <c r="Z89" i="5"/>
  <c r="Z96" i="5"/>
  <c r="Z94" i="5"/>
  <c r="Z92" i="5"/>
  <c r="Z87" i="5"/>
  <c r="Z86" i="5"/>
  <c r="Z84" i="5"/>
  <c r="Z85" i="5"/>
  <c r="Z82" i="5"/>
  <c r="Z88" i="5"/>
  <c r="Z83" i="5"/>
  <c r="Y67" i="5" a="1"/>
  <c r="Y67" i="5" s="1"/>
  <c r="T28" i="4" a="1"/>
  <c r="T28" i="4" s="1"/>
  <c r="T27" i="4" a="1"/>
  <c r="T27" i="4" s="1"/>
  <c r="T24" i="4" a="1"/>
  <c r="T24" i="4" s="1"/>
  <c r="T21" i="4" a="1"/>
  <c r="T21" i="4" s="1"/>
  <c r="T29" i="4" a="1"/>
  <c r="T29" i="4" s="1"/>
  <c r="T23" i="4" a="1"/>
  <c r="T23" i="4" s="1"/>
  <c r="T30" i="4" a="1"/>
  <c r="T30" i="4" s="1"/>
  <c r="T26" i="4" a="1"/>
  <c r="T26" i="4" s="1"/>
  <c r="T22" i="4" a="1"/>
  <c r="T22" i="4" s="1"/>
  <c r="U25" i="4" a="1"/>
  <c r="U25" i="4" s="1"/>
  <c r="Z54" i="5" a="1"/>
  <c r="Z54" i="5" s="1"/>
  <c r="Z50" i="5" a="1"/>
  <c r="Z50" i="5" s="1"/>
  <c r="Z53" i="5" a="1"/>
  <c r="Z53" i="5" s="1"/>
  <c r="Z51" i="5" a="1"/>
  <c r="Z51" i="5" s="1"/>
  <c r="Z48" i="5" a="1"/>
  <c r="Z48" i="5" s="1"/>
  <c r="Z47" i="5" a="1"/>
  <c r="Z47" i="5" s="1"/>
  <c r="Z55" i="5" a="1"/>
  <c r="Z55" i="5" s="1"/>
  <c r="Z49" i="5" a="1"/>
  <c r="Z49" i="5" s="1"/>
  <c r="Z52" i="5" a="1"/>
  <c r="Z52" i="5" s="1"/>
  <c r="Z46" i="5" a="1"/>
  <c r="Z46" i="5" s="1"/>
  <c r="Y63" i="5"/>
  <c r="R36" i="4" s="1" a="1"/>
  <c r="R36" i="4" s="1"/>
  <c r="Y62" i="5"/>
  <c r="Y64" i="5"/>
  <c r="R37" i="4" s="1" a="1"/>
  <c r="R37" i="4" s="1"/>
  <c r="R46" i="4" s="1" a="1"/>
  <c r="R46" i="4" s="1"/>
  <c r="Z38" i="5"/>
  <c r="Z33" i="5"/>
  <c r="Z36" i="5"/>
  <c r="Z31" i="5"/>
  <c r="Z29" i="5"/>
  <c r="Z30" i="5"/>
  <c r="Z32" i="5"/>
  <c r="Z35" i="5"/>
  <c r="Z37" i="5"/>
  <c r="Z34" i="5"/>
  <c r="AA4" i="5"/>
  <c r="AA6" i="5"/>
  <c r="Z8" i="5" l="1" a="1"/>
  <c r="Z8" i="5" s="1"/>
  <c r="U29" i="7"/>
  <c r="U24" i="7"/>
  <c r="U27" i="7"/>
  <c r="U28" i="7"/>
  <c r="U25" i="7"/>
  <c r="U33" i="7"/>
  <c r="U26" i="7"/>
  <c r="U30" i="7"/>
  <c r="U32" i="7"/>
  <c r="U23" i="7"/>
  <c r="U31" i="7"/>
  <c r="Z61" i="5"/>
  <c r="AA56" i="5" a="1"/>
  <c r="AA56" i="5" s="1"/>
  <c r="AA59" i="5" a="1"/>
  <c r="AA59" i="5" s="1"/>
  <c r="AA58" i="5" a="1"/>
  <c r="AA58" i="5" s="1"/>
  <c r="AA43" i="5"/>
  <c r="AA41" i="5"/>
  <c r="AA57" i="5" a="1"/>
  <c r="AA57" i="5" s="1"/>
  <c r="AA60" i="5" a="1"/>
  <c r="AA60" i="5" s="1"/>
  <c r="AA39" i="5"/>
  <c r="AA42" i="5"/>
  <c r="AA40" i="5"/>
  <c r="P43" i="4" a="1"/>
  <c r="P43" i="4" s="1"/>
  <c r="BK55" i="10"/>
  <c r="BK53" i="10"/>
  <c r="BK60" i="10"/>
  <c r="BK45" i="10"/>
  <c r="BK4" i="10"/>
  <c r="BK6" i="10"/>
  <c r="BK57" i="10" s="1"/>
  <c r="BK58" i="10" s="1"/>
  <c r="BK8" i="10"/>
  <c r="BL5" i="10"/>
  <c r="M40" i="4"/>
  <c r="Y97" i="5"/>
  <c r="R11" i="4" s="1" a="1"/>
  <c r="R11" i="4" s="1"/>
  <c r="R12" i="4" s="1" a="1"/>
  <c r="R12" i="4" s="1"/>
  <c r="Q12" i="4" a="1"/>
  <c r="Q12" i="4" s="1"/>
  <c r="Q14" i="4" s="1"/>
  <c r="Q16" i="4" s="1"/>
  <c r="Q18" i="4" s="1"/>
  <c r="S44" i="4" a="1"/>
  <c r="S44" i="4" s="1"/>
  <c r="R45" i="4" a="1"/>
  <c r="R45" i="4" s="1"/>
  <c r="R38" i="4"/>
  <c r="T31" i="4"/>
  <c r="W5" i="4"/>
  <c r="V22" i="7" s="1"/>
  <c r="V6" i="4"/>
  <c r="U21" i="7" s="1"/>
  <c r="V4" i="4"/>
  <c r="V15" i="4" s="1"/>
  <c r="V13" i="4"/>
  <c r="S17" i="4" a="1"/>
  <c r="S17" i="4" s="1"/>
  <c r="Z66" i="5"/>
  <c r="AA95" i="5"/>
  <c r="AA93" i="5"/>
  <c r="AA91" i="5"/>
  <c r="AA89" i="5"/>
  <c r="AA96" i="5"/>
  <c r="AA94" i="5"/>
  <c r="AA92" i="5"/>
  <c r="AA87" i="5"/>
  <c r="AA85" i="5"/>
  <c r="AA90" i="5"/>
  <c r="AA86" i="5"/>
  <c r="AA84" i="5"/>
  <c r="AA82" i="5"/>
  <c r="AA88" i="5"/>
  <c r="AA83" i="5"/>
  <c r="Z67" i="5" a="1"/>
  <c r="Z67" i="5" s="1"/>
  <c r="U28" i="4" a="1"/>
  <c r="U28" i="4" s="1"/>
  <c r="U27" i="4" a="1"/>
  <c r="U27" i="4" s="1"/>
  <c r="U29" i="4" a="1"/>
  <c r="U29" i="4" s="1"/>
  <c r="U24" i="4" a="1"/>
  <c r="U24" i="4" s="1"/>
  <c r="U22" i="4" a="1"/>
  <c r="U22" i="4" s="1"/>
  <c r="U23" i="4" a="1"/>
  <c r="U23" i="4" s="1"/>
  <c r="U26" i="4" a="1"/>
  <c r="U26" i="4" s="1"/>
  <c r="U30" i="4" a="1"/>
  <c r="U30" i="4" s="1"/>
  <c r="U21" i="4" a="1"/>
  <c r="U21" i="4" s="1"/>
  <c r="V23" i="4" a="1"/>
  <c r="V23" i="4" s="1"/>
  <c r="AA54" i="5" a="1"/>
  <c r="AA54" i="5" s="1"/>
  <c r="AA50" i="5" a="1"/>
  <c r="AA50" i="5" s="1"/>
  <c r="AA55" i="5" a="1"/>
  <c r="AA55" i="5" s="1"/>
  <c r="AA53" i="5" a="1"/>
  <c r="AA53" i="5" s="1"/>
  <c r="AA49" i="5" a="1"/>
  <c r="AA49" i="5" s="1"/>
  <c r="AA51" i="5" a="1"/>
  <c r="AA51" i="5" s="1"/>
  <c r="AA52" i="5" a="1"/>
  <c r="AA52" i="5" s="1"/>
  <c r="AA48" i="5" a="1"/>
  <c r="AA48" i="5" s="1"/>
  <c r="AA47" i="5" a="1"/>
  <c r="AA47" i="5" s="1"/>
  <c r="AA46" i="5" a="1"/>
  <c r="AA46" i="5" s="1"/>
  <c r="Z62" i="5"/>
  <c r="Z64" i="5"/>
  <c r="S37" i="4" s="1" a="1"/>
  <c r="S37" i="4" s="1"/>
  <c r="S46" i="4" s="1" a="1"/>
  <c r="S46" i="4" s="1"/>
  <c r="Z63" i="5"/>
  <c r="S36" i="4" s="1" a="1"/>
  <c r="S36" i="4" s="1"/>
  <c r="AA36" i="5"/>
  <c r="AA33" i="5"/>
  <c r="AA29" i="5"/>
  <c r="AA37" i="5"/>
  <c r="AA35" i="5"/>
  <c r="AA34" i="5"/>
  <c r="AA32" i="5"/>
  <c r="AA31" i="5"/>
  <c r="AA38" i="5"/>
  <c r="AA30" i="5"/>
  <c r="AB4" i="5"/>
  <c r="AB6" i="5"/>
  <c r="AA8" i="5" l="1" a="1"/>
  <c r="AA8" i="5" s="1"/>
  <c r="V26" i="7"/>
  <c r="V29" i="7"/>
  <c r="V24" i="7"/>
  <c r="V25" i="7"/>
  <c r="V30" i="7"/>
  <c r="V28" i="7"/>
  <c r="V33" i="7"/>
  <c r="V32" i="7"/>
  <c r="V23" i="7"/>
  <c r="V31" i="7"/>
  <c r="V27" i="7"/>
  <c r="AA61" i="5"/>
  <c r="AB59" i="5" a="1"/>
  <c r="AB59" i="5" s="1"/>
  <c r="AB58" i="5" a="1"/>
  <c r="AB58" i="5" s="1"/>
  <c r="AB43" i="5"/>
  <c r="AB39" i="5"/>
  <c r="AB56" i="5" a="1"/>
  <c r="AB56" i="5" s="1"/>
  <c r="AB42" i="5"/>
  <c r="AB41" i="5"/>
  <c r="AB40" i="5"/>
  <c r="AB57" i="5" a="1"/>
  <c r="AB57" i="5" s="1"/>
  <c r="AB60" i="5" a="1"/>
  <c r="AB60" i="5" s="1"/>
  <c r="BL55" i="10"/>
  <c r="BL53" i="10"/>
  <c r="BL60" i="10"/>
  <c r="BL45" i="10"/>
  <c r="BL8" i="10"/>
  <c r="BL4" i="10"/>
  <c r="BL6" i="10"/>
  <c r="BL57" i="10" s="1"/>
  <c r="BL58" i="10" s="1"/>
  <c r="BM5" i="10"/>
  <c r="Q33" i="4"/>
  <c r="R14" i="4"/>
  <c r="R16" i="4" s="1"/>
  <c r="R18" i="4" s="1"/>
  <c r="R33" i="4" s="1"/>
  <c r="R40" i="4" s="1"/>
  <c r="R43" i="4" a="1"/>
  <c r="R43" i="4" s="1"/>
  <c r="Z97" i="5"/>
  <c r="S11" i="4" s="1" a="1"/>
  <c r="S11" i="4" s="1"/>
  <c r="S43" i="4" s="1" a="1"/>
  <c r="S43" i="4" s="1"/>
  <c r="T44" i="4" a="1"/>
  <c r="T44" i="4" s="1"/>
  <c r="S45" i="4" a="1"/>
  <c r="S45" i="4" s="1"/>
  <c r="S38" i="4"/>
  <c r="U31" i="4"/>
  <c r="T17" i="4" a="1"/>
  <c r="T17" i="4" s="1"/>
  <c r="W4" i="4"/>
  <c r="W15" i="4" s="1"/>
  <c r="X5" i="4"/>
  <c r="W22" i="7" s="1"/>
  <c r="W6" i="4"/>
  <c r="V21" i="7" s="1"/>
  <c r="W13" i="4"/>
  <c r="AA66" i="5"/>
  <c r="AB95" i="5"/>
  <c r="AB93" i="5"/>
  <c r="AB91" i="5"/>
  <c r="AB87" i="5"/>
  <c r="AB85" i="5"/>
  <c r="AB96" i="5"/>
  <c r="AB94" i="5"/>
  <c r="AB92" i="5"/>
  <c r="AB88" i="5"/>
  <c r="AB90" i="5"/>
  <c r="AB82" i="5"/>
  <c r="AB89" i="5"/>
  <c r="AB83" i="5"/>
  <c r="AB84" i="5"/>
  <c r="AB86" i="5"/>
  <c r="AA67" i="5" a="1"/>
  <c r="AA67" i="5" s="1"/>
  <c r="V25" i="4" a="1"/>
  <c r="V25" i="4" s="1"/>
  <c r="V26" i="4" a="1"/>
  <c r="V26" i="4" s="1"/>
  <c r="V22" i="4" a="1"/>
  <c r="V22" i="4" s="1"/>
  <c r="V30" i="4" a="1"/>
  <c r="V30" i="4" s="1"/>
  <c r="V27" i="4" a="1"/>
  <c r="V27" i="4" s="1"/>
  <c r="V21" i="4" a="1"/>
  <c r="V21" i="4" s="1"/>
  <c r="V29" i="4" a="1"/>
  <c r="V29" i="4" s="1"/>
  <c r="V24" i="4" a="1"/>
  <c r="V24" i="4" s="1"/>
  <c r="V28" i="4" a="1"/>
  <c r="V28" i="4" s="1"/>
  <c r="W28" i="4" a="1"/>
  <c r="W28" i="4" s="1"/>
  <c r="AB55" i="5" a="1"/>
  <c r="AB55" i="5" s="1"/>
  <c r="AB49" i="5" a="1"/>
  <c r="AB49" i="5" s="1"/>
  <c r="AB52" i="5" a="1"/>
  <c r="AB52" i="5" s="1"/>
  <c r="AB54" i="5" a="1"/>
  <c r="AB54" i="5" s="1"/>
  <c r="AB51" i="5" a="1"/>
  <c r="AB51" i="5" s="1"/>
  <c r="AB46" i="5" a="1"/>
  <c r="AB46" i="5" s="1"/>
  <c r="AB50" i="5" a="1"/>
  <c r="AB50" i="5" s="1"/>
  <c r="AB48" i="5" a="1"/>
  <c r="AB48" i="5" s="1"/>
  <c r="AB53" i="5" a="1"/>
  <c r="AB53" i="5" s="1"/>
  <c r="AB47" i="5" a="1"/>
  <c r="AB47" i="5" s="1"/>
  <c r="AA64" i="5"/>
  <c r="T37" i="4" s="1" a="1"/>
  <c r="T37" i="4" s="1"/>
  <c r="T46" i="4" s="1" a="1"/>
  <c r="T46" i="4" s="1"/>
  <c r="AA63" i="5"/>
  <c r="T36" i="4" s="1" a="1"/>
  <c r="T36" i="4" s="1"/>
  <c r="AA62" i="5"/>
  <c r="AB36" i="5"/>
  <c r="AB29" i="5"/>
  <c r="AB37" i="5"/>
  <c r="AB35" i="5"/>
  <c r="AB34" i="5"/>
  <c r="AB32" i="5"/>
  <c r="AB31" i="5"/>
  <c r="AB33" i="5"/>
  <c r="AB30" i="5"/>
  <c r="AB38" i="5"/>
  <c r="AC4" i="5"/>
  <c r="AC6" i="5"/>
  <c r="AB8" i="5" l="1" a="1"/>
  <c r="AB8" i="5" s="1"/>
  <c r="W31" i="7"/>
  <c r="W26" i="7"/>
  <c r="W29" i="7"/>
  <c r="W33" i="7"/>
  <c r="W30" i="7"/>
  <c r="W25" i="7"/>
  <c r="W27" i="7"/>
  <c r="W28" i="7"/>
  <c r="W32" i="7"/>
  <c r="W24" i="7"/>
  <c r="W23" i="7"/>
  <c r="AB61" i="5"/>
  <c r="AC43" i="5"/>
  <c r="AC59" i="5" a="1"/>
  <c r="AC59" i="5" s="1"/>
  <c r="AC58" i="5" a="1"/>
  <c r="AC58" i="5" s="1"/>
  <c r="AC56" i="5" a="1"/>
  <c r="AC56" i="5" s="1"/>
  <c r="AC41" i="5"/>
  <c r="AC57" i="5" a="1"/>
  <c r="AC57" i="5" s="1"/>
  <c r="AC60" i="5" a="1"/>
  <c r="AC60" i="5" s="1"/>
  <c r="AC42" i="5"/>
  <c r="AC40" i="5"/>
  <c r="AC39" i="5"/>
  <c r="BM53" i="10"/>
  <c r="BM55" i="10"/>
  <c r="BM60" i="10"/>
  <c r="BM45" i="10"/>
  <c r="BN5" i="10"/>
  <c r="BM8" i="10"/>
  <c r="BM6" i="10"/>
  <c r="BM57" i="10" s="1"/>
  <c r="BM58" i="10" s="1"/>
  <c r="BM4" i="10"/>
  <c r="Q40" i="4"/>
  <c r="S12" i="4" a="1"/>
  <c r="S12" i="4" s="1"/>
  <c r="S14" i="4" s="1"/>
  <c r="S16" i="4" s="1"/>
  <c r="S18" i="4" s="1"/>
  <c r="S33" i="4" s="1"/>
  <c r="S40" i="4" s="1"/>
  <c r="AA97" i="5"/>
  <c r="T11" i="4" s="1" a="1"/>
  <c r="T11" i="4" s="1"/>
  <c r="T12" i="4" s="1" a="1"/>
  <c r="T12" i="4" s="1"/>
  <c r="T14" i="4" s="1"/>
  <c r="T16" i="4" s="1"/>
  <c r="T18" i="4" s="1"/>
  <c r="T33" i="4" s="1"/>
  <c r="U44" i="4" a="1"/>
  <c r="U44" i="4" s="1"/>
  <c r="T45" i="4" a="1"/>
  <c r="T45" i="4" s="1"/>
  <c r="T38" i="4"/>
  <c r="V31" i="4"/>
  <c r="X6" i="4"/>
  <c r="W21" i="7" s="1"/>
  <c r="X13" i="4"/>
  <c r="Y5" i="4"/>
  <c r="X22" i="7" s="1"/>
  <c r="X4" i="4"/>
  <c r="X15" i="4" s="1"/>
  <c r="AB66" i="5"/>
  <c r="AC95" i="5"/>
  <c r="AC93" i="5"/>
  <c r="AC91" i="5"/>
  <c r="AC96" i="5"/>
  <c r="AC94" i="5"/>
  <c r="AC92" i="5"/>
  <c r="AC88" i="5"/>
  <c r="AC89" i="5"/>
  <c r="AC82" i="5"/>
  <c r="AC85" i="5"/>
  <c r="AC86" i="5"/>
  <c r="AC84" i="5"/>
  <c r="AC90" i="5"/>
  <c r="AC83" i="5"/>
  <c r="AC87" i="5"/>
  <c r="AB67" i="5" a="1"/>
  <c r="AB67" i="5" s="1"/>
  <c r="W22" i="4" a="1"/>
  <c r="W22" i="4" s="1"/>
  <c r="W24" i="4" a="1"/>
  <c r="W24" i="4" s="1"/>
  <c r="W23" i="4" a="1"/>
  <c r="W23" i="4" s="1"/>
  <c r="W21" i="4" a="1"/>
  <c r="W21" i="4" s="1"/>
  <c r="W29" i="4" a="1"/>
  <c r="W29" i="4" s="1"/>
  <c r="W26" i="4" a="1"/>
  <c r="W26" i="4" s="1"/>
  <c r="W27" i="4" a="1"/>
  <c r="W27" i="4" s="1"/>
  <c r="W30" i="4" a="1"/>
  <c r="W30" i="4" s="1"/>
  <c r="W25" i="4" a="1"/>
  <c r="W25" i="4" s="1"/>
  <c r="X29" i="4" a="1"/>
  <c r="X29" i="4" s="1"/>
  <c r="AC55" i="5" a="1"/>
  <c r="AC55" i="5" s="1"/>
  <c r="AC53" i="5" a="1"/>
  <c r="AC53" i="5" s="1"/>
  <c r="AC48" i="5" a="1"/>
  <c r="AC48" i="5" s="1"/>
  <c r="AC51" i="5" a="1"/>
  <c r="AC51" i="5" s="1"/>
  <c r="AC54" i="5" a="1"/>
  <c r="AC54" i="5" s="1"/>
  <c r="AC50" i="5" a="1"/>
  <c r="AC50" i="5" s="1"/>
  <c r="AC49" i="5" a="1"/>
  <c r="AC49" i="5" s="1"/>
  <c r="AC46" i="5" a="1"/>
  <c r="AC46" i="5" s="1"/>
  <c r="AC52" i="5" a="1"/>
  <c r="AC52" i="5" s="1"/>
  <c r="AC47" i="5" a="1"/>
  <c r="AC47" i="5" s="1"/>
  <c r="AB63" i="5"/>
  <c r="U36" i="4" s="1" a="1"/>
  <c r="U36" i="4" s="1"/>
  <c r="AB64" i="5"/>
  <c r="U37" i="4" s="1" a="1"/>
  <c r="U37" i="4" s="1"/>
  <c r="U46" i="4" s="1" a="1"/>
  <c r="U46" i="4" s="1"/>
  <c r="AB62" i="5"/>
  <c r="AC34" i="5"/>
  <c r="AC37" i="5"/>
  <c r="AC36" i="5"/>
  <c r="AC35" i="5"/>
  <c r="AC32" i="5"/>
  <c r="AC30" i="5"/>
  <c r="AC33" i="5"/>
  <c r="AC29" i="5"/>
  <c r="AC38" i="5"/>
  <c r="AC31" i="5"/>
  <c r="AD4" i="5"/>
  <c r="AD6" i="5"/>
  <c r="AC8" i="5" l="1" a="1"/>
  <c r="AC8" i="5" s="1"/>
  <c r="X28" i="7"/>
  <c r="X31" i="7"/>
  <c r="X26" i="7"/>
  <c r="X27" i="7"/>
  <c r="X29" i="7"/>
  <c r="X33" i="7"/>
  <c r="X30" i="7"/>
  <c r="X32" i="7"/>
  <c r="X23" i="7"/>
  <c r="X25" i="7"/>
  <c r="X24" i="7"/>
  <c r="AC61" i="5"/>
  <c r="AD60" i="5" a="1"/>
  <c r="AD60" i="5" s="1"/>
  <c r="AD43" i="5"/>
  <c r="AD59" i="5" a="1"/>
  <c r="AD59" i="5" s="1"/>
  <c r="AD41" i="5"/>
  <c r="AD42" i="5"/>
  <c r="AD40" i="5"/>
  <c r="AD58" i="5" a="1"/>
  <c r="AD58" i="5" s="1"/>
  <c r="AD57" i="5" a="1"/>
  <c r="AD57" i="5" s="1"/>
  <c r="AD56" i="5" a="1"/>
  <c r="AD56" i="5" s="1"/>
  <c r="AD39" i="5"/>
  <c r="BN53" i="10"/>
  <c r="BN60" i="10"/>
  <c r="BN8" i="10"/>
  <c r="BN4" i="10"/>
  <c r="BN6" i="10"/>
  <c r="BN57" i="10" s="1"/>
  <c r="BN58" i="10" s="1"/>
  <c r="AB97" i="5"/>
  <c r="U11" i="4" s="1" a="1"/>
  <c r="U11" i="4" s="1"/>
  <c r="U12" i="4" s="1" a="1"/>
  <c r="U12" i="4" s="1"/>
  <c r="U14" i="4" s="1"/>
  <c r="U16" i="4" s="1"/>
  <c r="T43" i="4" a="1"/>
  <c r="T43" i="4" s="1"/>
  <c r="T40" i="4"/>
  <c r="V44" i="4" a="1"/>
  <c r="V44" i="4" s="1"/>
  <c r="U38" i="4"/>
  <c r="U45" i="4" a="1"/>
  <c r="U45" i="4" s="1"/>
  <c r="W31" i="4"/>
  <c r="Y13" i="4"/>
  <c r="Y6" i="4"/>
  <c r="X21" i="7" s="1"/>
  <c r="Y4" i="4"/>
  <c r="Y15" i="4" s="1"/>
  <c r="Z5" i="4"/>
  <c r="Y22" i="7" s="1"/>
  <c r="AC66" i="5"/>
  <c r="AD88" i="5"/>
  <c r="AD86" i="5"/>
  <c r="AD94" i="5"/>
  <c r="AD85" i="5"/>
  <c r="AD95" i="5"/>
  <c r="AD89" i="5"/>
  <c r="AD83" i="5"/>
  <c r="AD96" i="5"/>
  <c r="AD87" i="5"/>
  <c r="AD92" i="5"/>
  <c r="AD90" i="5"/>
  <c r="AD93" i="5"/>
  <c r="AD84" i="5"/>
  <c r="AD82" i="5"/>
  <c r="AD91" i="5"/>
  <c r="AC67" i="5" a="1"/>
  <c r="AC67" i="5" s="1"/>
  <c r="X26" i="4" a="1"/>
  <c r="X26" i="4" s="1"/>
  <c r="X25" i="4" a="1"/>
  <c r="X25" i="4" s="1"/>
  <c r="X28" i="4" a="1"/>
  <c r="X28" i="4" s="1"/>
  <c r="X27" i="4" a="1"/>
  <c r="X27" i="4" s="1"/>
  <c r="X30" i="4" a="1"/>
  <c r="X30" i="4" s="1"/>
  <c r="X22" i="4" a="1"/>
  <c r="X22" i="4" s="1"/>
  <c r="X24" i="4" a="1"/>
  <c r="X24" i="4" s="1"/>
  <c r="X21" i="4" a="1"/>
  <c r="X21" i="4" s="1"/>
  <c r="X23" i="4" a="1"/>
  <c r="X23" i="4" s="1"/>
  <c r="Y28" i="4" a="1"/>
  <c r="Y28" i="4" s="1"/>
  <c r="AD55" i="5" a="1"/>
  <c r="AD55" i="5" s="1"/>
  <c r="AD54" i="5" a="1"/>
  <c r="AD54" i="5" s="1"/>
  <c r="AD51" i="5" a="1"/>
  <c r="AD51" i="5" s="1"/>
  <c r="AD52" i="5" a="1"/>
  <c r="AD52" i="5" s="1"/>
  <c r="AD50" i="5" a="1"/>
  <c r="AD50" i="5" s="1"/>
  <c r="AD47" i="5" a="1"/>
  <c r="AD47" i="5" s="1"/>
  <c r="AD49" i="5" a="1"/>
  <c r="AD49" i="5" s="1"/>
  <c r="AD48" i="5" a="1"/>
  <c r="AD48" i="5" s="1"/>
  <c r="AD53" i="5" a="1"/>
  <c r="AD53" i="5" s="1"/>
  <c r="AD46" i="5" a="1"/>
  <c r="AD46" i="5" s="1"/>
  <c r="AC62" i="5"/>
  <c r="AC63" i="5"/>
  <c r="V36" i="4" s="1" a="1"/>
  <c r="V36" i="4" s="1"/>
  <c r="AC64" i="5"/>
  <c r="V37" i="4" s="1" a="1"/>
  <c r="V37" i="4" s="1"/>
  <c r="V46" i="4" s="1" a="1"/>
  <c r="V46" i="4" s="1"/>
  <c r="AD37" i="5"/>
  <c r="AD34" i="5"/>
  <c r="AD30" i="5"/>
  <c r="AD38" i="5"/>
  <c r="AD36" i="5"/>
  <c r="AD35" i="5"/>
  <c r="AD32" i="5"/>
  <c r="AD29" i="5"/>
  <c r="AD33" i="5"/>
  <c r="AD31" i="5"/>
  <c r="AE4" i="5"/>
  <c r="AE6" i="5"/>
  <c r="AD8" i="5" l="1" a="1"/>
  <c r="AD8" i="5" s="1"/>
  <c r="Y25" i="7"/>
  <c r="Y28" i="7"/>
  <c r="Y24" i="7"/>
  <c r="Y26" i="7"/>
  <c r="Y29" i="7"/>
  <c r="Y33" i="7"/>
  <c r="Y27" i="7"/>
  <c r="Y31" i="7"/>
  <c r="Y23" i="7"/>
  <c r="Y30" i="7"/>
  <c r="Y32" i="7"/>
  <c r="AD61" i="5"/>
  <c r="AE60" i="5" a="1"/>
  <c r="AE60" i="5" s="1"/>
  <c r="AE56" i="5" a="1"/>
  <c r="AE56" i="5" s="1"/>
  <c r="AE42" i="5"/>
  <c r="AE41" i="5"/>
  <c r="AE40" i="5"/>
  <c r="AE43" i="5"/>
  <c r="AE39" i="5"/>
  <c r="AE59" i="5" a="1"/>
  <c r="AE59" i="5" s="1"/>
  <c r="AE58" i="5" a="1"/>
  <c r="AE58" i="5" s="1"/>
  <c r="AE57" i="5" a="1"/>
  <c r="AE57" i="5" s="1"/>
  <c r="F8" i="10"/>
  <c r="F46" i="10" s="1"/>
  <c r="G12" i="6"/>
  <c r="AC97" i="5"/>
  <c r="V11" i="4" s="1" a="1"/>
  <c r="V11" i="4" s="1"/>
  <c r="V43" i="4" s="1" a="1"/>
  <c r="V43" i="4" s="1"/>
  <c r="U43" i="4" a="1"/>
  <c r="U43" i="4" s="1"/>
  <c r="G14" i="6"/>
  <c r="I14" i="6" s="1"/>
  <c r="W44" i="4" a="1"/>
  <c r="W44" i="4" s="1"/>
  <c r="V38" i="4"/>
  <c r="V45" i="4" a="1"/>
  <c r="V45" i="4" s="1"/>
  <c r="U17" i="4" a="1"/>
  <c r="U17" i="4" s="1"/>
  <c r="U18" i="4" s="1"/>
  <c r="U33" i="4" s="1"/>
  <c r="U40" i="4" s="1"/>
  <c r="X31" i="4"/>
  <c r="AA5" i="4"/>
  <c r="Z22" i="7" s="1"/>
  <c r="Z13" i="4"/>
  <c r="Z6" i="4"/>
  <c r="Y21" i="7" s="1"/>
  <c r="Z4" i="4"/>
  <c r="Z15" i="4" s="1"/>
  <c r="AD66" i="5"/>
  <c r="AE96" i="5"/>
  <c r="AE94" i="5"/>
  <c r="AE92" i="5"/>
  <c r="AE90" i="5"/>
  <c r="AE88" i="5"/>
  <c r="AE95" i="5"/>
  <c r="AE93" i="5"/>
  <c r="AE91" i="5"/>
  <c r="AE86" i="5"/>
  <c r="AE89" i="5"/>
  <c r="AE83" i="5"/>
  <c r="AE87" i="5"/>
  <c r="AE84" i="5"/>
  <c r="AE82" i="5"/>
  <c r="AE85" i="5"/>
  <c r="AD67" i="5" a="1"/>
  <c r="AD67" i="5" s="1"/>
  <c r="Y27" i="4" a="1"/>
  <c r="Y27" i="4" s="1"/>
  <c r="Y30" i="4" a="1"/>
  <c r="Y30" i="4" s="1"/>
  <c r="Y21" i="4" a="1"/>
  <c r="Y21" i="4" s="1"/>
  <c r="Y29" i="4" a="1"/>
  <c r="Y29" i="4" s="1"/>
  <c r="Y23" i="4" a="1"/>
  <c r="Y23" i="4" s="1"/>
  <c r="Y26" i="4" a="1"/>
  <c r="Y26" i="4" s="1"/>
  <c r="Y22" i="4" a="1"/>
  <c r="Y22" i="4" s="1"/>
  <c r="Y24" i="4" a="1"/>
  <c r="Y24" i="4" s="1"/>
  <c r="Y25" i="4" a="1"/>
  <c r="Y25" i="4" s="1"/>
  <c r="Z26" i="4" a="1"/>
  <c r="Z26" i="4" s="1"/>
  <c r="AE54" i="5" a="1"/>
  <c r="AE54" i="5" s="1"/>
  <c r="AE50" i="5" a="1"/>
  <c r="AE50" i="5" s="1"/>
  <c r="AE49" i="5" a="1"/>
  <c r="AE49" i="5" s="1"/>
  <c r="AE52" i="5" a="1"/>
  <c r="AE52" i="5" s="1"/>
  <c r="AE48" i="5" a="1"/>
  <c r="AE48" i="5" s="1"/>
  <c r="AE55" i="5" a="1"/>
  <c r="AE55" i="5" s="1"/>
  <c r="AE47" i="5" a="1"/>
  <c r="AE47" i="5" s="1"/>
  <c r="AE53" i="5" a="1"/>
  <c r="AE53" i="5" s="1"/>
  <c r="AE46" i="5" a="1"/>
  <c r="AE46" i="5" s="1"/>
  <c r="AE51" i="5" a="1"/>
  <c r="AE51" i="5" s="1"/>
  <c r="AD63" i="5"/>
  <c r="W36" i="4" s="1" a="1"/>
  <c r="W36" i="4" s="1"/>
  <c r="AD62" i="5"/>
  <c r="AD64" i="5"/>
  <c r="W37" i="4" s="1" a="1"/>
  <c r="W37" i="4" s="1"/>
  <c r="W46" i="4" s="1" a="1"/>
  <c r="W46" i="4" s="1"/>
  <c r="AE37" i="5"/>
  <c r="AE35" i="5"/>
  <c r="AE30" i="5"/>
  <c r="AE38" i="5"/>
  <c r="AE36" i="5"/>
  <c r="AE32" i="5"/>
  <c r="AE34" i="5"/>
  <c r="AE31" i="5"/>
  <c r="AE33" i="5"/>
  <c r="AE29" i="5"/>
  <c r="AF4" i="5"/>
  <c r="AF6" i="5"/>
  <c r="AE8" i="5" l="1" a="1"/>
  <c r="AE8" i="5" s="1"/>
  <c r="Z30" i="7"/>
  <c r="Z25" i="7"/>
  <c r="Z28" i="7"/>
  <c r="Z29" i="7"/>
  <c r="Z32" i="7"/>
  <c r="Z23" i="7"/>
  <c r="Z26" i="7"/>
  <c r="Z24" i="7"/>
  <c r="Z27" i="7"/>
  <c r="Z31" i="7"/>
  <c r="Z33" i="7"/>
  <c r="AE61" i="5"/>
  <c r="AF56" i="5" a="1"/>
  <c r="AF56" i="5" s="1"/>
  <c r="AF57" i="5" a="1"/>
  <c r="AF57" i="5" s="1"/>
  <c r="AF42" i="5"/>
  <c r="AF40" i="5"/>
  <c r="AF43" i="5"/>
  <c r="AF58" i="5" a="1"/>
  <c r="AF58" i="5" s="1"/>
  <c r="AF60" i="5" a="1"/>
  <c r="AF60" i="5" s="1"/>
  <c r="AF59" i="5" a="1"/>
  <c r="AF59" i="5" s="1"/>
  <c r="AF39" i="5"/>
  <c r="AF41" i="5"/>
  <c r="I12" i="6"/>
  <c r="V12" i="4" a="1"/>
  <c r="V12" i="4" s="1"/>
  <c r="V14" i="4" s="1"/>
  <c r="V16" i="4" s="1"/>
  <c r="V17" i="4" s="1" a="1"/>
  <c r="V17" i="4" s="1"/>
  <c r="V18" i="4" s="1"/>
  <c r="V33" i="4" s="1"/>
  <c r="V40" i="4" s="1"/>
  <c r="AD97" i="5"/>
  <c r="W11" i="4" s="1" a="1"/>
  <c r="W11" i="4" s="1"/>
  <c r="W12" i="4" s="1" a="1"/>
  <c r="W12" i="4" s="1"/>
  <c r="W14" i="4" s="1"/>
  <c r="W16" i="4" s="1"/>
  <c r="X44" i="4" a="1"/>
  <c r="X44" i="4" s="1"/>
  <c r="W38" i="4"/>
  <c r="W45" i="4" a="1"/>
  <c r="W45" i="4" s="1"/>
  <c r="Y31" i="4"/>
  <c r="AA4" i="4"/>
  <c r="AA15" i="4" s="1"/>
  <c r="AB5" i="4"/>
  <c r="AA22" i="7" s="1"/>
  <c r="AA13" i="4"/>
  <c r="AA6" i="4"/>
  <c r="Z21" i="7" s="1"/>
  <c r="AE66" i="5"/>
  <c r="AF96" i="5"/>
  <c r="AF94" i="5"/>
  <c r="AF92" i="5"/>
  <c r="AF90" i="5"/>
  <c r="AF86" i="5"/>
  <c r="AF84" i="5"/>
  <c r="AF95" i="5"/>
  <c r="AF93" i="5"/>
  <c r="AF91" i="5"/>
  <c r="AF83" i="5"/>
  <c r="AF87" i="5"/>
  <c r="AF85" i="5"/>
  <c r="AF88" i="5"/>
  <c r="AF89" i="5"/>
  <c r="AF82" i="5"/>
  <c r="AE67" i="5" a="1"/>
  <c r="AE67" i="5" s="1"/>
  <c r="Z28" i="4" a="1"/>
  <c r="Z28" i="4" s="1"/>
  <c r="Z25" i="4" a="1"/>
  <c r="Z25" i="4" s="1"/>
  <c r="Z27" i="4" a="1"/>
  <c r="Z27" i="4" s="1"/>
  <c r="Z21" i="4" a="1"/>
  <c r="Z21" i="4" s="1"/>
  <c r="Z29" i="4" a="1"/>
  <c r="Z29" i="4" s="1"/>
  <c r="Z30" i="4" a="1"/>
  <c r="Z30" i="4" s="1"/>
  <c r="Z24" i="4" a="1"/>
  <c r="Z24" i="4" s="1"/>
  <c r="Z22" i="4" a="1"/>
  <c r="Z22" i="4" s="1"/>
  <c r="Z23" i="4" a="1"/>
  <c r="Z23" i="4" s="1"/>
  <c r="AA28" i="4" a="1"/>
  <c r="AA28" i="4" s="1"/>
  <c r="AF49" i="5" a="1"/>
  <c r="AF49" i="5" s="1"/>
  <c r="AF53" i="5" a="1"/>
  <c r="AF53" i="5" s="1"/>
  <c r="AF52" i="5" a="1"/>
  <c r="AF52" i="5" s="1"/>
  <c r="AF51" i="5" a="1"/>
  <c r="AF51" i="5" s="1"/>
  <c r="AF54" i="5" a="1"/>
  <c r="AF54" i="5" s="1"/>
  <c r="AF47" i="5" a="1"/>
  <c r="AF47" i="5" s="1"/>
  <c r="AF50" i="5" a="1"/>
  <c r="AF50" i="5" s="1"/>
  <c r="AF46" i="5" a="1"/>
  <c r="AF46" i="5" s="1"/>
  <c r="AF55" i="5" a="1"/>
  <c r="AF55" i="5" s="1"/>
  <c r="AF48" i="5" a="1"/>
  <c r="AF48" i="5" s="1"/>
  <c r="AE64" i="5"/>
  <c r="X37" i="4" s="1" a="1"/>
  <c r="X37" i="4" s="1"/>
  <c r="X46" i="4" s="1" a="1"/>
  <c r="X46" i="4" s="1"/>
  <c r="AE62" i="5"/>
  <c r="AE63" i="5"/>
  <c r="X36" i="4" s="1" a="1"/>
  <c r="X36" i="4" s="1"/>
  <c r="AF35" i="5"/>
  <c r="AF38" i="5"/>
  <c r="AF37" i="5"/>
  <c r="AF31" i="5"/>
  <c r="AF34" i="5"/>
  <c r="AF30" i="5"/>
  <c r="AF32" i="5"/>
  <c r="AF33" i="5"/>
  <c r="AF29" i="5"/>
  <c r="AF36" i="5"/>
  <c r="AG4" i="5"/>
  <c r="AG6" i="5"/>
  <c r="AF8" i="5" l="1" a="1"/>
  <c r="AF8" i="5" s="1"/>
  <c r="AA27" i="7"/>
  <c r="AA30" i="7"/>
  <c r="AA25" i="7"/>
  <c r="AA26" i="7"/>
  <c r="AA31" i="7"/>
  <c r="AA32" i="7"/>
  <c r="AA23" i="7"/>
  <c r="AA29" i="7"/>
  <c r="AA24" i="7"/>
  <c r="AA33" i="7"/>
  <c r="AA28" i="7"/>
  <c r="AF61" i="5"/>
  <c r="AG57" i="5" a="1"/>
  <c r="AG57" i="5" s="1"/>
  <c r="AG42" i="5"/>
  <c r="AG59" i="5" a="1"/>
  <c r="AG59" i="5" s="1"/>
  <c r="AG58" i="5" a="1"/>
  <c r="AG58" i="5" s="1"/>
  <c r="AG56" i="5" a="1"/>
  <c r="AG56" i="5" s="1"/>
  <c r="AG43" i="5"/>
  <c r="AG39" i="5"/>
  <c r="AG60" i="5" a="1"/>
  <c r="AG60" i="5" s="1"/>
  <c r="AG41" i="5"/>
  <c r="AG40" i="5"/>
  <c r="AE97" i="5"/>
  <c r="X11" i="4" s="1" a="1"/>
  <c r="X11" i="4" s="1"/>
  <c r="X12" i="4" s="1" a="1"/>
  <c r="X12" i="4" s="1"/>
  <c r="X14" i="4" s="1"/>
  <c r="X16" i="4" s="1"/>
  <c r="W43" i="4" a="1"/>
  <c r="W43" i="4" s="1"/>
  <c r="Y44" i="4" a="1"/>
  <c r="Y44" i="4" s="1"/>
  <c r="Z31" i="4"/>
  <c r="X38" i="4"/>
  <c r="X45" i="4" a="1"/>
  <c r="X45" i="4" s="1"/>
  <c r="W17" i="4" a="1"/>
  <c r="W17" i="4" s="1"/>
  <c r="W18" i="4" s="1"/>
  <c r="W33" i="4" s="1"/>
  <c r="W40" i="4" s="1"/>
  <c r="AB6" i="4"/>
  <c r="AA21" i="7" s="1"/>
  <c r="AB4" i="4"/>
  <c r="AB15" i="4" s="1"/>
  <c r="AC5" i="4"/>
  <c r="AB22" i="7" s="1"/>
  <c r="AB13" i="4"/>
  <c r="AF66" i="5"/>
  <c r="AG96" i="5"/>
  <c r="AG94" i="5"/>
  <c r="AG92" i="5"/>
  <c r="AG90" i="5"/>
  <c r="AG89" i="5"/>
  <c r="AG95" i="5"/>
  <c r="AG83" i="5"/>
  <c r="AG87" i="5"/>
  <c r="AG84" i="5"/>
  <c r="AG91" i="5"/>
  <c r="AG88" i="5"/>
  <c r="AG93" i="5"/>
  <c r="AG86" i="5"/>
  <c r="AG85" i="5"/>
  <c r="AG82" i="5"/>
  <c r="AF67" i="5" a="1"/>
  <c r="AF67" i="5" s="1"/>
  <c r="AA24" i="4" a="1"/>
  <c r="AA24" i="4" s="1"/>
  <c r="AA27" i="4" a="1"/>
  <c r="AA27" i="4" s="1"/>
  <c r="AA22" i="4" a="1"/>
  <c r="AA22" i="4" s="1"/>
  <c r="AA30" i="4" a="1"/>
  <c r="AA30" i="4" s="1"/>
  <c r="AA21" i="4" a="1"/>
  <c r="AA21" i="4" s="1"/>
  <c r="AA29" i="4" a="1"/>
  <c r="AA29" i="4" s="1"/>
  <c r="AA23" i="4" a="1"/>
  <c r="AA23" i="4" s="1"/>
  <c r="AA26" i="4" a="1"/>
  <c r="AA26" i="4" s="1"/>
  <c r="AA25" i="4" a="1"/>
  <c r="AA25" i="4" s="1"/>
  <c r="AB30" i="4" a="1"/>
  <c r="AB30" i="4" s="1"/>
  <c r="AG53" i="5" a="1"/>
  <c r="AG53" i="5" s="1"/>
  <c r="AG55" i="5" a="1"/>
  <c r="AG55" i="5" s="1"/>
  <c r="AG52" i="5" a="1"/>
  <c r="AG52" i="5" s="1"/>
  <c r="AG48" i="5" a="1"/>
  <c r="AG48" i="5" s="1"/>
  <c r="AG54" i="5" a="1"/>
  <c r="AG54" i="5" s="1"/>
  <c r="AG51" i="5" a="1"/>
  <c r="AG51" i="5" s="1"/>
  <c r="AG46" i="5" a="1"/>
  <c r="AG46" i="5" s="1"/>
  <c r="AG50" i="5" a="1"/>
  <c r="AG50" i="5" s="1"/>
  <c r="AG49" i="5" a="1"/>
  <c r="AG49" i="5" s="1"/>
  <c r="AG47" i="5" a="1"/>
  <c r="AG47" i="5" s="1"/>
  <c r="AF63" i="5"/>
  <c r="Y36" i="4" s="1" a="1"/>
  <c r="Y36" i="4" s="1"/>
  <c r="AF62" i="5"/>
  <c r="AF64" i="5"/>
  <c r="Y37" i="4" s="1" a="1"/>
  <c r="Y37" i="4" s="1"/>
  <c r="Y46" i="4" s="1" a="1"/>
  <c r="Y46" i="4" s="1"/>
  <c r="AG38" i="5"/>
  <c r="AG31" i="5"/>
  <c r="AG33" i="5"/>
  <c r="AG35" i="5"/>
  <c r="AG30" i="5"/>
  <c r="AG37" i="5"/>
  <c r="AG29" i="5"/>
  <c r="AG36" i="5"/>
  <c r="AG34" i="5"/>
  <c r="AG32" i="5"/>
  <c r="AH4" i="5"/>
  <c r="AH6" i="5"/>
  <c r="AG8" i="5" l="1" a="1"/>
  <c r="AG8" i="5" s="1"/>
  <c r="AB24" i="7"/>
  <c r="AB27" i="7"/>
  <c r="AB31" i="7"/>
  <c r="AB26" i="7"/>
  <c r="AB32" i="7"/>
  <c r="AB23" i="7"/>
  <c r="AB28" i="7"/>
  <c r="AB33" i="7"/>
  <c r="AB29" i="7"/>
  <c r="AB30" i="7"/>
  <c r="AB25" i="7"/>
  <c r="AG61" i="5"/>
  <c r="AH59" i="5" a="1"/>
  <c r="AH59" i="5" s="1"/>
  <c r="AH58" i="5" a="1"/>
  <c r="AH58" i="5" s="1"/>
  <c r="AH42" i="5"/>
  <c r="AH39" i="5"/>
  <c r="AH56" i="5" a="1"/>
  <c r="AH56" i="5" s="1"/>
  <c r="AH41" i="5"/>
  <c r="AH43" i="5"/>
  <c r="AH60" i="5" a="1"/>
  <c r="AH60" i="5" s="1"/>
  <c r="AH57" i="5" a="1"/>
  <c r="AH57" i="5" s="1"/>
  <c r="AH40" i="5"/>
  <c r="X43" i="4" a="1"/>
  <c r="X43" i="4" s="1"/>
  <c r="AF97" i="5"/>
  <c r="Y11" i="4" s="1" a="1"/>
  <c r="Y11" i="4" s="1"/>
  <c r="Y43" i="4" s="1" a="1"/>
  <c r="Y43" i="4" s="1"/>
  <c r="Y38" i="4"/>
  <c r="Y45" i="4" a="1"/>
  <c r="Y45" i="4" s="1"/>
  <c r="Z44" i="4" a="1"/>
  <c r="Z44" i="4" s="1"/>
  <c r="AA31" i="4"/>
  <c r="X17" i="4" a="1"/>
  <c r="X17" i="4" s="1"/>
  <c r="X18" i="4" s="1"/>
  <c r="X33" i="4" s="1"/>
  <c r="X40" i="4" s="1"/>
  <c r="AC4" i="4"/>
  <c r="AC15" i="4" s="1"/>
  <c r="AC6" i="4"/>
  <c r="AB21" i="7" s="1"/>
  <c r="AD5" i="4"/>
  <c r="AC22" i="7" s="1"/>
  <c r="AC13" i="4"/>
  <c r="AG66" i="5"/>
  <c r="AH89" i="5"/>
  <c r="AH87" i="5"/>
  <c r="AH96" i="5"/>
  <c r="AH94" i="5"/>
  <c r="AH92" i="5"/>
  <c r="AH82" i="5"/>
  <c r="AH84" i="5"/>
  <c r="AH88" i="5"/>
  <c r="AH91" i="5"/>
  <c r="AH86" i="5"/>
  <c r="AH85" i="5"/>
  <c r="AH95" i="5"/>
  <c r="AH90" i="5"/>
  <c r="AH93" i="5"/>
  <c r="AH83" i="5"/>
  <c r="AG67" i="5" a="1"/>
  <c r="AG67" i="5" s="1"/>
  <c r="AB23" i="4" a="1"/>
  <c r="AB23" i="4" s="1"/>
  <c r="AB21" i="4" a="1"/>
  <c r="AB21" i="4" s="1"/>
  <c r="AB29" i="4" a="1"/>
  <c r="AB29" i="4" s="1"/>
  <c r="AB24" i="4" a="1"/>
  <c r="AB24" i="4" s="1"/>
  <c r="AB26" i="4" a="1"/>
  <c r="AB26" i="4" s="1"/>
  <c r="AB25" i="4" a="1"/>
  <c r="AB25" i="4" s="1"/>
  <c r="AB28" i="4" a="1"/>
  <c r="AB28" i="4" s="1"/>
  <c r="AB27" i="4" a="1"/>
  <c r="AB27" i="4" s="1"/>
  <c r="AB22" i="4" a="1"/>
  <c r="AB22" i="4" s="1"/>
  <c r="AC28" i="4" a="1"/>
  <c r="AC28" i="4" s="1"/>
  <c r="AH55" i="5" a="1"/>
  <c r="AH55" i="5" s="1"/>
  <c r="AH53" i="5" a="1"/>
  <c r="AH53" i="5" s="1"/>
  <c r="AH51" i="5" a="1"/>
  <c r="AH51" i="5" s="1"/>
  <c r="AH50" i="5" a="1"/>
  <c r="AH50" i="5" s="1"/>
  <c r="AH49" i="5" a="1"/>
  <c r="AH49" i="5" s="1"/>
  <c r="AH47" i="5" a="1"/>
  <c r="AH47" i="5" s="1"/>
  <c r="AH48" i="5" a="1"/>
  <c r="AH48" i="5" s="1"/>
  <c r="AH46" i="5" a="1"/>
  <c r="AH46" i="5" s="1"/>
  <c r="AH54" i="5" a="1"/>
  <c r="AH54" i="5" s="1"/>
  <c r="AH52" i="5" a="1"/>
  <c r="AH52" i="5" s="1"/>
  <c r="AG63" i="5"/>
  <c r="Z36" i="4" s="1" a="1"/>
  <c r="Z36" i="4" s="1"/>
  <c r="AG62" i="5"/>
  <c r="AG64" i="5"/>
  <c r="Z37" i="4" s="1" a="1"/>
  <c r="Z37" i="4" s="1"/>
  <c r="Z46" i="4" s="1" a="1"/>
  <c r="Z46" i="4" s="1"/>
  <c r="AH38" i="5"/>
  <c r="AH33" i="5"/>
  <c r="AH36" i="5"/>
  <c r="AH31" i="5"/>
  <c r="AH29" i="5"/>
  <c r="AH37" i="5"/>
  <c r="AH34" i="5"/>
  <c r="AH30" i="5"/>
  <c r="AH35" i="5"/>
  <c r="AH32" i="5"/>
  <c r="AI4" i="5"/>
  <c r="AI6" i="5"/>
  <c r="AH8" i="5" l="1" a="1"/>
  <c r="AH8" i="5" s="1"/>
  <c r="AC29" i="7"/>
  <c r="AC24" i="7"/>
  <c r="AC27" i="7"/>
  <c r="AC28" i="7"/>
  <c r="AC31" i="7"/>
  <c r="AC33" i="7"/>
  <c r="AC30" i="7"/>
  <c r="AC26" i="7"/>
  <c r="AC32" i="7"/>
  <c r="AC25" i="7"/>
  <c r="AC23" i="7"/>
  <c r="AH61" i="5"/>
  <c r="AI59" i="5" a="1"/>
  <c r="AI59" i="5" s="1"/>
  <c r="AI58" i="5" a="1"/>
  <c r="AI58" i="5" s="1"/>
  <c r="AI43" i="5"/>
  <c r="AI41" i="5"/>
  <c r="AI57" i="5" a="1"/>
  <c r="AI57" i="5" s="1"/>
  <c r="AI42" i="5"/>
  <c r="AI39" i="5"/>
  <c r="AI60" i="5" a="1"/>
  <c r="AI60" i="5" s="1"/>
  <c r="AI40" i="5"/>
  <c r="AI56" i="5" a="1"/>
  <c r="AI56" i="5" s="1"/>
  <c r="Y12" i="4" a="1"/>
  <c r="Y12" i="4" s="1"/>
  <c r="Y14" i="4" s="1"/>
  <c r="Y16" i="4" s="1"/>
  <c r="Y17" i="4" s="1" a="1"/>
  <c r="Y17" i="4" s="1"/>
  <c r="Y18" i="4" s="1"/>
  <c r="Y33" i="4" s="1"/>
  <c r="Y40" i="4" s="1"/>
  <c r="AG97" i="5"/>
  <c r="Z11" i="4" s="1" a="1"/>
  <c r="Z11" i="4" s="1"/>
  <c r="Z43" i="4" s="1" a="1"/>
  <c r="Z43" i="4" s="1"/>
  <c r="AA44" i="4" a="1"/>
  <c r="AA44" i="4" s="1"/>
  <c r="Z38" i="4"/>
  <c r="Z45" i="4" a="1"/>
  <c r="Z45" i="4" s="1"/>
  <c r="AB31" i="4"/>
  <c r="AE5" i="4"/>
  <c r="AD22" i="7" s="1"/>
  <c r="AD6" i="4"/>
  <c r="AC21" i="7" s="1"/>
  <c r="AD4" i="4"/>
  <c r="AD15" i="4" s="1"/>
  <c r="AD13" i="4"/>
  <c r="AH66" i="5"/>
  <c r="AI95" i="5"/>
  <c r="AI93" i="5"/>
  <c r="AI91" i="5"/>
  <c r="AI89" i="5"/>
  <c r="AI96" i="5"/>
  <c r="AI94" i="5"/>
  <c r="AI92" i="5"/>
  <c r="AI87" i="5"/>
  <c r="AI85" i="5"/>
  <c r="AI90" i="5"/>
  <c r="AI84" i="5"/>
  <c r="AI88" i="5"/>
  <c r="AI82" i="5"/>
  <c r="AI86" i="5"/>
  <c r="AI83" i="5"/>
  <c r="AH67" i="5" a="1"/>
  <c r="AH67" i="5" s="1"/>
  <c r="AC27" i="4" a="1"/>
  <c r="AC27" i="4" s="1"/>
  <c r="AC30" i="4" a="1"/>
  <c r="AC30" i="4" s="1"/>
  <c r="AC22" i="4" a="1"/>
  <c r="AC22" i="4" s="1"/>
  <c r="AC29" i="4" a="1"/>
  <c r="AC29" i="4" s="1"/>
  <c r="AC21" i="4" a="1"/>
  <c r="AC21" i="4" s="1"/>
  <c r="AC26" i="4" a="1"/>
  <c r="AC26" i="4" s="1"/>
  <c r="AC25" i="4" a="1"/>
  <c r="AC25" i="4" s="1"/>
  <c r="AC24" i="4" a="1"/>
  <c r="AC24" i="4" s="1"/>
  <c r="AC23" i="4" a="1"/>
  <c r="AC23" i="4" s="1"/>
  <c r="AD30" i="4" a="1"/>
  <c r="AD30" i="4" s="1"/>
  <c r="AI54" i="5" a="1"/>
  <c r="AI54" i="5" s="1"/>
  <c r="AI50" i="5" a="1"/>
  <c r="AI50" i="5" s="1"/>
  <c r="AI49" i="5" a="1"/>
  <c r="AI49" i="5" s="1"/>
  <c r="AI55" i="5" a="1"/>
  <c r="AI55" i="5" s="1"/>
  <c r="AI53" i="5" a="1"/>
  <c r="AI53" i="5" s="1"/>
  <c r="AI51" i="5" a="1"/>
  <c r="AI51" i="5" s="1"/>
  <c r="AI47" i="5" a="1"/>
  <c r="AI47" i="5" s="1"/>
  <c r="AI48" i="5" a="1"/>
  <c r="AI48" i="5" s="1"/>
  <c r="AI52" i="5" a="1"/>
  <c r="AI52" i="5" s="1"/>
  <c r="AI46" i="5" a="1"/>
  <c r="AI46" i="5" s="1"/>
  <c r="AH62" i="5"/>
  <c r="AH63" i="5"/>
  <c r="AA36" i="4" s="1" a="1"/>
  <c r="AA36" i="4" s="1"/>
  <c r="AH64" i="5"/>
  <c r="AA37" i="4" s="1" a="1"/>
  <c r="AA37" i="4" s="1"/>
  <c r="AA46" i="4" s="1" a="1"/>
  <c r="AA46" i="4" s="1"/>
  <c r="AI36" i="5"/>
  <c r="AI38" i="5"/>
  <c r="AI33" i="5"/>
  <c r="AI29" i="5"/>
  <c r="AI32" i="5"/>
  <c r="AI31" i="5"/>
  <c r="AI30" i="5"/>
  <c r="AI35" i="5"/>
  <c r="AI34" i="5"/>
  <c r="AI37" i="5"/>
  <c r="AJ4" i="5"/>
  <c r="AJ6" i="5"/>
  <c r="AI8" i="5" l="1" a="1"/>
  <c r="AI8" i="5" s="1"/>
  <c r="AD26" i="7"/>
  <c r="AD29" i="7"/>
  <c r="AD24" i="7"/>
  <c r="AD25" i="7"/>
  <c r="AD27" i="7"/>
  <c r="AD28" i="7"/>
  <c r="AD30" i="7"/>
  <c r="AD33" i="7"/>
  <c r="AD31" i="7"/>
  <c r="AD32" i="7"/>
  <c r="AD23" i="7"/>
  <c r="AI61" i="5"/>
  <c r="AJ60" i="5" a="1"/>
  <c r="AJ60" i="5" s="1"/>
  <c r="AJ43" i="5"/>
  <c r="AJ56" i="5" a="1"/>
  <c r="AJ56" i="5" s="1"/>
  <c r="AJ59" i="5" a="1"/>
  <c r="AJ59" i="5" s="1"/>
  <c r="AJ58" i="5" a="1"/>
  <c r="AJ58" i="5" s="1"/>
  <c r="AJ57" i="5" a="1"/>
  <c r="AJ57" i="5" s="1"/>
  <c r="AJ42" i="5"/>
  <c r="AJ39" i="5"/>
  <c r="AJ40" i="5"/>
  <c r="AJ41" i="5"/>
  <c r="Z12" i="4" a="1"/>
  <c r="Z12" i="4" s="1"/>
  <c r="Z14" i="4" s="1"/>
  <c r="Z16" i="4" s="1"/>
  <c r="Z17" i="4" s="1" a="1"/>
  <c r="Z17" i="4" s="1"/>
  <c r="Z18" i="4" s="1"/>
  <c r="Z33" i="4" s="1"/>
  <c r="Z40" i="4" s="1"/>
  <c r="AB44" i="4" a="1"/>
  <c r="AB44" i="4" s="1"/>
  <c r="AH97" i="5"/>
  <c r="AA11" i="4" s="1" a="1"/>
  <c r="AA11" i="4" s="1"/>
  <c r="AA43" i="4" s="1" a="1"/>
  <c r="AA43" i="4" s="1"/>
  <c r="AC31" i="4"/>
  <c r="AA38" i="4"/>
  <c r="AA45" i="4" a="1"/>
  <c r="AA45" i="4" s="1"/>
  <c r="AE4" i="4"/>
  <c r="AE15" i="4" s="1"/>
  <c r="AF5" i="4"/>
  <c r="AE22" i="7" s="1"/>
  <c r="AE13" i="4"/>
  <c r="AE6" i="4"/>
  <c r="AD21" i="7" s="1"/>
  <c r="AI66" i="5"/>
  <c r="AJ95" i="5"/>
  <c r="AJ93" i="5"/>
  <c r="AJ91" i="5"/>
  <c r="AJ89" i="5"/>
  <c r="AJ87" i="5"/>
  <c r="AJ85" i="5"/>
  <c r="AJ90" i="5"/>
  <c r="AJ84" i="5"/>
  <c r="AJ96" i="5"/>
  <c r="AJ88" i="5"/>
  <c r="AJ82" i="5"/>
  <c r="AJ86" i="5"/>
  <c r="AJ94" i="5"/>
  <c r="AJ83" i="5"/>
  <c r="AJ92" i="5"/>
  <c r="AI67" i="5" a="1"/>
  <c r="AI67" i="5" s="1"/>
  <c r="AD26" i="4" a="1"/>
  <c r="AD26" i="4" s="1"/>
  <c r="AD25" i="4" a="1"/>
  <c r="AD25" i="4" s="1"/>
  <c r="AD21" i="4" a="1"/>
  <c r="AD21" i="4" s="1"/>
  <c r="AD28" i="4" a="1"/>
  <c r="AD28" i="4" s="1"/>
  <c r="AD29" i="4" a="1"/>
  <c r="AD29" i="4" s="1"/>
  <c r="AD24" i="4" a="1"/>
  <c r="AD24" i="4" s="1"/>
  <c r="AD27" i="4" a="1"/>
  <c r="AD27" i="4" s="1"/>
  <c r="AD23" i="4" a="1"/>
  <c r="AD23" i="4" s="1"/>
  <c r="AE29" i="4" a="1"/>
  <c r="AE29" i="4" s="1"/>
  <c r="AD22" i="4" a="1"/>
  <c r="AD22" i="4" s="1"/>
  <c r="AJ54" i="5" a="1"/>
  <c r="AJ54" i="5" s="1"/>
  <c r="AJ50" i="5" a="1"/>
  <c r="AJ50" i="5" s="1"/>
  <c r="AJ49" i="5" a="1"/>
  <c r="AJ49" i="5" s="1"/>
  <c r="AJ55" i="5" a="1"/>
  <c r="AJ55" i="5" s="1"/>
  <c r="AJ53" i="5" a="1"/>
  <c r="AJ53" i="5" s="1"/>
  <c r="AJ47" i="5" a="1"/>
  <c r="AJ47" i="5" s="1"/>
  <c r="AJ51" i="5" a="1"/>
  <c r="AJ51" i="5" s="1"/>
  <c r="AJ48" i="5" a="1"/>
  <c r="AJ48" i="5" s="1"/>
  <c r="AJ46" i="5" a="1"/>
  <c r="AJ46" i="5" s="1"/>
  <c r="AJ52" i="5" a="1"/>
  <c r="AJ52" i="5" s="1"/>
  <c r="AI62" i="5"/>
  <c r="AI63" i="5"/>
  <c r="AB36" i="4" s="1" a="1"/>
  <c r="AB36" i="4" s="1"/>
  <c r="AI64" i="5"/>
  <c r="AB37" i="4" s="1" a="1"/>
  <c r="AB37" i="4" s="1"/>
  <c r="AB46" i="4" s="1" a="1"/>
  <c r="AB46" i="4" s="1"/>
  <c r="AJ36" i="5"/>
  <c r="AJ33" i="5"/>
  <c r="AJ29" i="5"/>
  <c r="AJ32" i="5"/>
  <c r="AJ34" i="5"/>
  <c r="AJ31" i="5"/>
  <c r="AJ38" i="5"/>
  <c r="AJ37" i="5"/>
  <c r="AJ30" i="5"/>
  <c r="AJ35" i="5"/>
  <c r="AK4" i="5"/>
  <c r="AK6" i="5"/>
  <c r="AJ8" i="5" l="1" a="1"/>
  <c r="AJ8" i="5" s="1"/>
  <c r="AE31" i="7"/>
  <c r="AE26" i="7"/>
  <c r="AE29" i="7"/>
  <c r="AE24" i="7"/>
  <c r="AE33" i="7"/>
  <c r="AE27" i="7"/>
  <c r="AE25" i="7"/>
  <c r="AE32" i="7"/>
  <c r="AE23" i="7"/>
  <c r="AE28" i="7"/>
  <c r="AE30" i="7"/>
  <c r="AJ61" i="5"/>
  <c r="AK60" i="5" a="1"/>
  <c r="AK60" i="5" s="1"/>
  <c r="AK56" i="5" a="1"/>
  <c r="AK56" i="5" s="1"/>
  <c r="AK43" i="5"/>
  <c r="AK57" i="5" a="1"/>
  <c r="AK57" i="5" s="1"/>
  <c r="AK58" i="5" a="1"/>
  <c r="AK58" i="5" s="1"/>
  <c r="AK40" i="5"/>
  <c r="AK39" i="5"/>
  <c r="AK59" i="5" a="1"/>
  <c r="AK59" i="5" s="1"/>
  <c r="AK42" i="5"/>
  <c r="AK41" i="5"/>
  <c r="AI97" i="5"/>
  <c r="AB11" i="4" s="1" a="1"/>
  <c r="AB11" i="4" s="1"/>
  <c r="AB43" i="4" s="1" a="1"/>
  <c r="AB43" i="4" s="1"/>
  <c r="AA12" i="4" a="1"/>
  <c r="AA12" i="4" s="1"/>
  <c r="AA14" i="4" s="1"/>
  <c r="AA16" i="4" s="1"/>
  <c r="AA17" i="4" s="1" a="1"/>
  <c r="AA17" i="4" s="1"/>
  <c r="AA18" i="4" s="1"/>
  <c r="AA33" i="4" s="1"/>
  <c r="AA40" i="4" s="1"/>
  <c r="AC44" i="4" a="1"/>
  <c r="AC44" i="4" s="1"/>
  <c r="AB38" i="4"/>
  <c r="AB45" i="4" a="1"/>
  <c r="AB45" i="4" s="1"/>
  <c r="AD31" i="4"/>
  <c r="AF6" i="4"/>
  <c r="AE21" i="7" s="1"/>
  <c r="AF13" i="4"/>
  <c r="AF4" i="4"/>
  <c r="AF15" i="4" s="1"/>
  <c r="AG5" i="4"/>
  <c r="AF22" i="7" s="1"/>
  <c r="AJ66" i="5"/>
  <c r="AK95" i="5"/>
  <c r="AK93" i="5"/>
  <c r="AK91" i="5"/>
  <c r="AK90" i="5"/>
  <c r="AK88" i="5"/>
  <c r="AK96" i="5"/>
  <c r="AK87" i="5"/>
  <c r="AK82" i="5"/>
  <c r="AK85" i="5"/>
  <c r="AK86" i="5"/>
  <c r="AK92" i="5"/>
  <c r="AK94" i="5"/>
  <c r="AK89" i="5"/>
  <c r="AK84" i="5"/>
  <c r="AK83" i="5"/>
  <c r="AJ67" i="5" a="1"/>
  <c r="AJ67" i="5" s="1"/>
  <c r="AJ97" i="5" s="1"/>
  <c r="AC11" i="4" s="1" a="1"/>
  <c r="AC11" i="4" s="1"/>
  <c r="AE25" i="4" a="1"/>
  <c r="AE25" i="4" s="1"/>
  <c r="AE28" i="4" a="1"/>
  <c r="AE28" i="4" s="1"/>
  <c r="AE24" i="4" a="1"/>
  <c r="AE24" i="4" s="1"/>
  <c r="AE30" i="4" a="1"/>
  <c r="AE30" i="4" s="1"/>
  <c r="AE22" i="4" a="1"/>
  <c r="AE22" i="4" s="1"/>
  <c r="AE23" i="4" a="1"/>
  <c r="AE23" i="4" s="1"/>
  <c r="AE27" i="4" a="1"/>
  <c r="AE27" i="4" s="1"/>
  <c r="AE26" i="4" a="1"/>
  <c r="AE26" i="4" s="1"/>
  <c r="AF28" i="4" a="1"/>
  <c r="AF28" i="4" s="1"/>
  <c r="AE21" i="4" a="1"/>
  <c r="AE21" i="4" s="1"/>
  <c r="AK53" i="5" a="1"/>
  <c r="AK53" i="5" s="1"/>
  <c r="AK55" i="5" a="1"/>
  <c r="AK55" i="5" s="1"/>
  <c r="AK48" i="5" a="1"/>
  <c r="AK48" i="5" s="1"/>
  <c r="AK52" i="5" a="1"/>
  <c r="AK52" i="5" s="1"/>
  <c r="AK54" i="5" a="1"/>
  <c r="AK54" i="5" s="1"/>
  <c r="AK51" i="5" a="1"/>
  <c r="AK51" i="5" s="1"/>
  <c r="AK46" i="5" a="1"/>
  <c r="AK46" i="5" s="1"/>
  <c r="AK49" i="5" a="1"/>
  <c r="AK49" i="5" s="1"/>
  <c r="AK47" i="5" a="1"/>
  <c r="AK47" i="5" s="1"/>
  <c r="AK50" i="5" a="1"/>
  <c r="AK50" i="5" s="1"/>
  <c r="AJ63" i="5"/>
  <c r="AC36" i="4" s="1" a="1"/>
  <c r="AC36" i="4" s="1"/>
  <c r="AJ62" i="5"/>
  <c r="AJ64" i="5"/>
  <c r="AC37" i="4" s="1" a="1"/>
  <c r="AC37" i="4" s="1"/>
  <c r="AC46" i="4" s="1" a="1"/>
  <c r="AC46" i="4" s="1"/>
  <c r="AK34" i="5"/>
  <c r="AK37" i="5"/>
  <c r="AK32" i="5"/>
  <c r="AK35" i="5"/>
  <c r="AK30" i="5"/>
  <c r="AK38" i="5"/>
  <c r="AK33" i="5"/>
  <c r="AK29" i="5"/>
  <c r="AK36" i="5"/>
  <c r="AK31" i="5"/>
  <c r="AL4" i="5"/>
  <c r="AL6" i="5"/>
  <c r="AK8" i="5" l="1" a="1"/>
  <c r="AK8" i="5" s="1"/>
  <c r="AF28" i="7"/>
  <c r="AF31" i="7"/>
  <c r="AF26" i="7"/>
  <c r="AF27" i="7"/>
  <c r="AF30" i="7"/>
  <c r="AF24" i="7"/>
  <c r="AF33" i="7"/>
  <c r="AF32" i="7"/>
  <c r="AF23" i="7"/>
  <c r="AF29" i="7"/>
  <c r="AF25" i="7"/>
  <c r="AK61" i="5"/>
  <c r="AL57" i="5" a="1"/>
  <c r="AL57" i="5" s="1"/>
  <c r="AL60" i="5" a="1"/>
  <c r="AL60" i="5" s="1"/>
  <c r="AL56" i="5" a="1"/>
  <c r="AL56" i="5" s="1"/>
  <c r="AL43" i="5"/>
  <c r="AL58" i="5" a="1"/>
  <c r="AL58" i="5" s="1"/>
  <c r="AL41" i="5"/>
  <c r="AL40" i="5"/>
  <c r="AL39" i="5"/>
  <c r="AL59" i="5" a="1"/>
  <c r="AL59" i="5" s="1"/>
  <c r="AL42" i="5"/>
  <c r="AB12" i="4" a="1"/>
  <c r="AB12" i="4" s="1"/>
  <c r="AB14" i="4" s="1"/>
  <c r="AB16" i="4" s="1"/>
  <c r="AB17" i="4" s="1" a="1"/>
  <c r="AB17" i="4" s="1"/>
  <c r="AB18" i="4" s="1"/>
  <c r="AB33" i="4" s="1"/>
  <c r="AB40" i="4" s="1"/>
  <c r="AC12" i="4" a="1"/>
  <c r="AC12" i="4" s="1"/>
  <c r="AC14" i="4" s="1"/>
  <c r="AC16" i="4" s="1"/>
  <c r="AD44" i="4" a="1"/>
  <c r="AD44" i="4" s="1"/>
  <c r="AC43" i="4" a="1"/>
  <c r="AC43" i="4" s="1"/>
  <c r="AC45" i="4" a="1"/>
  <c r="AC45" i="4" s="1"/>
  <c r="AC38" i="4"/>
  <c r="AE31" i="4"/>
  <c r="AG13" i="4"/>
  <c r="AG4" i="4"/>
  <c r="AG15" i="4" s="1"/>
  <c r="AG6" i="4"/>
  <c r="AF21" i="7" s="1"/>
  <c r="AH5" i="4"/>
  <c r="AG22" i="7" s="1"/>
  <c r="AK66" i="5"/>
  <c r="AL88" i="5"/>
  <c r="AL86" i="5"/>
  <c r="AL89" i="5"/>
  <c r="AL83" i="5"/>
  <c r="AL91" i="5"/>
  <c r="AL85" i="5"/>
  <c r="AL92" i="5"/>
  <c r="AL93" i="5"/>
  <c r="AL90" i="5"/>
  <c r="AL95" i="5"/>
  <c r="AL84" i="5"/>
  <c r="AL96" i="5"/>
  <c r="AL94" i="5"/>
  <c r="AL82" i="5"/>
  <c r="AL87" i="5"/>
  <c r="AK67" i="5" a="1"/>
  <c r="AK67" i="5" s="1"/>
  <c r="AF30" i="4" a="1"/>
  <c r="AF30" i="4" s="1"/>
  <c r="AF22" i="4" a="1"/>
  <c r="AF22" i="4" s="1"/>
  <c r="AF27" i="4" a="1"/>
  <c r="AF27" i="4" s="1"/>
  <c r="AF24" i="4" a="1"/>
  <c r="AF24" i="4" s="1"/>
  <c r="AF23" i="4" a="1"/>
  <c r="AF23" i="4" s="1"/>
  <c r="AF26" i="4" a="1"/>
  <c r="AF26" i="4" s="1"/>
  <c r="AF21" i="4" a="1"/>
  <c r="AF21" i="4" s="1"/>
  <c r="AF29" i="4" a="1"/>
  <c r="AF29" i="4" s="1"/>
  <c r="AF25" i="4" a="1"/>
  <c r="AF25" i="4" s="1"/>
  <c r="AG25" i="4" a="1"/>
  <c r="AG25" i="4" s="1"/>
  <c r="AL55" i="5" a="1"/>
  <c r="AL55" i="5" s="1"/>
  <c r="AL52" i="5" a="1"/>
  <c r="AL52" i="5" s="1"/>
  <c r="AL51" i="5" a="1"/>
  <c r="AL51" i="5" s="1"/>
  <c r="AL50" i="5" a="1"/>
  <c r="AL50" i="5" s="1"/>
  <c r="AL46" i="5" a="1"/>
  <c r="AL46" i="5" s="1"/>
  <c r="AL49" i="5" a="1"/>
  <c r="AL49" i="5" s="1"/>
  <c r="AL47" i="5" a="1"/>
  <c r="AL47" i="5" s="1"/>
  <c r="AL53" i="5" a="1"/>
  <c r="AL53" i="5" s="1"/>
  <c r="AL48" i="5" a="1"/>
  <c r="AL48" i="5" s="1"/>
  <c r="AL54" i="5" a="1"/>
  <c r="AL54" i="5" s="1"/>
  <c r="AK64" i="5"/>
  <c r="AD37" i="4" s="1" a="1"/>
  <c r="AD37" i="4" s="1"/>
  <c r="AD46" i="4" s="1" a="1"/>
  <c r="AD46" i="4" s="1"/>
  <c r="AK62" i="5"/>
  <c r="AK63" i="5"/>
  <c r="AD36" i="4" s="1" a="1"/>
  <c r="AD36" i="4" s="1"/>
  <c r="AL37" i="5"/>
  <c r="AL35" i="5"/>
  <c r="AL34" i="5"/>
  <c r="AL30" i="5"/>
  <c r="AL36" i="5"/>
  <c r="AL33" i="5"/>
  <c r="AL32" i="5"/>
  <c r="AL31" i="5"/>
  <c r="AL38" i="5"/>
  <c r="AL29" i="5"/>
  <c r="AM4" i="5"/>
  <c r="AM6" i="5"/>
  <c r="AL8" i="5" l="1" a="1"/>
  <c r="AL8" i="5" s="1"/>
  <c r="AG25" i="7"/>
  <c r="AG28" i="7"/>
  <c r="AG24" i="7"/>
  <c r="AG30" i="7"/>
  <c r="AG27" i="7"/>
  <c r="AG33" i="7"/>
  <c r="AG29" i="7"/>
  <c r="AG31" i="7"/>
  <c r="AG32" i="7"/>
  <c r="AG23" i="7"/>
  <c r="AG26" i="7"/>
  <c r="AL61" i="5"/>
  <c r="AM42" i="5"/>
  <c r="AM57" i="5" a="1"/>
  <c r="AM57" i="5" s="1"/>
  <c r="AM56" i="5" a="1"/>
  <c r="AM56" i="5" s="1"/>
  <c r="AM60" i="5" a="1"/>
  <c r="AM60" i="5" s="1"/>
  <c r="AM41" i="5"/>
  <c r="AM40" i="5"/>
  <c r="AM59" i="5" a="1"/>
  <c r="AM59" i="5" s="1"/>
  <c r="AM39" i="5"/>
  <c r="AM43" i="5"/>
  <c r="AM58" i="5" a="1"/>
  <c r="AM58" i="5" s="1"/>
  <c r="AK97" i="5"/>
  <c r="AD11" i="4" s="1" a="1"/>
  <c r="AD11" i="4" s="1"/>
  <c r="AD43" i="4" s="1" a="1"/>
  <c r="AD43" i="4" s="1"/>
  <c r="AE44" i="4" a="1"/>
  <c r="AE44" i="4" s="1"/>
  <c r="AD38" i="4"/>
  <c r="AD45" i="4" a="1"/>
  <c r="AD45" i="4" s="1"/>
  <c r="AC17" i="4" a="1"/>
  <c r="AC17" i="4" s="1"/>
  <c r="AC18" i="4" s="1"/>
  <c r="AC33" i="4" s="1"/>
  <c r="AC40" i="4" s="1"/>
  <c r="AF31" i="4"/>
  <c r="AI5" i="4"/>
  <c r="AH22" i="7" s="1"/>
  <c r="AH13" i="4"/>
  <c r="AH4" i="4"/>
  <c r="AH15" i="4" s="1"/>
  <c r="AH6" i="4"/>
  <c r="AG21" i="7" s="1"/>
  <c r="AL66" i="5"/>
  <c r="AM96" i="5"/>
  <c r="AM94" i="5"/>
  <c r="AM92" i="5"/>
  <c r="AM90" i="5"/>
  <c r="AM88" i="5"/>
  <c r="AM95" i="5"/>
  <c r="AM93" i="5"/>
  <c r="AM91" i="5"/>
  <c r="AM86" i="5"/>
  <c r="AM85" i="5"/>
  <c r="AM83" i="5"/>
  <c r="AM87" i="5"/>
  <c r="AM82" i="5"/>
  <c r="AM89" i="5"/>
  <c r="AM84" i="5"/>
  <c r="AL67" i="5" a="1"/>
  <c r="AL67" i="5" s="1"/>
  <c r="AL97" i="5" s="1"/>
  <c r="AE11" i="4" s="1" a="1"/>
  <c r="AE11" i="4" s="1"/>
  <c r="AG28" i="4" a="1"/>
  <c r="AG28" i="4" s="1"/>
  <c r="AG23" i="4" a="1"/>
  <c r="AG23" i="4" s="1"/>
  <c r="AG27" i="4" a="1"/>
  <c r="AG27" i="4" s="1"/>
  <c r="AG22" i="4" a="1"/>
  <c r="AG22" i="4" s="1"/>
  <c r="AG30" i="4" a="1"/>
  <c r="AG30" i="4" s="1"/>
  <c r="AG24" i="4" a="1"/>
  <c r="AG24" i="4" s="1"/>
  <c r="AG26" i="4" a="1"/>
  <c r="AG26" i="4" s="1"/>
  <c r="AG21" i="4" a="1"/>
  <c r="AG21" i="4" s="1"/>
  <c r="AG29" i="4" a="1"/>
  <c r="AG29" i="4" s="1"/>
  <c r="AH27" i="4" a="1"/>
  <c r="AH27" i="4" s="1"/>
  <c r="AM55" i="5" a="1"/>
  <c r="AM55" i="5" s="1"/>
  <c r="AM52" i="5" a="1"/>
  <c r="AM52" i="5" s="1"/>
  <c r="AM51" i="5" a="1"/>
  <c r="AM51" i="5" s="1"/>
  <c r="AM54" i="5" a="1"/>
  <c r="AM54" i="5" s="1"/>
  <c r="AM53" i="5" a="1"/>
  <c r="AM53" i="5" s="1"/>
  <c r="AM49" i="5" a="1"/>
  <c r="AM49" i="5" s="1"/>
  <c r="AM47" i="5" a="1"/>
  <c r="AM47" i="5" s="1"/>
  <c r="AM50" i="5" a="1"/>
  <c r="AM50" i="5" s="1"/>
  <c r="AM46" i="5" a="1"/>
  <c r="AM46" i="5" s="1"/>
  <c r="AM48" i="5" a="1"/>
  <c r="AM48" i="5" s="1"/>
  <c r="AL64" i="5"/>
  <c r="AE37" i="4" s="1" a="1"/>
  <c r="AE37" i="4" s="1"/>
  <c r="AE46" i="4" s="1" a="1"/>
  <c r="AE46" i="4" s="1"/>
  <c r="AL62" i="5"/>
  <c r="AL63" i="5"/>
  <c r="AE36" i="4" s="1" a="1"/>
  <c r="AE36" i="4" s="1"/>
  <c r="AM37" i="5"/>
  <c r="AM35" i="5"/>
  <c r="AM34" i="5"/>
  <c r="AM30" i="5"/>
  <c r="AM36" i="5"/>
  <c r="AM32" i="5"/>
  <c r="AM33" i="5"/>
  <c r="AM29" i="5"/>
  <c r="AM31" i="5"/>
  <c r="AM38" i="5"/>
  <c r="AN4" i="5"/>
  <c r="AN6" i="5"/>
  <c r="AM8" i="5" l="1" a="1"/>
  <c r="AM8" i="5" s="1"/>
  <c r="AH30" i="7"/>
  <c r="AH25" i="7"/>
  <c r="AH28" i="7"/>
  <c r="AH29" i="7"/>
  <c r="AH32" i="7"/>
  <c r="AH23" i="7"/>
  <c r="AH24" i="7"/>
  <c r="AH31" i="7"/>
  <c r="AH27" i="7"/>
  <c r="AH26" i="7"/>
  <c r="AH33" i="7"/>
  <c r="AM61" i="5"/>
  <c r="AN42" i="5"/>
  <c r="AN60" i="5" a="1"/>
  <c r="AN60" i="5" s="1"/>
  <c r="AN41" i="5"/>
  <c r="AN40" i="5"/>
  <c r="AN59" i="5" a="1"/>
  <c r="AN59" i="5" s="1"/>
  <c r="AN43" i="5"/>
  <c r="AN57" i="5" a="1"/>
  <c r="AN57" i="5" s="1"/>
  <c r="AN39" i="5"/>
  <c r="AN58" i="5" a="1"/>
  <c r="AN58" i="5" s="1"/>
  <c r="AN56" i="5" a="1"/>
  <c r="AN56" i="5" s="1"/>
  <c r="AD12" i="4" a="1"/>
  <c r="AD12" i="4" s="1"/>
  <c r="AD14" i="4" s="1"/>
  <c r="AD16" i="4" s="1"/>
  <c r="AD17" i="4" s="1" a="1"/>
  <c r="AD17" i="4" s="1"/>
  <c r="AD18" i="4" s="1"/>
  <c r="AD33" i="4" s="1"/>
  <c r="AD40" i="4" s="1"/>
  <c r="AE43" i="4" a="1"/>
  <c r="AE43" i="4" s="1"/>
  <c r="AE38" i="4"/>
  <c r="AE45" i="4" a="1"/>
  <c r="AE45" i="4" s="1"/>
  <c r="AF44" i="4" a="1"/>
  <c r="AF44" i="4" s="1"/>
  <c r="AG31" i="4"/>
  <c r="AI4" i="4"/>
  <c r="AI15" i="4" s="1"/>
  <c r="AJ5" i="4"/>
  <c r="AI22" i="7" s="1"/>
  <c r="AI6" i="4"/>
  <c r="AH21" i="7" s="1"/>
  <c r="AI13" i="4"/>
  <c r="AE12" i="4" a="1"/>
  <c r="AE12" i="4" s="1"/>
  <c r="AE14" i="4" s="1"/>
  <c r="AE16" i="4" s="1"/>
  <c r="AM66" i="5"/>
  <c r="AN96" i="5"/>
  <c r="AN94" i="5"/>
  <c r="AN92" i="5"/>
  <c r="AN90" i="5"/>
  <c r="AN88" i="5"/>
  <c r="AN86" i="5"/>
  <c r="AN84" i="5"/>
  <c r="AN95" i="5"/>
  <c r="AN93" i="5"/>
  <c r="AN91" i="5"/>
  <c r="AN85" i="5"/>
  <c r="AN83" i="5"/>
  <c r="AN89" i="5"/>
  <c r="AN82" i="5"/>
  <c r="AN87" i="5"/>
  <c r="AM67" i="5" a="1"/>
  <c r="AM67" i="5" s="1"/>
  <c r="AH24" i="4" a="1"/>
  <c r="AH24" i="4" s="1"/>
  <c r="AH21" i="4" a="1"/>
  <c r="AH21" i="4" s="1"/>
  <c r="AH23" i="4" a="1"/>
  <c r="AH23" i="4" s="1"/>
  <c r="AH26" i="4" a="1"/>
  <c r="AH26" i="4" s="1"/>
  <c r="AH25" i="4" a="1"/>
  <c r="AH25" i="4" s="1"/>
  <c r="AH30" i="4" a="1"/>
  <c r="AH30" i="4" s="1"/>
  <c r="AH22" i="4" a="1"/>
  <c r="AH22" i="4" s="1"/>
  <c r="AH29" i="4" a="1"/>
  <c r="AH29" i="4" s="1"/>
  <c r="AH28" i="4" a="1"/>
  <c r="AH28" i="4" s="1"/>
  <c r="AI24" i="4" a="1"/>
  <c r="AI24" i="4" s="1"/>
  <c r="AN54" i="5" a="1"/>
  <c r="AN54" i="5" s="1"/>
  <c r="AN53" i="5" a="1"/>
  <c r="AN53" i="5" s="1"/>
  <c r="AN49" i="5" a="1"/>
  <c r="AN49" i="5" s="1"/>
  <c r="AN50" i="5" a="1"/>
  <c r="AN50" i="5" s="1"/>
  <c r="AN52" i="5" a="1"/>
  <c r="AN52" i="5" s="1"/>
  <c r="AN47" i="5" a="1"/>
  <c r="AN47" i="5" s="1"/>
  <c r="AN48" i="5" a="1"/>
  <c r="AN48" i="5" s="1"/>
  <c r="AN46" i="5" a="1"/>
  <c r="AN46" i="5" s="1"/>
  <c r="AN55" i="5" a="1"/>
  <c r="AN55" i="5" s="1"/>
  <c r="AN51" i="5" a="1"/>
  <c r="AN51" i="5" s="1"/>
  <c r="AM62" i="5"/>
  <c r="AM63" i="5"/>
  <c r="AF36" i="4" s="1" a="1"/>
  <c r="AF36" i="4" s="1"/>
  <c r="AM64" i="5"/>
  <c r="AF37" i="4" s="1" a="1"/>
  <c r="AF37" i="4" s="1"/>
  <c r="AF46" i="4" s="1" a="1"/>
  <c r="AF46" i="4" s="1"/>
  <c r="AN35" i="5"/>
  <c r="AN38" i="5"/>
  <c r="AN36" i="5"/>
  <c r="AN31" i="5"/>
  <c r="AN34" i="5"/>
  <c r="AN30" i="5"/>
  <c r="AN29" i="5"/>
  <c r="AN37" i="5"/>
  <c r="AN32" i="5"/>
  <c r="AN33" i="5"/>
  <c r="AO4" i="5"/>
  <c r="AO6" i="5"/>
  <c r="AN8" i="5" l="1" a="1"/>
  <c r="AN8" i="5" s="1"/>
  <c r="AI27" i="7"/>
  <c r="AI30" i="7"/>
  <c r="AI25" i="7"/>
  <c r="AI26" i="7"/>
  <c r="AI28" i="7"/>
  <c r="AI32" i="7"/>
  <c r="AI23" i="7"/>
  <c r="AI29" i="7"/>
  <c r="AI31" i="7"/>
  <c r="AI24" i="7"/>
  <c r="AI33" i="7"/>
  <c r="AN61" i="5"/>
  <c r="AO42" i="5"/>
  <c r="AO56" i="5" a="1"/>
  <c r="AO56" i="5" s="1"/>
  <c r="AO59" i="5" a="1"/>
  <c r="AO59" i="5" s="1"/>
  <c r="AO58" i="5" a="1"/>
  <c r="AO58" i="5" s="1"/>
  <c r="AO57" i="5" a="1"/>
  <c r="AO57" i="5" s="1"/>
  <c r="AO39" i="5"/>
  <c r="AO60" i="5" a="1"/>
  <c r="AO60" i="5" s="1"/>
  <c r="AO40" i="5"/>
  <c r="AO41" i="5"/>
  <c r="AO43" i="5"/>
  <c r="AM97" i="5"/>
  <c r="AF11" i="4" s="1" a="1"/>
  <c r="AF11" i="4" s="1"/>
  <c r="AF43" i="4" s="1" a="1"/>
  <c r="AF43" i="4" s="1"/>
  <c r="AG44" i="4" a="1"/>
  <c r="AG44" i="4" s="1"/>
  <c r="AF38" i="4"/>
  <c r="AF45" i="4" a="1"/>
  <c r="AF45" i="4" s="1"/>
  <c r="AH31" i="4"/>
  <c r="AE17" i="4" a="1"/>
  <c r="AE17" i="4" s="1"/>
  <c r="AE18" i="4" s="1"/>
  <c r="AE33" i="4" s="1"/>
  <c r="AE40" i="4" s="1"/>
  <c r="AJ6" i="4"/>
  <c r="AI21" i="7" s="1"/>
  <c r="AJ13" i="4"/>
  <c r="AK5" i="4"/>
  <c r="AJ22" i="7" s="1"/>
  <c r="AJ4" i="4"/>
  <c r="AJ15" i="4" s="1"/>
  <c r="AN66" i="5"/>
  <c r="AO96" i="5"/>
  <c r="AO94" i="5"/>
  <c r="AO92" i="5"/>
  <c r="AO90" i="5"/>
  <c r="AO95" i="5"/>
  <c r="AO93" i="5"/>
  <c r="AO91" i="5"/>
  <c r="AO88" i="5"/>
  <c r="AO86" i="5"/>
  <c r="AO83" i="5"/>
  <c r="AO89" i="5"/>
  <c r="AO87" i="5"/>
  <c r="AO84" i="5"/>
  <c r="AO82" i="5"/>
  <c r="AO85" i="5"/>
  <c r="AN67" i="5" a="1"/>
  <c r="AN67" i="5" s="1"/>
  <c r="AI23" i="4" a="1"/>
  <c r="AI23" i="4" s="1"/>
  <c r="AI25" i="4" a="1"/>
  <c r="AI25" i="4" s="1"/>
  <c r="AI26" i="4" a="1"/>
  <c r="AI26" i="4" s="1"/>
  <c r="AI28" i="4" a="1"/>
  <c r="AI28" i="4" s="1"/>
  <c r="AI27" i="4" a="1"/>
  <c r="AI27" i="4" s="1"/>
  <c r="AI22" i="4" a="1"/>
  <c r="AI22" i="4" s="1"/>
  <c r="AI30" i="4" a="1"/>
  <c r="AI30" i="4" s="1"/>
  <c r="AI21" i="4" a="1"/>
  <c r="AI21" i="4" s="1"/>
  <c r="AI29" i="4" a="1"/>
  <c r="AI29" i="4" s="1"/>
  <c r="AJ26" i="4" a="1"/>
  <c r="AJ26" i="4" s="1"/>
  <c r="AO53" i="5" a="1"/>
  <c r="AO53" i="5" s="1"/>
  <c r="AO50" i="5" a="1"/>
  <c r="AO50" i="5" s="1"/>
  <c r="AO48" i="5" a="1"/>
  <c r="AO48" i="5" s="1"/>
  <c r="AO54" i="5" a="1"/>
  <c r="AO54" i="5" s="1"/>
  <c r="AO51" i="5" a="1"/>
  <c r="AO51" i="5" s="1"/>
  <c r="AO47" i="5" a="1"/>
  <c r="AO47" i="5" s="1"/>
  <c r="AO52" i="5" a="1"/>
  <c r="AO52" i="5" s="1"/>
  <c r="AO49" i="5" a="1"/>
  <c r="AO49" i="5" s="1"/>
  <c r="AO46" i="5" a="1"/>
  <c r="AO46" i="5" s="1"/>
  <c r="AO55" i="5" a="1"/>
  <c r="AO55" i="5" s="1"/>
  <c r="AN62" i="5"/>
  <c r="AN63" i="5"/>
  <c r="AG36" i="4" s="1" a="1"/>
  <c r="AG36" i="4" s="1"/>
  <c r="AN64" i="5"/>
  <c r="AG37" i="4" s="1" a="1"/>
  <c r="AG37" i="4" s="1"/>
  <c r="AG46" i="4" s="1" a="1"/>
  <c r="AG46" i="4" s="1"/>
  <c r="AO38" i="5"/>
  <c r="AO35" i="5"/>
  <c r="AO31" i="5"/>
  <c r="AO37" i="5"/>
  <c r="AO34" i="5"/>
  <c r="AO30" i="5"/>
  <c r="AO36" i="5"/>
  <c r="AO29" i="5"/>
  <c r="AO32" i="5"/>
  <c r="AO33" i="5"/>
  <c r="AP4" i="5"/>
  <c r="AP6" i="5"/>
  <c r="AO8" i="5" l="1" a="1"/>
  <c r="AO8" i="5" s="1"/>
  <c r="AJ24" i="7"/>
  <c r="AJ27" i="7"/>
  <c r="AJ25" i="7"/>
  <c r="AJ28" i="7"/>
  <c r="AJ30" i="7"/>
  <c r="AJ32" i="7"/>
  <c r="AK30" i="4" s="1" a="1"/>
  <c r="AK30" i="4" s="1"/>
  <c r="AJ23" i="7"/>
  <c r="AJ26" i="7"/>
  <c r="AJ33" i="7"/>
  <c r="AJ29" i="7"/>
  <c r="AJ31" i="7"/>
  <c r="AO61" i="5"/>
  <c r="AP56" i="5" a="1"/>
  <c r="AP56" i="5" s="1"/>
  <c r="AP59" i="5" a="1"/>
  <c r="AP59" i="5" s="1"/>
  <c r="AP58" i="5" a="1"/>
  <c r="AP58" i="5" s="1"/>
  <c r="AP42" i="5"/>
  <c r="AP39" i="5"/>
  <c r="AP57" i="5" a="1"/>
  <c r="AP57" i="5" s="1"/>
  <c r="AP60" i="5" a="1"/>
  <c r="AP60" i="5" s="1"/>
  <c r="AP40" i="5"/>
  <c r="AP41" i="5"/>
  <c r="AP43" i="5"/>
  <c r="AF12" i="4" a="1"/>
  <c r="AF12" i="4" s="1"/>
  <c r="AF14" i="4" s="1"/>
  <c r="AF16" i="4" s="1"/>
  <c r="AF17" i="4" s="1" a="1"/>
  <c r="AF17" i="4" s="1"/>
  <c r="AF18" i="4" s="1"/>
  <c r="AF33" i="4" s="1"/>
  <c r="AF40" i="4" s="1"/>
  <c r="AN97" i="5"/>
  <c r="AG11" i="4" s="1" a="1"/>
  <c r="AG11" i="4" s="1"/>
  <c r="AG43" i="4" s="1" a="1"/>
  <c r="AG43" i="4" s="1"/>
  <c r="AH44" i="4" a="1"/>
  <c r="AH44" i="4" s="1"/>
  <c r="AG38" i="4"/>
  <c r="AG45" i="4" a="1"/>
  <c r="AG45" i="4" s="1"/>
  <c r="AI31" i="4"/>
  <c r="AL5" i="4"/>
  <c r="AK22" i="7" s="1"/>
  <c r="AK4" i="4"/>
  <c r="AK15" i="4" s="1"/>
  <c r="AK13" i="4"/>
  <c r="AK6" i="4"/>
  <c r="AJ21" i="7" s="1"/>
  <c r="AO66" i="5"/>
  <c r="AP95" i="5"/>
  <c r="AP93" i="5"/>
  <c r="AP91" i="5"/>
  <c r="AP96" i="5"/>
  <c r="AP94" i="5"/>
  <c r="AP92" i="5"/>
  <c r="AP89" i="5"/>
  <c r="AP87" i="5"/>
  <c r="AP90" i="5"/>
  <c r="AP82" i="5"/>
  <c r="AP84" i="5"/>
  <c r="AP85" i="5"/>
  <c r="AP86" i="5"/>
  <c r="AP83" i="5"/>
  <c r="AP88" i="5"/>
  <c r="AO67" i="5" a="1"/>
  <c r="AO67" i="5" s="1"/>
  <c r="AJ25" i="4" a="1"/>
  <c r="AJ25" i="4" s="1"/>
  <c r="AJ22" i="4" a="1"/>
  <c r="AJ22" i="4" s="1"/>
  <c r="AJ30" i="4" a="1"/>
  <c r="AJ30" i="4" s="1"/>
  <c r="AJ21" i="4" a="1"/>
  <c r="AJ21" i="4" s="1"/>
  <c r="AJ29" i="4" a="1"/>
  <c r="AJ29" i="4" s="1"/>
  <c r="AJ27" i="4" a="1"/>
  <c r="AJ27" i="4" s="1"/>
  <c r="AJ24" i="4" a="1"/>
  <c r="AJ24" i="4" s="1"/>
  <c r="AJ28" i="4" a="1"/>
  <c r="AJ28" i="4" s="1"/>
  <c r="AJ23" i="4" a="1"/>
  <c r="AJ23" i="4" s="1"/>
  <c r="AP55" i="5" a="1"/>
  <c r="AP55" i="5" s="1"/>
  <c r="AP52" i="5" a="1"/>
  <c r="AP52" i="5" s="1"/>
  <c r="AP48" i="5" a="1"/>
  <c r="AP48" i="5" s="1"/>
  <c r="AP46" i="5" a="1"/>
  <c r="AP46" i="5" s="1"/>
  <c r="AP54" i="5" a="1"/>
  <c r="AP54" i="5" s="1"/>
  <c r="AP51" i="5" a="1"/>
  <c r="AP51" i="5" s="1"/>
  <c r="AP50" i="5" a="1"/>
  <c r="AP50" i="5" s="1"/>
  <c r="AP53" i="5" a="1"/>
  <c r="AP53" i="5" s="1"/>
  <c r="AP47" i="5" a="1"/>
  <c r="AP47" i="5" s="1"/>
  <c r="AP49" i="5" a="1"/>
  <c r="AP49" i="5" s="1"/>
  <c r="AO62" i="5"/>
  <c r="AO64" i="5"/>
  <c r="AH37" i="4" s="1" a="1"/>
  <c r="AH37" i="4" s="1"/>
  <c r="AH46" i="4" s="1" a="1"/>
  <c r="AH46" i="4" s="1"/>
  <c r="AO63" i="5"/>
  <c r="AH36" i="4" s="1" a="1"/>
  <c r="AH36" i="4" s="1"/>
  <c r="AP38" i="5"/>
  <c r="AP33" i="5"/>
  <c r="AP36" i="5"/>
  <c r="AP31" i="5"/>
  <c r="AP37" i="5"/>
  <c r="AP29" i="5"/>
  <c r="AP35" i="5"/>
  <c r="AP34" i="5"/>
  <c r="AP30" i="5"/>
  <c r="AP32" i="5"/>
  <c r="AQ4" i="5"/>
  <c r="AQ6" i="5"/>
  <c r="AP8" i="5" l="1" a="1"/>
  <c r="AP8" i="5" s="1"/>
  <c r="AK29" i="7"/>
  <c r="AK24" i="7"/>
  <c r="AK27" i="7"/>
  <c r="AK28" i="7"/>
  <c r="AK31" i="7"/>
  <c r="AK25" i="7"/>
  <c r="AK33" i="7"/>
  <c r="AK26" i="7"/>
  <c r="AK30" i="7"/>
  <c r="AK32" i="7"/>
  <c r="AK23" i="7"/>
  <c r="AP61" i="5"/>
  <c r="AQ60" i="5" a="1"/>
  <c r="AQ60" i="5" s="1"/>
  <c r="AQ57" i="5" a="1"/>
  <c r="AQ57" i="5" s="1"/>
  <c r="AQ43" i="5"/>
  <c r="AQ41" i="5"/>
  <c r="AQ59" i="5" a="1"/>
  <c r="AQ59" i="5" s="1"/>
  <c r="AQ58" i="5" a="1"/>
  <c r="AQ58" i="5" s="1"/>
  <c r="AQ39" i="5"/>
  <c r="AQ56" i="5" a="1"/>
  <c r="AQ56" i="5" s="1"/>
  <c r="AQ42" i="5"/>
  <c r="AQ40" i="5"/>
  <c r="AG12" i="4" a="1"/>
  <c r="AG12" i="4" s="1"/>
  <c r="AG14" i="4" s="1"/>
  <c r="AG16" i="4" s="1"/>
  <c r="AG17" i="4" s="1" a="1"/>
  <c r="AG17" i="4" s="1"/>
  <c r="AG18" i="4" s="1"/>
  <c r="AG33" i="4" s="1"/>
  <c r="AG40" i="4" s="1"/>
  <c r="AO97" i="5"/>
  <c r="AH11" i="4" s="1" a="1"/>
  <c r="AH11" i="4" s="1"/>
  <c r="AH43" i="4" s="1" a="1"/>
  <c r="AH43" i="4" s="1"/>
  <c r="AI44" i="4" a="1"/>
  <c r="AI44" i="4" s="1"/>
  <c r="AH45" i="4" a="1"/>
  <c r="AH45" i="4" s="1"/>
  <c r="AH38" i="4"/>
  <c r="AJ31" i="4"/>
  <c r="AM5" i="4"/>
  <c r="AL22" i="7" s="1"/>
  <c r="AL6" i="4"/>
  <c r="AK21" i="7" s="1"/>
  <c r="AL4" i="4"/>
  <c r="AL15" i="4" s="1"/>
  <c r="AL13" i="4"/>
  <c r="AP66" i="5"/>
  <c r="AQ95" i="5"/>
  <c r="AQ93" i="5"/>
  <c r="AQ91" i="5"/>
  <c r="AQ89" i="5"/>
  <c r="AQ96" i="5"/>
  <c r="AQ94" i="5"/>
  <c r="AQ92" i="5"/>
  <c r="AQ87" i="5"/>
  <c r="AQ85" i="5"/>
  <c r="AQ84" i="5"/>
  <c r="AQ82" i="5"/>
  <c r="AQ90" i="5"/>
  <c r="AQ88" i="5"/>
  <c r="AQ86" i="5"/>
  <c r="AQ83" i="5"/>
  <c r="AP67" i="5" a="1"/>
  <c r="AP67" i="5" s="1"/>
  <c r="AK23" i="4" a="1"/>
  <c r="AK23" i="4" s="1"/>
  <c r="AK27" i="4" a="1"/>
  <c r="AK27" i="4" s="1"/>
  <c r="AK25" i="4" a="1"/>
  <c r="AK25" i="4" s="1"/>
  <c r="AK29" i="4" a="1"/>
  <c r="AK29" i="4" s="1"/>
  <c r="AK26" i="4" a="1"/>
  <c r="AK26" i="4" s="1"/>
  <c r="AK28" i="4" a="1"/>
  <c r="AK28" i="4" s="1"/>
  <c r="AK21" i="4" a="1"/>
  <c r="AK21" i="4" s="1"/>
  <c r="AK24" i="4" a="1"/>
  <c r="AK24" i="4" s="1"/>
  <c r="AL30" i="4" a="1"/>
  <c r="AL30" i="4" s="1"/>
  <c r="AK22" i="4" a="1"/>
  <c r="AK22" i="4" s="1"/>
  <c r="AQ55" i="5" a="1"/>
  <c r="AQ55" i="5" s="1"/>
  <c r="AQ51" i="5" a="1"/>
  <c r="AQ51" i="5" s="1"/>
  <c r="AQ52" i="5" a="1"/>
  <c r="AQ52" i="5" s="1"/>
  <c r="AQ49" i="5" a="1"/>
  <c r="AQ49" i="5" s="1"/>
  <c r="AQ53" i="5" a="1"/>
  <c r="AQ53" i="5" s="1"/>
  <c r="AQ46" i="5" a="1"/>
  <c r="AQ46" i="5" s="1"/>
  <c r="AQ50" i="5" a="1"/>
  <c r="AQ50" i="5" s="1"/>
  <c r="AQ48" i="5" a="1"/>
  <c r="AQ48" i="5" s="1"/>
  <c r="AQ54" i="5" a="1"/>
  <c r="AQ54" i="5" s="1"/>
  <c r="AQ47" i="5" a="1"/>
  <c r="AQ47" i="5" s="1"/>
  <c r="AP64" i="5"/>
  <c r="AI37" i="4" s="1" a="1"/>
  <c r="AI37" i="4" s="1"/>
  <c r="AI46" i="4" s="1" a="1"/>
  <c r="AI46" i="4" s="1"/>
  <c r="AP62" i="5"/>
  <c r="AP63" i="5"/>
  <c r="AI36" i="4" s="1" a="1"/>
  <c r="AI36" i="4" s="1"/>
  <c r="AQ36" i="5"/>
  <c r="AQ37" i="5"/>
  <c r="AQ29" i="5"/>
  <c r="AQ33" i="5"/>
  <c r="AQ32" i="5"/>
  <c r="AQ35" i="5"/>
  <c r="AQ31" i="5"/>
  <c r="AQ30" i="5"/>
  <c r="AQ34" i="5"/>
  <c r="AQ38" i="5"/>
  <c r="AR4" i="5"/>
  <c r="AR6" i="5"/>
  <c r="AQ8" i="5" l="1" a="1"/>
  <c r="AQ8" i="5" s="1"/>
  <c r="AL26" i="7"/>
  <c r="AL29" i="7"/>
  <c r="AL24" i="7"/>
  <c r="AL25" i="7"/>
  <c r="AL31" i="7"/>
  <c r="AL28" i="7"/>
  <c r="AL33" i="7"/>
  <c r="AL27" i="7"/>
  <c r="AL30" i="7"/>
  <c r="AL32" i="7"/>
  <c r="AL23" i="7"/>
  <c r="AQ61" i="5"/>
  <c r="AR60" i="5" a="1"/>
  <c r="AR60" i="5" s="1"/>
  <c r="AR57" i="5" a="1"/>
  <c r="AR57" i="5" s="1"/>
  <c r="AR43" i="5"/>
  <c r="AR41" i="5"/>
  <c r="AR39" i="5"/>
  <c r="AR58" i="5" a="1"/>
  <c r="AR58" i="5" s="1"/>
  <c r="AR40" i="5"/>
  <c r="AR59" i="5" a="1"/>
  <c r="AR59" i="5" s="1"/>
  <c r="AR56" i="5" a="1"/>
  <c r="AR56" i="5" s="1"/>
  <c r="AR42" i="5"/>
  <c r="AP97" i="5"/>
  <c r="AI11" i="4" s="1" a="1"/>
  <c r="AI11" i="4" s="1"/>
  <c r="AI12" i="4" s="1" a="1"/>
  <c r="AI12" i="4" s="1"/>
  <c r="AI14" i="4" s="1"/>
  <c r="AI16" i="4" s="1"/>
  <c r="AH12" i="4" a="1"/>
  <c r="AH12" i="4" s="1"/>
  <c r="AH14" i="4" s="1"/>
  <c r="AH16" i="4" s="1"/>
  <c r="AH17" i="4" s="1" a="1"/>
  <c r="AH17" i="4" s="1"/>
  <c r="AH18" i="4" s="1"/>
  <c r="AH33" i="4" s="1"/>
  <c r="AH40" i="4" s="1"/>
  <c r="AI45" i="4" a="1"/>
  <c r="AI45" i="4" s="1"/>
  <c r="AI38" i="4"/>
  <c r="AJ44" i="4" a="1"/>
  <c r="AJ44" i="4" s="1"/>
  <c r="AK31" i="4"/>
  <c r="AM4" i="4"/>
  <c r="AM15" i="4" s="1"/>
  <c r="AN5" i="4"/>
  <c r="AM22" i="7" s="1"/>
  <c r="AM13" i="4"/>
  <c r="AM6" i="4"/>
  <c r="AL21" i="7" s="1"/>
  <c r="AQ66" i="5"/>
  <c r="AR95" i="5"/>
  <c r="AR93" i="5"/>
  <c r="AR91" i="5"/>
  <c r="AR87" i="5"/>
  <c r="AR85" i="5"/>
  <c r="AR96" i="5"/>
  <c r="AR94" i="5"/>
  <c r="AR92" i="5"/>
  <c r="AR89" i="5"/>
  <c r="AR84" i="5"/>
  <c r="AR82" i="5"/>
  <c r="AR90" i="5"/>
  <c r="AR86" i="5"/>
  <c r="AR83" i="5"/>
  <c r="AR88" i="5"/>
  <c r="AQ67" i="5" a="1"/>
  <c r="AQ67" i="5" s="1"/>
  <c r="AQ97" i="5" s="1"/>
  <c r="AJ11" i="4" s="1" a="1"/>
  <c r="AJ11" i="4" s="1"/>
  <c r="AL21" i="4" a="1"/>
  <c r="AL21" i="4" s="1"/>
  <c r="AL29" i="4" a="1"/>
  <c r="AL29" i="4" s="1"/>
  <c r="AL26" i="4" a="1"/>
  <c r="AL26" i="4" s="1"/>
  <c r="AL25" i="4" a="1"/>
  <c r="AL25" i="4" s="1"/>
  <c r="AL24" i="4" a="1"/>
  <c r="AL24" i="4" s="1"/>
  <c r="AL28" i="4" a="1"/>
  <c r="AL28" i="4" s="1"/>
  <c r="AL23" i="4" a="1"/>
  <c r="AL23" i="4" s="1"/>
  <c r="AL27" i="4" a="1"/>
  <c r="AL27" i="4" s="1"/>
  <c r="AL22" i="4" a="1"/>
  <c r="AL22" i="4" s="1"/>
  <c r="AM30" i="4" a="1"/>
  <c r="AM30" i="4" s="1"/>
  <c r="AR55" i="5" a="1"/>
  <c r="AR55" i="5" s="1"/>
  <c r="AR54" i="5" a="1"/>
  <c r="AR54" i="5" s="1"/>
  <c r="AR52" i="5" a="1"/>
  <c r="AR52" i="5" s="1"/>
  <c r="AR51" i="5" a="1"/>
  <c r="AR51" i="5" s="1"/>
  <c r="AR49" i="5" a="1"/>
  <c r="AR49" i="5" s="1"/>
  <c r="AR50" i="5" a="1"/>
  <c r="AR50" i="5" s="1"/>
  <c r="AR47" i="5" a="1"/>
  <c r="AR47" i="5" s="1"/>
  <c r="AR53" i="5" a="1"/>
  <c r="AR53" i="5" s="1"/>
  <c r="AR48" i="5" a="1"/>
  <c r="AR48" i="5" s="1"/>
  <c r="AR46" i="5" a="1"/>
  <c r="AR46" i="5" s="1"/>
  <c r="AQ63" i="5"/>
  <c r="AJ36" i="4" s="1" a="1"/>
  <c r="AJ36" i="4" s="1"/>
  <c r="AQ62" i="5"/>
  <c r="AQ64" i="5"/>
  <c r="AJ37" i="4" s="1" a="1"/>
  <c r="AJ37" i="4" s="1"/>
  <c r="AJ46" i="4" s="1" a="1"/>
  <c r="AJ46" i="4" s="1"/>
  <c r="AR36" i="5"/>
  <c r="AR29" i="5"/>
  <c r="AR33" i="5"/>
  <c r="AR32" i="5"/>
  <c r="AR38" i="5"/>
  <c r="AR31" i="5"/>
  <c r="AR37" i="5"/>
  <c r="AR30" i="5"/>
  <c r="AR35" i="5"/>
  <c r="AR34" i="5"/>
  <c r="AS4" i="5"/>
  <c r="AS6" i="5"/>
  <c r="AR8" i="5" l="1" a="1"/>
  <c r="AR8" i="5" s="1"/>
  <c r="AM31" i="7"/>
  <c r="AM26" i="7"/>
  <c r="AM29" i="7"/>
  <c r="AM33" i="7"/>
  <c r="AM25" i="7"/>
  <c r="AM23" i="7"/>
  <c r="AM27" i="7"/>
  <c r="AM28" i="7"/>
  <c r="AM30" i="7"/>
  <c r="AM32" i="7"/>
  <c r="AM24" i="7"/>
  <c r="AR61" i="5"/>
  <c r="AS43" i="5"/>
  <c r="AS41" i="5"/>
  <c r="AS56" i="5" a="1"/>
  <c r="AS56" i="5" s="1"/>
  <c r="AS60" i="5" a="1"/>
  <c r="AS60" i="5" s="1"/>
  <c r="AS57" i="5" a="1"/>
  <c r="AS57" i="5" s="1"/>
  <c r="AS59" i="5" a="1"/>
  <c r="AS59" i="5" s="1"/>
  <c r="AS58" i="5" a="1"/>
  <c r="AS58" i="5" s="1"/>
  <c r="AS40" i="5"/>
  <c r="AS39" i="5"/>
  <c r="AS42" i="5"/>
  <c r="AI43" i="4" a="1"/>
  <c r="AI43" i="4" s="1"/>
  <c r="AJ12" i="4" a="1"/>
  <c r="AJ12" i="4" s="1"/>
  <c r="AJ14" i="4" s="1"/>
  <c r="AJ16" i="4" s="1"/>
  <c r="AJ43" i="4" a="1"/>
  <c r="AJ43" i="4" s="1"/>
  <c r="AJ38" i="4"/>
  <c r="AJ45" i="4" a="1"/>
  <c r="AJ45" i="4" s="1"/>
  <c r="AK44" i="4" a="1"/>
  <c r="AK44" i="4" s="1"/>
  <c r="AI17" i="4" a="1"/>
  <c r="AI17" i="4" s="1"/>
  <c r="AI18" i="4" s="1"/>
  <c r="AI33" i="4" s="1"/>
  <c r="AI40" i="4" s="1"/>
  <c r="AL31" i="4"/>
  <c r="AN6" i="4"/>
  <c r="AM21" i="7" s="1"/>
  <c r="AN4" i="4"/>
  <c r="AN15" i="4" s="1"/>
  <c r="AN13" i="4"/>
  <c r="AO5" i="4"/>
  <c r="AN22" i="7" s="1"/>
  <c r="AR66" i="5"/>
  <c r="AS95" i="5"/>
  <c r="AS93" i="5"/>
  <c r="AS91" i="5"/>
  <c r="AS96" i="5"/>
  <c r="AS94" i="5"/>
  <c r="AS92" i="5"/>
  <c r="AS89" i="5"/>
  <c r="AS84" i="5"/>
  <c r="AS82" i="5"/>
  <c r="AS90" i="5"/>
  <c r="AS87" i="5"/>
  <c r="AS88" i="5"/>
  <c r="AS86" i="5"/>
  <c r="AS85" i="5"/>
  <c r="AS83" i="5"/>
  <c r="AR67" i="5" a="1"/>
  <c r="AR67" i="5" s="1"/>
  <c r="AM28" i="4" a="1"/>
  <c r="AM28" i="4" s="1"/>
  <c r="AM22" i="4" a="1"/>
  <c r="AM22" i="4" s="1"/>
  <c r="AM29" i="4" a="1"/>
  <c r="AM29" i="4" s="1"/>
  <c r="AM24" i="4" a="1"/>
  <c r="AM24" i="4" s="1"/>
  <c r="AM27" i="4" a="1"/>
  <c r="AM27" i="4" s="1"/>
  <c r="AM21" i="4" a="1"/>
  <c r="AM21" i="4" s="1"/>
  <c r="AM23" i="4" a="1"/>
  <c r="AM23" i="4" s="1"/>
  <c r="AM26" i="4" a="1"/>
  <c r="AM26" i="4" s="1"/>
  <c r="AM25" i="4" a="1"/>
  <c r="AM25" i="4" s="1"/>
  <c r="AN28" i="4" a="1"/>
  <c r="AN28" i="4" s="1"/>
  <c r="AS54" i="5" a="1"/>
  <c r="AS54" i="5" s="1"/>
  <c r="AS53" i="5" a="1"/>
  <c r="AS53" i="5" s="1"/>
  <c r="AS48" i="5" a="1"/>
  <c r="AS48" i="5" s="1"/>
  <c r="AS50" i="5" a="1"/>
  <c r="AS50" i="5" s="1"/>
  <c r="AS55" i="5" a="1"/>
  <c r="AS55" i="5" s="1"/>
  <c r="AS46" i="5" a="1"/>
  <c r="AS46" i="5" s="1"/>
  <c r="AS47" i="5" a="1"/>
  <c r="AS47" i="5" s="1"/>
  <c r="AS51" i="5" a="1"/>
  <c r="AS51" i="5" s="1"/>
  <c r="AS49" i="5" a="1"/>
  <c r="AS49" i="5" s="1"/>
  <c r="AS52" i="5" a="1"/>
  <c r="AS52" i="5" s="1"/>
  <c r="AR62" i="5"/>
  <c r="AR63" i="5"/>
  <c r="AK36" i="4" s="1" a="1"/>
  <c r="AK36" i="4" s="1"/>
  <c r="AR64" i="5"/>
  <c r="AK37" i="4" s="1" a="1"/>
  <c r="AK37" i="4" s="1"/>
  <c r="AK46" i="4" s="1" a="1"/>
  <c r="AK46" i="4" s="1"/>
  <c r="AS34" i="5"/>
  <c r="AS37" i="5"/>
  <c r="AS33" i="5"/>
  <c r="AS32" i="5"/>
  <c r="AS38" i="5"/>
  <c r="AS30" i="5"/>
  <c r="AS36" i="5"/>
  <c r="AS29" i="5"/>
  <c r="AS35" i="5"/>
  <c r="AS31" i="5"/>
  <c r="AT4" i="5"/>
  <c r="AT6" i="5"/>
  <c r="AS8" i="5" l="1" a="1"/>
  <c r="AS8" i="5" s="1"/>
  <c r="AN28" i="7"/>
  <c r="AN31" i="7"/>
  <c r="AN26" i="7"/>
  <c r="AN27" i="7"/>
  <c r="AN29" i="7"/>
  <c r="AN33" i="7"/>
  <c r="AN30" i="7"/>
  <c r="AN32" i="7"/>
  <c r="AN23" i="7"/>
  <c r="AN24" i="7"/>
  <c r="AN25" i="7"/>
  <c r="AS61" i="5"/>
  <c r="AT56" i="5" a="1"/>
  <c r="AT56" i="5" s="1"/>
  <c r="AT43" i="5"/>
  <c r="AT57" i="5" a="1"/>
  <c r="AT57" i="5" s="1"/>
  <c r="AT42" i="5"/>
  <c r="AT40" i="5"/>
  <c r="AT60" i="5" a="1"/>
  <c r="AT60" i="5" s="1"/>
  <c r="AT59" i="5" a="1"/>
  <c r="AT59" i="5" s="1"/>
  <c r="AT41" i="5"/>
  <c r="AT58" i="5" a="1"/>
  <c r="AT58" i="5" s="1"/>
  <c r="AT39" i="5"/>
  <c r="AR97" i="5"/>
  <c r="AK11" i="4" s="1" a="1"/>
  <c r="AK11" i="4" s="1"/>
  <c r="AK43" i="4" s="1" a="1"/>
  <c r="AK43" i="4" s="1"/>
  <c r="AK38" i="4"/>
  <c r="AK45" i="4" a="1"/>
  <c r="AK45" i="4" s="1"/>
  <c r="AL44" i="4" a="1"/>
  <c r="AL44" i="4" s="1"/>
  <c r="AM31" i="4"/>
  <c r="AJ17" i="4" a="1"/>
  <c r="AJ17" i="4" s="1"/>
  <c r="AJ18" i="4" s="1"/>
  <c r="AJ33" i="4" s="1"/>
  <c r="AJ40" i="4" s="1"/>
  <c r="AO13" i="4"/>
  <c r="AO6" i="4"/>
  <c r="AN21" i="7" s="1"/>
  <c r="AO4" i="4"/>
  <c r="AO15" i="4" s="1"/>
  <c r="AP5" i="4"/>
  <c r="AO22" i="7" s="1"/>
  <c r="AS66" i="5"/>
  <c r="AT90" i="5"/>
  <c r="AT88" i="5"/>
  <c r="AT86" i="5"/>
  <c r="AT91" i="5"/>
  <c r="AT92" i="5"/>
  <c r="AT89" i="5"/>
  <c r="AT87" i="5"/>
  <c r="AT93" i="5"/>
  <c r="AT83" i="5"/>
  <c r="AT94" i="5"/>
  <c r="AT85" i="5"/>
  <c r="AT96" i="5"/>
  <c r="AT95" i="5"/>
  <c r="AT82" i="5"/>
  <c r="AT84" i="5"/>
  <c r="AS67" i="5" a="1"/>
  <c r="AS67" i="5" s="1"/>
  <c r="AN22" i="4" a="1"/>
  <c r="AN22" i="4" s="1"/>
  <c r="AN21" i="4" a="1"/>
  <c r="AN21" i="4" s="1"/>
  <c r="AN30" i="4" a="1"/>
  <c r="AN30" i="4" s="1"/>
  <c r="AN26" i="4" a="1"/>
  <c r="AN26" i="4" s="1"/>
  <c r="AN27" i="4" a="1"/>
  <c r="AN27" i="4" s="1"/>
  <c r="AN29" i="4" a="1"/>
  <c r="AN29" i="4" s="1"/>
  <c r="AN24" i="4" a="1"/>
  <c r="AN24" i="4" s="1"/>
  <c r="AN23" i="4" a="1"/>
  <c r="AN23" i="4" s="1"/>
  <c r="AN25" i="4" a="1"/>
  <c r="AN25" i="4" s="1"/>
  <c r="AO29" i="4" a="1"/>
  <c r="AO29" i="4" s="1"/>
  <c r="AT55" i="5" a="1"/>
  <c r="AT55" i="5" s="1"/>
  <c r="AT53" i="5" a="1"/>
  <c r="AT53" i="5" s="1"/>
  <c r="AT52" i="5" a="1"/>
  <c r="AT52" i="5" s="1"/>
  <c r="AT54" i="5" a="1"/>
  <c r="AT54" i="5" s="1"/>
  <c r="AT47" i="5" a="1"/>
  <c r="AT47" i="5" s="1"/>
  <c r="AT51" i="5" a="1"/>
  <c r="AT51" i="5" s="1"/>
  <c r="AT49" i="5" a="1"/>
  <c r="AT49" i="5" s="1"/>
  <c r="AT46" i="5" a="1"/>
  <c r="AT46" i="5" s="1"/>
  <c r="AT48" i="5" a="1"/>
  <c r="AT48" i="5" s="1"/>
  <c r="AT50" i="5" a="1"/>
  <c r="AT50" i="5" s="1"/>
  <c r="AS63" i="5"/>
  <c r="AL36" i="4" s="1" a="1"/>
  <c r="AL36" i="4" s="1"/>
  <c r="AS62" i="5"/>
  <c r="AS64" i="5"/>
  <c r="AL37" i="4" s="1" a="1"/>
  <c r="AL37" i="4" s="1"/>
  <c r="AL46" i="4" s="1" a="1"/>
  <c r="AL46" i="4" s="1"/>
  <c r="AT37" i="5"/>
  <c r="AT38" i="5"/>
  <c r="AT30" i="5"/>
  <c r="AT34" i="5"/>
  <c r="AT33" i="5"/>
  <c r="AT32" i="5"/>
  <c r="AT31" i="5"/>
  <c r="AT29" i="5"/>
  <c r="AT36" i="5"/>
  <c r="AT35" i="5"/>
  <c r="AU4" i="5"/>
  <c r="AU6" i="5"/>
  <c r="AT8" i="5" l="1" a="1"/>
  <c r="AT8" i="5" s="1"/>
  <c r="AO25" i="7"/>
  <c r="AO28" i="7"/>
  <c r="AO24" i="7"/>
  <c r="AO26" i="7"/>
  <c r="AO29" i="7"/>
  <c r="AO31" i="7"/>
  <c r="AO33" i="7"/>
  <c r="AO27" i="7"/>
  <c r="AO30" i="7"/>
  <c r="AO32" i="7"/>
  <c r="AO23" i="7"/>
  <c r="AT61" i="5"/>
  <c r="AU59" i="5" a="1"/>
  <c r="AU59" i="5" s="1"/>
  <c r="AU42" i="5"/>
  <c r="AU56" i="5" a="1"/>
  <c r="AU56" i="5" s="1"/>
  <c r="AU57" i="5" a="1"/>
  <c r="AU57" i="5" s="1"/>
  <c r="AU40" i="5"/>
  <c r="AU58" i="5" a="1"/>
  <c r="AU58" i="5" s="1"/>
  <c r="AU43" i="5"/>
  <c r="AU39" i="5"/>
  <c r="AU41" i="5"/>
  <c r="AU60" i="5" a="1"/>
  <c r="AU60" i="5" s="1"/>
  <c r="AK12" i="4" a="1"/>
  <c r="AK12" i="4" s="1"/>
  <c r="AK14" i="4" s="1"/>
  <c r="AK16" i="4" s="1"/>
  <c r="AK17" i="4" s="1" a="1"/>
  <c r="AK17" i="4" s="1"/>
  <c r="AK18" i="4" s="1"/>
  <c r="AK33" i="4" s="1"/>
  <c r="AK40" i="4" s="1"/>
  <c r="AS97" i="5"/>
  <c r="AL11" i="4" s="1" a="1"/>
  <c r="AL11" i="4" s="1"/>
  <c r="AL12" i="4" s="1" a="1"/>
  <c r="AL12" i="4" s="1"/>
  <c r="AL14" i="4" s="1"/>
  <c r="AL16" i="4" s="1"/>
  <c r="AM44" i="4" a="1"/>
  <c r="AM44" i="4" s="1"/>
  <c r="AL38" i="4"/>
  <c r="AL45" i="4" a="1"/>
  <c r="AL45" i="4" s="1"/>
  <c r="AN31" i="4"/>
  <c r="AQ5" i="4"/>
  <c r="AP22" i="7" s="1"/>
  <c r="AP13" i="4"/>
  <c r="AP6" i="4"/>
  <c r="AO21" i="7" s="1"/>
  <c r="AP4" i="4"/>
  <c r="AP15" i="4" s="1"/>
  <c r="AT66" i="5"/>
  <c r="AU96" i="5"/>
  <c r="AU94" i="5"/>
  <c r="AU92" i="5"/>
  <c r="AU90" i="5"/>
  <c r="AU88" i="5"/>
  <c r="AU95" i="5"/>
  <c r="AU93" i="5"/>
  <c r="AU91" i="5"/>
  <c r="AU86" i="5"/>
  <c r="AU89" i="5"/>
  <c r="AU87" i="5"/>
  <c r="AU85" i="5"/>
  <c r="AU83" i="5"/>
  <c r="AU84" i="5"/>
  <c r="AU82" i="5"/>
  <c r="AT67" i="5" a="1"/>
  <c r="AT67" i="5" s="1"/>
  <c r="AT97" i="5" s="1"/>
  <c r="AM11" i="4" s="1" a="1"/>
  <c r="AM11" i="4" s="1"/>
  <c r="AO23" i="4" a="1"/>
  <c r="AO23" i="4" s="1"/>
  <c r="AO24" i="4" a="1"/>
  <c r="AO24" i="4" s="1"/>
  <c r="AO26" i="4" a="1"/>
  <c r="AO26" i="4" s="1"/>
  <c r="AO25" i="4" a="1"/>
  <c r="AO25" i="4" s="1"/>
  <c r="AO28" i="4" a="1"/>
  <c r="AO28" i="4" s="1"/>
  <c r="AO27" i="4" a="1"/>
  <c r="AO27" i="4" s="1"/>
  <c r="AO22" i="4" a="1"/>
  <c r="AO22" i="4" s="1"/>
  <c r="AO30" i="4" a="1"/>
  <c r="AO30" i="4" s="1"/>
  <c r="AO21" i="4" a="1"/>
  <c r="AO21" i="4" s="1"/>
  <c r="AP28" i="4" a="1"/>
  <c r="AP28" i="4" s="1"/>
  <c r="AU55" i="5" a="1"/>
  <c r="AU55" i="5" s="1"/>
  <c r="AU53" i="5" a="1"/>
  <c r="AU53" i="5" s="1"/>
  <c r="AU54" i="5" a="1"/>
  <c r="AU54" i="5" s="1"/>
  <c r="AU51" i="5" a="1"/>
  <c r="AU51" i="5" s="1"/>
  <c r="AU49" i="5" a="1"/>
  <c r="AU49" i="5" s="1"/>
  <c r="AU50" i="5" a="1"/>
  <c r="AU50" i="5" s="1"/>
  <c r="AU47" i="5" a="1"/>
  <c r="AU47" i="5" s="1"/>
  <c r="AU46" i="5" a="1"/>
  <c r="AU46" i="5" s="1"/>
  <c r="AU48" i="5" a="1"/>
  <c r="AU48" i="5" s="1"/>
  <c r="AU52" i="5" a="1"/>
  <c r="AU52" i="5" s="1"/>
  <c r="AT63" i="5"/>
  <c r="AM36" i="4" s="1" a="1"/>
  <c r="AM36" i="4" s="1"/>
  <c r="AT62" i="5"/>
  <c r="AT64" i="5"/>
  <c r="AM37" i="4" s="1" a="1"/>
  <c r="AM37" i="4" s="1"/>
  <c r="AM46" i="4" s="1" a="1"/>
  <c r="AM46" i="4" s="1"/>
  <c r="AU37" i="5"/>
  <c r="AU35" i="5"/>
  <c r="AU30" i="5"/>
  <c r="AU34" i="5"/>
  <c r="AU33" i="5"/>
  <c r="AU32" i="5"/>
  <c r="AU38" i="5"/>
  <c r="AU31" i="5"/>
  <c r="AU36" i="5"/>
  <c r="AU29" i="5"/>
  <c r="AV4" i="5"/>
  <c r="AV6" i="5"/>
  <c r="AU8" i="5" l="1" a="1"/>
  <c r="AU8" i="5" s="1"/>
  <c r="AP30" i="7"/>
  <c r="AP25" i="7"/>
  <c r="AP28" i="7"/>
  <c r="AP29" i="7"/>
  <c r="AP32" i="7"/>
  <c r="AP23" i="7"/>
  <c r="AP26" i="7"/>
  <c r="AP24" i="7"/>
  <c r="AP31" i="7"/>
  <c r="AP33" i="7"/>
  <c r="AP27" i="7"/>
  <c r="AU61" i="5"/>
  <c r="AV59" i="5" a="1"/>
  <c r="AV59" i="5" s="1"/>
  <c r="AV58" i="5" a="1"/>
  <c r="AV58" i="5" s="1"/>
  <c r="AV42" i="5"/>
  <c r="AV60" i="5" a="1"/>
  <c r="AV60" i="5" s="1"/>
  <c r="AV57" i="5" a="1"/>
  <c r="AV57" i="5" s="1"/>
  <c r="AV56" i="5" a="1"/>
  <c r="AV56" i="5" s="1"/>
  <c r="AV40" i="5"/>
  <c r="AV43" i="5"/>
  <c r="AV41" i="5"/>
  <c r="AV39" i="5"/>
  <c r="AL43" i="4" a="1"/>
  <c r="AL43" i="4" s="1"/>
  <c r="AM43" i="4" a="1"/>
  <c r="AM43" i="4" s="1"/>
  <c r="AN44" i="4" a="1"/>
  <c r="AN44" i="4" s="1"/>
  <c r="AM12" i="4" a="1"/>
  <c r="AM12" i="4" s="1"/>
  <c r="AM14" i="4" s="1"/>
  <c r="AM16" i="4" s="1"/>
  <c r="AM38" i="4"/>
  <c r="AM45" i="4" a="1"/>
  <c r="AM45" i="4" s="1"/>
  <c r="AO31" i="4"/>
  <c r="AL17" i="4" a="1"/>
  <c r="AL17" i="4" s="1"/>
  <c r="AL18" i="4" s="1"/>
  <c r="AL33" i="4" s="1"/>
  <c r="AL40" i="4" s="1"/>
  <c r="AQ4" i="4"/>
  <c r="AQ15" i="4" s="1"/>
  <c r="AR5" i="4"/>
  <c r="AQ22" i="7" s="1"/>
  <c r="AQ6" i="4"/>
  <c r="AP21" i="7" s="1"/>
  <c r="AQ13" i="4"/>
  <c r="AU66" i="5"/>
  <c r="AV96" i="5"/>
  <c r="AV94" i="5"/>
  <c r="AV92" i="5"/>
  <c r="AV90" i="5"/>
  <c r="AV86" i="5"/>
  <c r="AV84" i="5"/>
  <c r="AV88" i="5"/>
  <c r="AV95" i="5"/>
  <c r="AV93" i="5"/>
  <c r="AV91" i="5"/>
  <c r="AV87" i="5"/>
  <c r="AV89" i="5"/>
  <c r="AV83" i="5"/>
  <c r="AV85" i="5"/>
  <c r="AV82" i="5"/>
  <c r="AU67" i="5" a="1"/>
  <c r="AU67" i="5" s="1"/>
  <c r="AP27" i="4" a="1"/>
  <c r="AP27" i="4" s="1"/>
  <c r="AP22" i="4" a="1"/>
  <c r="AP22" i="4" s="1"/>
  <c r="AP30" i="4" a="1"/>
  <c r="AP30" i="4" s="1"/>
  <c r="AP23" i="4" a="1"/>
  <c r="AP23" i="4" s="1"/>
  <c r="AP24" i="4" a="1"/>
  <c r="AP24" i="4" s="1"/>
  <c r="AP26" i="4" a="1"/>
  <c r="AP26" i="4" s="1"/>
  <c r="AP25" i="4" a="1"/>
  <c r="AP25" i="4" s="1"/>
  <c r="AP21" i="4" a="1"/>
  <c r="AP21" i="4" s="1"/>
  <c r="AP29" i="4" a="1"/>
  <c r="AP29" i="4" s="1"/>
  <c r="AQ25" i="4" a="1"/>
  <c r="AQ25" i="4" s="1"/>
  <c r="AV55" i="5" a="1"/>
  <c r="AV55" i="5" s="1"/>
  <c r="AV54" i="5" a="1"/>
  <c r="AV54" i="5" s="1"/>
  <c r="AV49" i="5" a="1"/>
  <c r="AV49" i="5" s="1"/>
  <c r="AV51" i="5" a="1"/>
  <c r="AV51" i="5" s="1"/>
  <c r="AV52" i="5" a="1"/>
  <c r="AV52" i="5" s="1"/>
  <c r="AV50" i="5" a="1"/>
  <c r="AV50" i="5" s="1"/>
  <c r="AV48" i="5" a="1"/>
  <c r="AV48" i="5" s="1"/>
  <c r="AV53" i="5" a="1"/>
  <c r="AV53" i="5" s="1"/>
  <c r="AV47" i="5" a="1"/>
  <c r="AV47" i="5" s="1"/>
  <c r="AV46" i="5" a="1"/>
  <c r="AV46" i="5" s="1"/>
  <c r="AU64" i="5"/>
  <c r="AN37" i="4" s="1" a="1"/>
  <c r="AN37" i="4" s="1"/>
  <c r="AN46" i="4" s="1" a="1"/>
  <c r="AN46" i="4" s="1"/>
  <c r="AU62" i="5"/>
  <c r="AU63" i="5"/>
  <c r="AN36" i="4" s="1" a="1"/>
  <c r="AN36" i="4" s="1"/>
  <c r="AV35" i="5"/>
  <c r="AV38" i="5"/>
  <c r="AV34" i="5"/>
  <c r="AV31" i="5"/>
  <c r="AV37" i="5"/>
  <c r="AV30" i="5"/>
  <c r="AV36" i="5"/>
  <c r="AV29" i="5"/>
  <c r="AV32" i="5"/>
  <c r="AV33" i="5"/>
  <c r="AW4" i="5"/>
  <c r="AW6" i="5"/>
  <c r="AV8" i="5" l="1" a="1"/>
  <c r="AV8" i="5" s="1"/>
  <c r="AQ27" i="7"/>
  <c r="AQ30" i="7"/>
  <c r="AQ25" i="7"/>
  <c r="AQ26" i="7"/>
  <c r="AQ32" i="7"/>
  <c r="AQ23" i="7"/>
  <c r="AQ29" i="7"/>
  <c r="AQ24" i="7"/>
  <c r="AQ28" i="7"/>
  <c r="AQ31" i="7"/>
  <c r="AQ33" i="7"/>
  <c r="AV61" i="5"/>
  <c r="AW58" i="5" a="1"/>
  <c r="AW58" i="5" s="1"/>
  <c r="AW42" i="5"/>
  <c r="AW60" i="5" a="1"/>
  <c r="AW60" i="5" s="1"/>
  <c r="AW57" i="5" a="1"/>
  <c r="AW57" i="5" s="1"/>
  <c r="AW59" i="5" a="1"/>
  <c r="AW59" i="5" s="1"/>
  <c r="AW43" i="5"/>
  <c r="AW41" i="5"/>
  <c r="AW39" i="5"/>
  <c r="AW56" i="5" a="1"/>
  <c r="AW56" i="5" s="1"/>
  <c r="AW40" i="5"/>
  <c r="AU97" i="5"/>
  <c r="AN11" i="4" s="1" a="1"/>
  <c r="AN11" i="4" s="1"/>
  <c r="AN12" i="4" s="1" a="1"/>
  <c r="AN12" i="4" s="1"/>
  <c r="AN14" i="4" s="1"/>
  <c r="AN16" i="4" s="1"/>
  <c r="AO44" i="4" a="1"/>
  <c r="AO44" i="4" s="1"/>
  <c r="AN38" i="4"/>
  <c r="AN45" i="4" a="1"/>
  <c r="AN45" i="4" s="1"/>
  <c r="AM17" i="4" a="1"/>
  <c r="AM17" i="4" s="1"/>
  <c r="AM18" i="4" s="1"/>
  <c r="AM33" i="4" s="1"/>
  <c r="AM40" i="4" s="1"/>
  <c r="AP31" i="4"/>
  <c r="AR6" i="4"/>
  <c r="AQ21" i="7" s="1"/>
  <c r="AR4" i="4"/>
  <c r="AR15" i="4" s="1"/>
  <c r="AS5" i="4"/>
  <c r="AR22" i="7" s="1"/>
  <c r="AR13" i="4"/>
  <c r="AV66" i="5"/>
  <c r="AW96" i="5"/>
  <c r="AW94" i="5"/>
  <c r="AW92" i="5"/>
  <c r="AW90" i="5"/>
  <c r="AW88" i="5"/>
  <c r="AW91" i="5"/>
  <c r="AW89" i="5"/>
  <c r="AW83" i="5"/>
  <c r="AW86" i="5"/>
  <c r="AW85" i="5"/>
  <c r="AW93" i="5"/>
  <c r="AW95" i="5"/>
  <c r="AW82" i="5"/>
  <c r="AW87" i="5"/>
  <c r="AW84" i="5"/>
  <c r="AV67" i="5" a="1"/>
  <c r="AV67" i="5" s="1"/>
  <c r="AQ28" i="4" a="1"/>
  <c r="AQ28" i="4" s="1"/>
  <c r="AQ27" i="4" a="1"/>
  <c r="AQ27" i="4" s="1"/>
  <c r="AQ22" i="4" a="1"/>
  <c r="AQ22" i="4" s="1"/>
  <c r="AQ30" i="4" a="1"/>
  <c r="AQ30" i="4" s="1"/>
  <c r="AQ21" i="4" a="1"/>
  <c r="AQ21" i="4" s="1"/>
  <c r="AQ29" i="4" a="1"/>
  <c r="AQ29" i="4" s="1"/>
  <c r="AQ24" i="4" a="1"/>
  <c r="AQ24" i="4" s="1"/>
  <c r="AQ26" i="4" a="1"/>
  <c r="AQ26" i="4" s="1"/>
  <c r="AQ23" i="4" a="1"/>
  <c r="AQ23" i="4" s="1"/>
  <c r="AR23" i="4" a="1"/>
  <c r="AR23" i="4" s="1"/>
  <c r="AW55" i="5" a="1"/>
  <c r="AW55" i="5" s="1"/>
  <c r="AW54" i="5" a="1"/>
  <c r="AW54" i="5" s="1"/>
  <c r="AW53" i="5" a="1"/>
  <c r="AW53" i="5" s="1"/>
  <c r="AW52" i="5" a="1"/>
  <c r="AW52" i="5" s="1"/>
  <c r="AW48" i="5" a="1"/>
  <c r="AW48" i="5" s="1"/>
  <c r="AW50" i="5" a="1"/>
  <c r="AW50" i="5" s="1"/>
  <c r="AW47" i="5" a="1"/>
  <c r="AW47" i="5" s="1"/>
  <c r="AW46" i="5" a="1"/>
  <c r="AW46" i="5" s="1"/>
  <c r="AW49" i="5" a="1"/>
  <c r="AW49" i="5" s="1"/>
  <c r="AW51" i="5" a="1"/>
  <c r="AW51" i="5" s="1"/>
  <c r="AV63" i="5"/>
  <c r="AO36" i="4" s="1" a="1"/>
  <c r="AO36" i="4" s="1"/>
  <c r="AV64" i="5"/>
  <c r="AO37" i="4" s="1" a="1"/>
  <c r="AO37" i="4" s="1"/>
  <c r="AO46" i="4" s="1" a="1"/>
  <c r="AO46" i="4" s="1"/>
  <c r="AV62" i="5"/>
  <c r="AW38" i="5"/>
  <c r="AW31" i="5"/>
  <c r="AW36" i="5"/>
  <c r="AW35" i="5"/>
  <c r="AW30" i="5"/>
  <c r="AW34" i="5"/>
  <c r="AW29" i="5"/>
  <c r="AW32" i="5"/>
  <c r="AW37" i="5"/>
  <c r="AW33" i="5"/>
  <c r="AX4" i="5"/>
  <c r="AX6" i="5"/>
  <c r="AW8" i="5" l="1" a="1"/>
  <c r="AW8" i="5" s="1"/>
  <c r="AR24" i="7"/>
  <c r="AR27" i="7"/>
  <c r="AR30" i="7"/>
  <c r="AR26" i="7"/>
  <c r="AR32" i="7"/>
  <c r="AR23" i="7"/>
  <c r="AR31" i="7"/>
  <c r="AR29" i="7"/>
  <c r="AR28" i="7"/>
  <c r="AR33" i="7"/>
  <c r="AR25" i="7"/>
  <c r="AW61" i="5"/>
  <c r="AX60" i="5" a="1"/>
  <c r="AX60" i="5" s="1"/>
  <c r="AX57" i="5" a="1"/>
  <c r="AX57" i="5" s="1"/>
  <c r="AX56" i="5" a="1"/>
  <c r="AX56" i="5" s="1"/>
  <c r="AX58" i="5" a="1"/>
  <c r="AX58" i="5" s="1"/>
  <c r="AX42" i="5"/>
  <c r="AX41" i="5"/>
  <c r="AX39" i="5"/>
  <c r="AX59" i="5" a="1"/>
  <c r="AX59" i="5" s="1"/>
  <c r="AX43" i="5"/>
  <c r="AX40" i="5"/>
  <c r="AN43" i="4" a="1"/>
  <c r="AN43" i="4" s="1"/>
  <c r="AV97" i="5"/>
  <c r="AO11" i="4" s="1" a="1"/>
  <c r="AO11" i="4" s="1"/>
  <c r="AO43" i="4" s="1" a="1"/>
  <c r="AO43" i="4" s="1"/>
  <c r="AP44" i="4" a="1"/>
  <c r="AP44" i="4" s="1"/>
  <c r="AO38" i="4"/>
  <c r="AO45" i="4" a="1"/>
  <c r="AO45" i="4" s="1"/>
  <c r="AQ31" i="4"/>
  <c r="AN17" i="4" a="1"/>
  <c r="AN17" i="4" s="1"/>
  <c r="AN18" i="4" s="1"/>
  <c r="AN33" i="4" s="1"/>
  <c r="AN40" i="4" s="1"/>
  <c r="AS13" i="4"/>
  <c r="AS4" i="4"/>
  <c r="AS15" i="4" s="1"/>
  <c r="AS6" i="4"/>
  <c r="AR21" i="7" s="1"/>
  <c r="AT5" i="4"/>
  <c r="AS22" i="7" s="1"/>
  <c r="AW66" i="5"/>
  <c r="AX90" i="5"/>
  <c r="AX87" i="5"/>
  <c r="AX85" i="5"/>
  <c r="AX96" i="5"/>
  <c r="AX94" i="5"/>
  <c r="AX92" i="5"/>
  <c r="AX93" i="5"/>
  <c r="AX88" i="5"/>
  <c r="AX86" i="5"/>
  <c r="AX82" i="5"/>
  <c r="AX95" i="5"/>
  <c r="AX84" i="5"/>
  <c r="AX91" i="5"/>
  <c r="AX89" i="5"/>
  <c r="AX83" i="5"/>
  <c r="AW67" i="5" a="1"/>
  <c r="AW67" i="5" s="1"/>
  <c r="AR26" i="4" a="1"/>
  <c r="AR26" i="4" s="1"/>
  <c r="AR25" i="4" a="1"/>
  <c r="AR25" i="4" s="1"/>
  <c r="AR27" i="4" a="1"/>
  <c r="AR27" i="4" s="1"/>
  <c r="AR22" i="4" a="1"/>
  <c r="AR22" i="4" s="1"/>
  <c r="AR30" i="4" a="1"/>
  <c r="AR30" i="4" s="1"/>
  <c r="AR21" i="4" a="1"/>
  <c r="AR21" i="4" s="1"/>
  <c r="AR29" i="4" a="1"/>
  <c r="AR29" i="4" s="1"/>
  <c r="AR28" i="4" a="1"/>
  <c r="AR28" i="4" s="1"/>
  <c r="AR24" i="4" a="1"/>
  <c r="AR24" i="4" s="1"/>
  <c r="AS26" i="4" a="1"/>
  <c r="AS26" i="4" s="1"/>
  <c r="AX50" i="5" a="1"/>
  <c r="AX50" i="5" s="1"/>
  <c r="AX53" i="5" a="1"/>
  <c r="AX53" i="5" s="1"/>
  <c r="AX51" i="5" a="1"/>
  <c r="AX51" i="5" s="1"/>
  <c r="AX47" i="5" a="1"/>
  <c r="AX47" i="5" s="1"/>
  <c r="AX55" i="5" a="1"/>
  <c r="AX55" i="5" s="1"/>
  <c r="AX52" i="5" a="1"/>
  <c r="AX52" i="5" s="1"/>
  <c r="AX46" i="5" a="1"/>
  <c r="AX46" i="5" s="1"/>
  <c r="AX49" i="5" a="1"/>
  <c r="AX49" i="5" s="1"/>
  <c r="AX54" i="5" a="1"/>
  <c r="AX54" i="5" s="1"/>
  <c r="AX48" i="5" a="1"/>
  <c r="AX48" i="5" s="1"/>
  <c r="AW62" i="5"/>
  <c r="AW64" i="5"/>
  <c r="AP37" i="4" s="1" a="1"/>
  <c r="AP37" i="4" s="1"/>
  <c r="AP46" i="4" s="1" a="1"/>
  <c r="AP46" i="4" s="1"/>
  <c r="AW63" i="5"/>
  <c r="AP36" i="4" s="1" a="1"/>
  <c r="AP36" i="4" s="1"/>
  <c r="AX38" i="5"/>
  <c r="AX33" i="5"/>
  <c r="AX36" i="5"/>
  <c r="AX31" i="5"/>
  <c r="AX35" i="5"/>
  <c r="AX29" i="5"/>
  <c r="AX34" i="5"/>
  <c r="AX32" i="5"/>
  <c r="AX37" i="5"/>
  <c r="AX30" i="5"/>
  <c r="AY4" i="5"/>
  <c r="AY6" i="5"/>
  <c r="AX8" i="5" l="1" a="1"/>
  <c r="AX8" i="5" s="1"/>
  <c r="AS29" i="7"/>
  <c r="AS24" i="7"/>
  <c r="AS27" i="7"/>
  <c r="AS28" i="7"/>
  <c r="AS30" i="7"/>
  <c r="AS31" i="7"/>
  <c r="AS33" i="7"/>
  <c r="AS25" i="7"/>
  <c r="AS32" i="7"/>
  <c r="AS23" i="7"/>
  <c r="AS26" i="7"/>
  <c r="AX61" i="5"/>
  <c r="AY56" i="5" a="1"/>
  <c r="AY56" i="5" s="1"/>
  <c r="AY43" i="5"/>
  <c r="AY41" i="5"/>
  <c r="AY60" i="5" a="1"/>
  <c r="AY60" i="5" s="1"/>
  <c r="AY57" i="5" a="1"/>
  <c r="AY57" i="5" s="1"/>
  <c r="AY58" i="5" a="1"/>
  <c r="AY58" i="5" s="1"/>
  <c r="AY42" i="5"/>
  <c r="AY39" i="5"/>
  <c r="AY40" i="5"/>
  <c r="AY59" i="5" a="1"/>
  <c r="AY59" i="5" s="1"/>
  <c r="AW97" i="5"/>
  <c r="AP11" i="4" s="1" a="1"/>
  <c r="AP11" i="4" s="1"/>
  <c r="AP43" i="4" s="1" a="1"/>
  <c r="AP43" i="4" s="1"/>
  <c r="AO12" i="4" a="1"/>
  <c r="AO12" i="4" s="1"/>
  <c r="AO14" i="4" s="1"/>
  <c r="AO16" i="4" s="1"/>
  <c r="AO17" i="4" s="1" a="1"/>
  <c r="AO17" i="4" s="1"/>
  <c r="AO18" i="4" s="1"/>
  <c r="AO33" i="4" s="1"/>
  <c r="AO40" i="4" s="1"/>
  <c r="AQ44" i="4" a="1"/>
  <c r="AQ44" i="4" s="1"/>
  <c r="AP38" i="4"/>
  <c r="AP45" i="4" a="1"/>
  <c r="AP45" i="4" s="1"/>
  <c r="AR31" i="4"/>
  <c r="AT6" i="4"/>
  <c r="AS21" i="7" s="1"/>
  <c r="AU5" i="4"/>
  <c r="AT22" i="7" s="1"/>
  <c r="AT13" i="4"/>
  <c r="AT4" i="4"/>
  <c r="AT15" i="4" s="1"/>
  <c r="AX66" i="5"/>
  <c r="AY95" i="5"/>
  <c r="AY93" i="5"/>
  <c r="AY91" i="5"/>
  <c r="AY89" i="5"/>
  <c r="AY96" i="5"/>
  <c r="AY94" i="5"/>
  <c r="AY92" i="5"/>
  <c r="AY90" i="5"/>
  <c r="AY87" i="5"/>
  <c r="AY85" i="5"/>
  <c r="AY88" i="5"/>
  <c r="AY84" i="5"/>
  <c r="AY86" i="5"/>
  <c r="AY82" i="5"/>
  <c r="AY83" i="5"/>
  <c r="AX67" i="5" a="1"/>
  <c r="AX67" i="5" s="1"/>
  <c r="AS25" i="4" a="1"/>
  <c r="AS25" i="4" s="1"/>
  <c r="AS28" i="4" a="1"/>
  <c r="AS28" i="4" s="1"/>
  <c r="AS22" i="4" a="1"/>
  <c r="AS22" i="4" s="1"/>
  <c r="AS21" i="4" a="1"/>
  <c r="AS21" i="4" s="1"/>
  <c r="AS29" i="4" a="1"/>
  <c r="AS29" i="4" s="1"/>
  <c r="AS30" i="4" a="1"/>
  <c r="AS30" i="4" s="1"/>
  <c r="AS24" i="4" a="1"/>
  <c r="AS24" i="4" s="1"/>
  <c r="AS23" i="4" a="1"/>
  <c r="AS23" i="4" s="1"/>
  <c r="AS27" i="4" a="1"/>
  <c r="AS27" i="4" s="1"/>
  <c r="AT25" i="4" a="1"/>
  <c r="AT25" i="4" s="1"/>
  <c r="AY49" i="5" a="1"/>
  <c r="AY49" i="5" s="1"/>
  <c r="AY53" i="5" a="1"/>
  <c r="AY53" i="5" s="1"/>
  <c r="AY55" i="5" a="1"/>
  <c r="AY55" i="5" s="1"/>
  <c r="AY52" i="5" a="1"/>
  <c r="AY52" i="5" s="1"/>
  <c r="AY50" i="5" a="1"/>
  <c r="AY50" i="5" s="1"/>
  <c r="AY46" i="5" a="1"/>
  <c r="AY46" i="5" s="1"/>
  <c r="AY51" i="5" a="1"/>
  <c r="AY51" i="5" s="1"/>
  <c r="AY48" i="5" a="1"/>
  <c r="AY48" i="5" s="1"/>
  <c r="AY54" i="5" a="1"/>
  <c r="AY54" i="5" s="1"/>
  <c r="AY47" i="5" a="1"/>
  <c r="AY47" i="5" s="1"/>
  <c r="AX62" i="5"/>
  <c r="AX63" i="5"/>
  <c r="AQ36" i="4" s="1" a="1"/>
  <c r="AQ36" i="4" s="1"/>
  <c r="AX64" i="5"/>
  <c r="AQ37" i="4" s="1" a="1"/>
  <c r="AQ37" i="4" s="1"/>
  <c r="AQ46" i="4" s="1" a="1"/>
  <c r="AQ46" i="4" s="1"/>
  <c r="AY36" i="5"/>
  <c r="AY35" i="5"/>
  <c r="AY29" i="5"/>
  <c r="AY32" i="5"/>
  <c r="AY38" i="5"/>
  <c r="AY31" i="5"/>
  <c r="AY34" i="5"/>
  <c r="AY30" i="5"/>
  <c r="AY37" i="5"/>
  <c r="AY33" i="5"/>
  <c r="AZ4" i="5"/>
  <c r="AZ6" i="5"/>
  <c r="AY8" i="5" l="1" a="1"/>
  <c r="AY8" i="5" s="1"/>
  <c r="AT26" i="7"/>
  <c r="AT29" i="7"/>
  <c r="AT24" i="7"/>
  <c r="AT25" i="7"/>
  <c r="AT27" i="7"/>
  <c r="AT30" i="7"/>
  <c r="AT28" i="7"/>
  <c r="AT32" i="7"/>
  <c r="AT33" i="7"/>
  <c r="AT23" i="7"/>
  <c r="AT31" i="7"/>
  <c r="AY61" i="5"/>
  <c r="AZ43" i="5"/>
  <c r="AZ41" i="5"/>
  <c r="AZ60" i="5" a="1"/>
  <c r="AZ60" i="5" s="1"/>
  <c r="AZ58" i="5" a="1"/>
  <c r="AZ58" i="5" s="1"/>
  <c r="AZ42" i="5"/>
  <c r="AZ39" i="5"/>
  <c r="AZ59" i="5" a="1"/>
  <c r="AZ59" i="5" s="1"/>
  <c r="AZ56" i="5" a="1"/>
  <c r="AZ56" i="5" s="1"/>
  <c r="AZ57" i="5" a="1"/>
  <c r="AZ57" i="5" s="1"/>
  <c r="AZ40" i="5"/>
  <c r="AP12" i="4" a="1"/>
  <c r="AP12" i="4" s="1"/>
  <c r="AP14" i="4" s="1"/>
  <c r="AP16" i="4" s="1"/>
  <c r="AP17" i="4" s="1" a="1"/>
  <c r="AP17" i="4" s="1"/>
  <c r="AP18" i="4" s="1"/>
  <c r="AP33" i="4" s="1"/>
  <c r="AP40" i="4" s="1"/>
  <c r="AX97" i="5"/>
  <c r="AQ11" i="4" s="1" a="1"/>
  <c r="AQ11" i="4" s="1"/>
  <c r="AQ43" i="4" s="1" a="1"/>
  <c r="AQ43" i="4" s="1"/>
  <c r="AR44" i="4" a="1"/>
  <c r="AR44" i="4" s="1"/>
  <c r="AQ38" i="4"/>
  <c r="AQ45" i="4" a="1"/>
  <c r="AQ45" i="4" s="1"/>
  <c r="AS31" i="4"/>
  <c r="AU4" i="4"/>
  <c r="AU15" i="4" s="1"/>
  <c r="AV5" i="4"/>
  <c r="AU22" i="7" s="1"/>
  <c r="AU6" i="4"/>
  <c r="AT21" i="7" s="1"/>
  <c r="AU13" i="4"/>
  <c r="AY66" i="5"/>
  <c r="AZ95" i="5"/>
  <c r="AZ93" i="5"/>
  <c r="AZ91" i="5"/>
  <c r="AZ87" i="5"/>
  <c r="AZ85" i="5"/>
  <c r="AZ89" i="5"/>
  <c r="AZ90" i="5"/>
  <c r="AZ86" i="5"/>
  <c r="AZ92" i="5"/>
  <c r="AZ82" i="5"/>
  <c r="AZ88" i="5"/>
  <c r="AZ84" i="5"/>
  <c r="AZ94" i="5"/>
  <c r="AZ83" i="5"/>
  <c r="AZ96" i="5"/>
  <c r="AY67" i="5" a="1"/>
  <c r="AY67" i="5" s="1"/>
  <c r="AT22" i="4" a="1"/>
  <c r="AT22" i="4" s="1"/>
  <c r="AT24" i="4" a="1"/>
  <c r="AT24" i="4" s="1"/>
  <c r="AT28" i="4" a="1"/>
  <c r="AT28" i="4" s="1"/>
  <c r="AT30" i="4" a="1"/>
  <c r="AT30" i="4" s="1"/>
  <c r="AT27" i="4" a="1"/>
  <c r="AT27" i="4" s="1"/>
  <c r="AT21" i="4" a="1"/>
  <c r="AT21" i="4" s="1"/>
  <c r="AT29" i="4" a="1"/>
  <c r="AT29" i="4" s="1"/>
  <c r="AT23" i="4" a="1"/>
  <c r="AT23" i="4" s="1"/>
  <c r="AT26" i="4" a="1"/>
  <c r="AT26" i="4" s="1"/>
  <c r="AU30" i="4" a="1"/>
  <c r="AU30" i="4" s="1"/>
  <c r="AZ49" i="5" a="1"/>
  <c r="AZ49" i="5" s="1"/>
  <c r="AZ53" i="5" a="1"/>
  <c r="AZ53" i="5" s="1"/>
  <c r="AZ51" i="5" a="1"/>
  <c r="AZ51" i="5" s="1"/>
  <c r="AZ55" i="5" a="1"/>
  <c r="AZ55" i="5" s="1"/>
  <c r="AZ46" i="5" a="1"/>
  <c r="AZ46" i="5" s="1"/>
  <c r="AZ52" i="5" a="1"/>
  <c r="AZ52" i="5" s="1"/>
  <c r="AZ50" i="5" a="1"/>
  <c r="AZ50" i="5" s="1"/>
  <c r="AZ48" i="5" a="1"/>
  <c r="AZ48" i="5" s="1"/>
  <c r="AZ54" i="5" a="1"/>
  <c r="AZ54" i="5" s="1"/>
  <c r="AZ47" i="5" a="1"/>
  <c r="AZ47" i="5" s="1"/>
  <c r="AY62" i="5"/>
  <c r="AY63" i="5"/>
  <c r="AR36" i="4" s="1" a="1"/>
  <c r="AR36" i="4" s="1"/>
  <c r="AY64" i="5"/>
  <c r="AR37" i="4" s="1" a="1"/>
  <c r="AR37" i="4" s="1"/>
  <c r="AR46" i="4" s="1" a="1"/>
  <c r="AR46" i="4" s="1"/>
  <c r="AZ36" i="5"/>
  <c r="AZ34" i="5"/>
  <c r="AZ29" i="5"/>
  <c r="AZ32" i="5"/>
  <c r="AZ37" i="5"/>
  <c r="AZ33" i="5"/>
  <c r="AZ31" i="5"/>
  <c r="AZ35" i="5"/>
  <c r="AZ30" i="5"/>
  <c r="AZ38" i="5"/>
  <c r="BA4" i="5"/>
  <c r="BA6" i="5"/>
  <c r="AZ8" i="5" l="1" a="1"/>
  <c r="AZ8" i="5" s="1"/>
  <c r="AU31" i="7"/>
  <c r="AU26" i="7"/>
  <c r="AU29" i="7"/>
  <c r="AU24" i="7"/>
  <c r="AU33" i="7"/>
  <c r="AU27" i="7"/>
  <c r="AU25" i="7"/>
  <c r="AU32" i="7"/>
  <c r="AU23" i="7"/>
  <c r="AU28" i="7"/>
  <c r="AU30" i="7"/>
  <c r="AZ61" i="5"/>
  <c r="BA43" i="5"/>
  <c r="BA41" i="5"/>
  <c r="BA59" i="5" a="1"/>
  <c r="BA59" i="5" s="1"/>
  <c r="BA57" i="5" a="1"/>
  <c r="BA57" i="5" s="1"/>
  <c r="BA56" i="5" a="1"/>
  <c r="BA56" i="5" s="1"/>
  <c r="BA42" i="5"/>
  <c r="BA58" i="5" a="1"/>
  <c r="BA58" i="5" s="1"/>
  <c r="BA40" i="5"/>
  <c r="BA39" i="5"/>
  <c r="BA60" i="5" a="1"/>
  <c r="BA60" i="5" s="1"/>
  <c r="AY97" i="5"/>
  <c r="AR11" i="4" s="1" a="1"/>
  <c r="AR11" i="4" s="1"/>
  <c r="AR43" i="4" s="1" a="1"/>
  <c r="AR43" i="4" s="1"/>
  <c r="AQ12" i="4" a="1"/>
  <c r="AQ12" i="4" s="1"/>
  <c r="AQ14" i="4" s="1"/>
  <c r="AQ16" i="4" s="1"/>
  <c r="AQ17" i="4" s="1" a="1"/>
  <c r="AQ17" i="4" s="1"/>
  <c r="AQ18" i="4" s="1"/>
  <c r="AQ33" i="4" s="1"/>
  <c r="AQ40" i="4" s="1"/>
  <c r="AS44" i="4" a="1"/>
  <c r="AS44" i="4" s="1"/>
  <c r="AR38" i="4"/>
  <c r="AR45" i="4" a="1"/>
  <c r="AR45" i="4" s="1"/>
  <c r="AT31" i="4"/>
  <c r="AV6" i="4"/>
  <c r="AU21" i="7" s="1"/>
  <c r="AW5" i="4"/>
  <c r="AV22" i="7" s="1"/>
  <c r="AV13" i="4"/>
  <c r="AV4" i="4"/>
  <c r="AV15" i="4" s="1"/>
  <c r="AZ66" i="5"/>
  <c r="BA95" i="5"/>
  <c r="BA93" i="5"/>
  <c r="BA91" i="5"/>
  <c r="BA89" i="5"/>
  <c r="BA90" i="5"/>
  <c r="BA92" i="5"/>
  <c r="BA85" i="5"/>
  <c r="BA82" i="5"/>
  <c r="BA88" i="5"/>
  <c r="BA84" i="5"/>
  <c r="BA94" i="5"/>
  <c r="BA96" i="5"/>
  <c r="BA87" i="5"/>
  <c r="BA86" i="5"/>
  <c r="BA83" i="5"/>
  <c r="AZ67" i="5" a="1"/>
  <c r="AZ67" i="5" s="1"/>
  <c r="AU21" i="4" a="1"/>
  <c r="AU21" i="4" s="1"/>
  <c r="AU24" i="4" a="1"/>
  <c r="AU24" i="4" s="1"/>
  <c r="AU27" i="4" a="1"/>
  <c r="AU27" i="4" s="1"/>
  <c r="AU29" i="4" a="1"/>
  <c r="AU29" i="4" s="1"/>
  <c r="AU28" i="4" a="1"/>
  <c r="AU28" i="4" s="1"/>
  <c r="AU23" i="4" a="1"/>
  <c r="AU23" i="4" s="1"/>
  <c r="AU26" i="4" a="1"/>
  <c r="AU26" i="4" s="1"/>
  <c r="AU25" i="4" a="1"/>
  <c r="AU25" i="4" s="1"/>
  <c r="AV28" i="4" a="1"/>
  <c r="AV28" i="4" s="1"/>
  <c r="AU22" i="4" a="1"/>
  <c r="AU22" i="4" s="1"/>
  <c r="BA53" i="5" a="1"/>
  <c r="BA53" i="5" s="1"/>
  <c r="BA54" i="5" a="1"/>
  <c r="BA54" i="5" s="1"/>
  <c r="BA55" i="5" a="1"/>
  <c r="BA55" i="5" s="1"/>
  <c r="BA51" i="5" a="1"/>
  <c r="BA51" i="5" s="1"/>
  <c r="BA48" i="5" a="1"/>
  <c r="BA48" i="5" s="1"/>
  <c r="BA52" i="5" a="1"/>
  <c r="BA52" i="5" s="1"/>
  <c r="BA50" i="5" a="1"/>
  <c r="BA50" i="5" s="1"/>
  <c r="BA49" i="5" a="1"/>
  <c r="BA49" i="5" s="1"/>
  <c r="BA47" i="5" a="1"/>
  <c r="BA47" i="5" s="1"/>
  <c r="BA46" i="5" a="1"/>
  <c r="BA46" i="5" s="1"/>
  <c r="AZ62" i="5"/>
  <c r="AZ64" i="5"/>
  <c r="AS37" i="4" s="1" a="1"/>
  <c r="AS37" i="4" s="1"/>
  <c r="AS46" i="4" s="1" a="1"/>
  <c r="AS46" i="4" s="1"/>
  <c r="AZ63" i="5"/>
  <c r="AS36" i="4" s="1" a="1"/>
  <c r="AS36" i="4" s="1"/>
  <c r="BA34" i="5"/>
  <c r="BA37" i="5"/>
  <c r="BA32" i="5"/>
  <c r="BA36" i="5"/>
  <c r="BA33" i="5"/>
  <c r="BA30" i="5"/>
  <c r="BA35" i="5"/>
  <c r="BA29" i="5"/>
  <c r="BA38" i="5"/>
  <c r="BA31" i="5"/>
  <c r="BB4" i="5"/>
  <c r="BB6" i="5"/>
  <c r="BA8" i="5" l="1" a="1"/>
  <c r="BA8" i="5" s="1"/>
  <c r="AV28" i="7"/>
  <c r="AV31" i="7"/>
  <c r="AV26" i="7"/>
  <c r="AV27" i="7"/>
  <c r="AV24" i="7"/>
  <c r="AV33" i="7"/>
  <c r="AV32" i="7"/>
  <c r="AV23" i="7"/>
  <c r="AV25" i="7"/>
  <c r="AV29" i="7"/>
  <c r="AV30" i="7"/>
  <c r="BA61" i="5"/>
  <c r="BB59" i="5" a="1"/>
  <c r="BB59" i="5" s="1"/>
  <c r="BB43" i="5"/>
  <c r="BB41" i="5"/>
  <c r="BB56" i="5" a="1"/>
  <c r="BB56" i="5" s="1"/>
  <c r="BB40" i="5"/>
  <c r="BB42" i="5"/>
  <c r="BB58" i="5" a="1"/>
  <c r="BB58" i="5" s="1"/>
  <c r="BB39" i="5"/>
  <c r="BB57" i="5" a="1"/>
  <c r="BB57" i="5" s="1"/>
  <c r="BB60" i="5" a="1"/>
  <c r="BB60" i="5" s="1"/>
  <c r="AR12" i="4" a="1"/>
  <c r="AR12" i="4" s="1"/>
  <c r="AR14" i="4" s="1"/>
  <c r="AR16" i="4" s="1"/>
  <c r="AR17" i="4" s="1" a="1"/>
  <c r="AR17" i="4" s="1"/>
  <c r="AR18" i="4" s="1"/>
  <c r="AR33" i="4" s="1"/>
  <c r="AR40" i="4" s="1"/>
  <c r="AZ97" i="5"/>
  <c r="AS11" i="4" s="1" a="1"/>
  <c r="AS11" i="4" s="1"/>
  <c r="AS43" i="4" s="1" a="1"/>
  <c r="AS43" i="4" s="1"/>
  <c r="AT44" i="4" a="1"/>
  <c r="AT44" i="4" s="1"/>
  <c r="AU31" i="4"/>
  <c r="AS38" i="4"/>
  <c r="AS45" i="4" a="1"/>
  <c r="AS45" i="4" s="1"/>
  <c r="AW13" i="4"/>
  <c r="AW4" i="4"/>
  <c r="AW15" i="4" s="1"/>
  <c r="AW6" i="4"/>
  <c r="AV21" i="7" s="1"/>
  <c r="AX5" i="4"/>
  <c r="AW22" i="7" s="1"/>
  <c r="BA66" i="5"/>
  <c r="BB89" i="5"/>
  <c r="BB86" i="5"/>
  <c r="BB93" i="5"/>
  <c r="BB88" i="5"/>
  <c r="BB84" i="5"/>
  <c r="BB94" i="5"/>
  <c r="BB83" i="5"/>
  <c r="BB95" i="5"/>
  <c r="BB96" i="5"/>
  <c r="BB91" i="5"/>
  <c r="BB92" i="5"/>
  <c r="BB90" i="5"/>
  <c r="BB87" i="5"/>
  <c r="BB85" i="5"/>
  <c r="BB82" i="5"/>
  <c r="BA67" i="5" a="1"/>
  <c r="BA67" i="5" s="1"/>
  <c r="AV22" i="4" a="1"/>
  <c r="AV22" i="4" s="1"/>
  <c r="AV27" i="4" a="1"/>
  <c r="AV27" i="4" s="1"/>
  <c r="AV30" i="4" a="1"/>
  <c r="AV30" i="4" s="1"/>
  <c r="AV29" i="4" a="1"/>
  <c r="AV29" i="4" s="1"/>
  <c r="AV26" i="4" a="1"/>
  <c r="AV26" i="4" s="1"/>
  <c r="AV24" i="4" a="1"/>
  <c r="AV24" i="4" s="1"/>
  <c r="AV23" i="4" a="1"/>
  <c r="AV23" i="4" s="1"/>
  <c r="AV25" i="4" a="1"/>
  <c r="AV25" i="4" s="1"/>
  <c r="AV21" i="4" a="1"/>
  <c r="AV21" i="4" s="1"/>
  <c r="AW23" i="4" a="1"/>
  <c r="AW23" i="4" s="1"/>
  <c r="BB54" i="5" a="1"/>
  <c r="BB54" i="5" s="1"/>
  <c r="BB55" i="5" a="1"/>
  <c r="BB55" i="5" s="1"/>
  <c r="BB53" i="5" a="1"/>
  <c r="BB53" i="5" s="1"/>
  <c r="BB52" i="5" a="1"/>
  <c r="BB52" i="5" s="1"/>
  <c r="BB50" i="5" a="1"/>
  <c r="BB50" i="5" s="1"/>
  <c r="BB46" i="5" a="1"/>
  <c r="BB46" i="5" s="1"/>
  <c r="BB49" i="5" a="1"/>
  <c r="BB49" i="5" s="1"/>
  <c r="BB48" i="5" a="1"/>
  <c r="BB48" i="5" s="1"/>
  <c r="BB51" i="5" a="1"/>
  <c r="BB51" i="5" s="1"/>
  <c r="BB47" i="5" a="1"/>
  <c r="BB47" i="5" s="1"/>
  <c r="BA63" i="5"/>
  <c r="AT36" i="4" s="1" a="1"/>
  <c r="AT36" i="4" s="1"/>
  <c r="BA62" i="5"/>
  <c r="BA64" i="5"/>
  <c r="AT37" i="4" s="1" a="1"/>
  <c r="AT37" i="4" s="1"/>
  <c r="AT46" i="4" s="1" a="1"/>
  <c r="AT46" i="4" s="1"/>
  <c r="BB37" i="5"/>
  <c r="BB36" i="5"/>
  <c r="BB33" i="5"/>
  <c r="BB30" i="5"/>
  <c r="BB32" i="5"/>
  <c r="BB38" i="5"/>
  <c r="BB35" i="5"/>
  <c r="BB31" i="5"/>
  <c r="BB34" i="5"/>
  <c r="BB29" i="5"/>
  <c r="BC4" i="5"/>
  <c r="BC6" i="5"/>
  <c r="BB8" i="5" l="1" a="1"/>
  <c r="BB8" i="5" s="1"/>
  <c r="AW25" i="7"/>
  <c r="AW28" i="7"/>
  <c r="AW24" i="7"/>
  <c r="AW31" i="7"/>
  <c r="AW27" i="7"/>
  <c r="AW33" i="7"/>
  <c r="AW30" i="7"/>
  <c r="AW32" i="7"/>
  <c r="AW23" i="7"/>
  <c r="AW26" i="7"/>
  <c r="AW29" i="7"/>
  <c r="BB61" i="5"/>
  <c r="BC59" i="5" a="1"/>
  <c r="BC59" i="5" s="1"/>
  <c r="BC57" i="5" a="1"/>
  <c r="BC57" i="5" s="1"/>
  <c r="BC56" i="5" a="1"/>
  <c r="BC56" i="5" s="1"/>
  <c r="BC60" i="5" a="1"/>
  <c r="BC60" i="5" s="1"/>
  <c r="BC58" i="5" a="1"/>
  <c r="BC58" i="5" s="1"/>
  <c r="BC42" i="5"/>
  <c r="BC40" i="5"/>
  <c r="BC39" i="5"/>
  <c r="BC41" i="5"/>
  <c r="BC43" i="5"/>
  <c r="AS12" i="4" a="1"/>
  <c r="AS12" i="4" s="1"/>
  <c r="AS14" i="4" s="1"/>
  <c r="AS16" i="4" s="1"/>
  <c r="AS17" i="4" s="1" a="1"/>
  <c r="AS17" i="4" s="1"/>
  <c r="AS18" i="4" s="1"/>
  <c r="AS33" i="4" s="1"/>
  <c r="AS40" i="4" s="1"/>
  <c r="BA97" i="5"/>
  <c r="AT11" i="4" s="1" a="1"/>
  <c r="AT11" i="4" s="1"/>
  <c r="AT43" i="4" s="1" a="1"/>
  <c r="AT43" i="4" s="1"/>
  <c r="AT38" i="4"/>
  <c r="AT45" i="4" a="1"/>
  <c r="AT45" i="4" s="1"/>
  <c r="AU44" i="4" a="1"/>
  <c r="AU44" i="4" s="1"/>
  <c r="AV31" i="4"/>
  <c r="AX4" i="4"/>
  <c r="AX15" i="4" s="1"/>
  <c r="AY5" i="4"/>
  <c r="AX22" i="7" s="1"/>
  <c r="AX13" i="4"/>
  <c r="AX6" i="4"/>
  <c r="AW21" i="7" s="1"/>
  <c r="BB66" i="5"/>
  <c r="BC96" i="5"/>
  <c r="BC94" i="5"/>
  <c r="BC92" i="5"/>
  <c r="BC90" i="5"/>
  <c r="BC88" i="5"/>
  <c r="BC95" i="5"/>
  <c r="BC93" i="5"/>
  <c r="BC91" i="5"/>
  <c r="BC86" i="5"/>
  <c r="BC84" i="5"/>
  <c r="BC83" i="5"/>
  <c r="BC87" i="5"/>
  <c r="BC89" i="5"/>
  <c r="BC85" i="5"/>
  <c r="BC82" i="5"/>
  <c r="BB67" i="5" a="1"/>
  <c r="BB67" i="5" s="1"/>
  <c r="AW26" i="4" a="1"/>
  <c r="AW26" i="4" s="1"/>
  <c r="AW28" i="4" a="1"/>
  <c r="AW28" i="4" s="1"/>
  <c r="AW27" i="4" a="1"/>
  <c r="AW27" i="4" s="1"/>
  <c r="AW25" i="4" a="1"/>
  <c r="AW25" i="4" s="1"/>
  <c r="AW22" i="4" a="1"/>
  <c r="AW22" i="4" s="1"/>
  <c r="AW30" i="4" a="1"/>
  <c r="AW30" i="4" s="1"/>
  <c r="AW21" i="4" a="1"/>
  <c r="AW21" i="4" s="1"/>
  <c r="AW29" i="4" a="1"/>
  <c r="AW29" i="4" s="1"/>
  <c r="AW24" i="4" a="1"/>
  <c r="AW24" i="4" s="1"/>
  <c r="AX26" i="4" a="1"/>
  <c r="AX26" i="4" s="1"/>
  <c r="BC55" i="5" a="1"/>
  <c r="BC55" i="5" s="1"/>
  <c r="BC52" i="5" a="1"/>
  <c r="BC52" i="5" s="1"/>
  <c r="BC54" i="5" a="1"/>
  <c r="BC54" i="5" s="1"/>
  <c r="BC49" i="5" a="1"/>
  <c r="BC49" i="5" s="1"/>
  <c r="BC47" i="5" a="1"/>
  <c r="BC47" i="5" s="1"/>
  <c r="BC51" i="5" a="1"/>
  <c r="BC51" i="5" s="1"/>
  <c r="BC46" i="5" a="1"/>
  <c r="BC46" i="5" s="1"/>
  <c r="BC53" i="5" a="1"/>
  <c r="BC53" i="5" s="1"/>
  <c r="BC50" i="5" a="1"/>
  <c r="BC50" i="5" s="1"/>
  <c r="BC48" i="5" a="1"/>
  <c r="BC48" i="5" s="1"/>
  <c r="BB64" i="5"/>
  <c r="AU37" i="4" s="1" a="1"/>
  <c r="AU37" i="4" s="1"/>
  <c r="AU46" i="4" s="1" a="1"/>
  <c r="AU46" i="4" s="1"/>
  <c r="BB63" i="5"/>
  <c r="AU36" i="4" s="1" a="1"/>
  <c r="AU36" i="4" s="1"/>
  <c r="BB62" i="5"/>
  <c r="BC37" i="5"/>
  <c r="BC35" i="5"/>
  <c r="BC30" i="5"/>
  <c r="BC38" i="5"/>
  <c r="BC32" i="5"/>
  <c r="BC36" i="5"/>
  <c r="BC33" i="5"/>
  <c r="BC29" i="5"/>
  <c r="BC31" i="5"/>
  <c r="BC34" i="5"/>
  <c r="BD4" i="5"/>
  <c r="BD6" i="5"/>
  <c r="BC8" i="5" l="1" a="1"/>
  <c r="BC8" i="5" s="1"/>
  <c r="AX30" i="7"/>
  <c r="AX25" i="7"/>
  <c r="AX28" i="7"/>
  <c r="AX29" i="7"/>
  <c r="AX32" i="7"/>
  <c r="AX23" i="7"/>
  <c r="AX31" i="7"/>
  <c r="AX24" i="7"/>
  <c r="AX26" i="7"/>
  <c r="AX33" i="7"/>
  <c r="AX27" i="7"/>
  <c r="BC61" i="5"/>
  <c r="BD59" i="5" a="1"/>
  <c r="BD59" i="5" s="1"/>
  <c r="BD60" i="5" a="1"/>
  <c r="BD60" i="5" s="1"/>
  <c r="BD58" i="5" a="1"/>
  <c r="BD58" i="5" s="1"/>
  <c r="BD42" i="5"/>
  <c r="BD57" i="5" a="1"/>
  <c r="BD57" i="5" s="1"/>
  <c r="BD56" i="5" a="1"/>
  <c r="BD56" i="5" s="1"/>
  <c r="BD40" i="5"/>
  <c r="BD43" i="5"/>
  <c r="BD39" i="5"/>
  <c r="BD41" i="5"/>
  <c r="BB97" i="5"/>
  <c r="AU11" i="4" s="1" a="1"/>
  <c r="AU11" i="4" s="1"/>
  <c r="AU43" i="4" s="1" a="1"/>
  <c r="AU43" i="4" s="1"/>
  <c r="AT12" i="4" a="1"/>
  <c r="AT12" i="4" s="1"/>
  <c r="AT14" i="4" s="1"/>
  <c r="AT16" i="4" s="1"/>
  <c r="AT17" i="4" s="1" a="1"/>
  <c r="AT17" i="4" s="1"/>
  <c r="AT18" i="4" s="1"/>
  <c r="AT33" i="4" s="1"/>
  <c r="AT40" i="4" s="1"/>
  <c r="AU38" i="4"/>
  <c r="AU45" i="4" a="1"/>
  <c r="AU45" i="4" s="1"/>
  <c r="AV44" i="4" a="1"/>
  <c r="AV44" i="4" s="1"/>
  <c r="AW31" i="4"/>
  <c r="AY4" i="4"/>
  <c r="AY15" i="4" s="1"/>
  <c r="AZ5" i="4"/>
  <c r="AY22" i="7" s="1"/>
  <c r="AY6" i="4"/>
  <c r="AX21" i="7" s="1"/>
  <c r="AY13" i="4"/>
  <c r="BC66" i="5"/>
  <c r="BD96" i="5"/>
  <c r="BD94" i="5"/>
  <c r="BD92" i="5"/>
  <c r="BD90" i="5"/>
  <c r="BD86" i="5"/>
  <c r="BD84" i="5"/>
  <c r="BD95" i="5"/>
  <c r="BD93" i="5"/>
  <c r="BD91" i="5"/>
  <c r="BD88" i="5"/>
  <c r="BD89" i="5"/>
  <c r="BD87" i="5"/>
  <c r="BD83" i="5"/>
  <c r="BD85" i="5"/>
  <c r="BD82" i="5"/>
  <c r="BC67" i="5" a="1"/>
  <c r="BC67" i="5" s="1"/>
  <c r="AX25" i="4" a="1"/>
  <c r="AX25" i="4" s="1"/>
  <c r="AX27" i="4" a="1"/>
  <c r="AX27" i="4" s="1"/>
  <c r="AX28" i="4" a="1"/>
  <c r="AX28" i="4" s="1"/>
  <c r="AX22" i="4" a="1"/>
  <c r="AX22" i="4" s="1"/>
  <c r="AX29" i="4" a="1"/>
  <c r="AX29" i="4" s="1"/>
  <c r="AX24" i="4" a="1"/>
  <c r="AX24" i="4" s="1"/>
  <c r="AX30" i="4" a="1"/>
  <c r="AX30" i="4" s="1"/>
  <c r="AX23" i="4" a="1"/>
  <c r="AX23" i="4" s="1"/>
  <c r="AX21" i="4" a="1"/>
  <c r="AX21" i="4" s="1"/>
  <c r="AY23" i="4" a="1"/>
  <c r="AY23" i="4" s="1"/>
  <c r="BD54" i="5" a="1"/>
  <c r="BD54" i="5" s="1"/>
  <c r="BD49" i="5" a="1"/>
  <c r="BD49" i="5" s="1"/>
  <c r="BD50" i="5" a="1"/>
  <c r="BD50" i="5" s="1"/>
  <c r="BD55" i="5" a="1"/>
  <c r="BD55" i="5" s="1"/>
  <c r="BD51" i="5" a="1"/>
  <c r="BD51" i="5" s="1"/>
  <c r="BD46" i="5" a="1"/>
  <c r="BD46" i="5" s="1"/>
  <c r="BD47" i="5" a="1"/>
  <c r="BD47" i="5" s="1"/>
  <c r="BD53" i="5" a="1"/>
  <c r="BD53" i="5" s="1"/>
  <c r="BD48" i="5" a="1"/>
  <c r="BD48" i="5" s="1"/>
  <c r="BD52" i="5" a="1"/>
  <c r="BD52" i="5" s="1"/>
  <c r="BC62" i="5"/>
  <c r="BC63" i="5"/>
  <c r="AV36" i="4" s="1" a="1"/>
  <c r="AV36" i="4" s="1"/>
  <c r="BC64" i="5"/>
  <c r="AV37" i="4" s="1" a="1"/>
  <c r="AV37" i="4" s="1"/>
  <c r="AV46" i="4" s="1" a="1"/>
  <c r="AV46" i="4" s="1"/>
  <c r="BD35" i="5"/>
  <c r="BD38" i="5"/>
  <c r="BD37" i="5"/>
  <c r="BD34" i="5"/>
  <c r="BD31" i="5"/>
  <c r="BD36" i="5"/>
  <c r="BD33" i="5"/>
  <c r="BD30" i="5"/>
  <c r="BD29" i="5"/>
  <c r="BD32" i="5"/>
  <c r="BE4" i="5"/>
  <c r="BE6" i="5"/>
  <c r="BD8" i="5" l="1" a="1"/>
  <c r="BD8" i="5" s="1"/>
  <c r="AY27" i="7"/>
  <c r="AY30" i="7"/>
  <c r="AY25" i="7"/>
  <c r="AY26" i="7"/>
  <c r="AY28" i="7"/>
  <c r="AY32" i="7"/>
  <c r="AY23" i="7"/>
  <c r="AY31" i="7"/>
  <c r="AY29" i="7"/>
  <c r="AY33" i="7"/>
  <c r="AY24" i="7"/>
  <c r="BD61" i="5"/>
  <c r="BE60" i="5" a="1"/>
  <c r="BE60" i="5" s="1"/>
  <c r="BE58" i="5" a="1"/>
  <c r="BE58" i="5" s="1"/>
  <c r="BE42" i="5"/>
  <c r="BE59" i="5" a="1"/>
  <c r="BE59" i="5" s="1"/>
  <c r="BE56" i="5" a="1"/>
  <c r="BE56" i="5" s="1"/>
  <c r="BE41" i="5"/>
  <c r="BE39" i="5"/>
  <c r="BE57" i="5" a="1"/>
  <c r="BE57" i="5" s="1"/>
  <c r="BE40" i="5"/>
  <c r="BE43" i="5"/>
  <c r="AU12" i="4" a="1"/>
  <c r="AU12" i="4" s="1"/>
  <c r="AU14" i="4" s="1"/>
  <c r="AU16" i="4" s="1"/>
  <c r="AU17" i="4" s="1" a="1"/>
  <c r="AU17" i="4" s="1"/>
  <c r="AU18" i="4" s="1"/>
  <c r="AU33" i="4" s="1"/>
  <c r="AU40" i="4" s="1"/>
  <c r="BC97" i="5"/>
  <c r="AV11" i="4" s="1" a="1"/>
  <c r="AV11" i="4" s="1"/>
  <c r="AV43" i="4" s="1" a="1"/>
  <c r="AV43" i="4" s="1"/>
  <c r="AV38" i="4"/>
  <c r="AV45" i="4" a="1"/>
  <c r="AV45" i="4" s="1"/>
  <c r="AW44" i="4" a="1"/>
  <c r="AW44" i="4" s="1"/>
  <c r="AX31" i="4"/>
  <c r="AZ6" i="4"/>
  <c r="AY21" i="7" s="1"/>
  <c r="AZ13" i="4"/>
  <c r="BA5" i="4"/>
  <c r="AZ22" i="7" s="1"/>
  <c r="AZ4" i="4"/>
  <c r="AZ15" i="4" s="1"/>
  <c r="BD66" i="5"/>
  <c r="BE96" i="5"/>
  <c r="BE94" i="5"/>
  <c r="BE92" i="5"/>
  <c r="BE90" i="5"/>
  <c r="BE95" i="5"/>
  <c r="BE93" i="5"/>
  <c r="BE91" i="5"/>
  <c r="BE88" i="5"/>
  <c r="BE83" i="5"/>
  <c r="BE87" i="5"/>
  <c r="BE85" i="5"/>
  <c r="BE86" i="5"/>
  <c r="BE84" i="5"/>
  <c r="BE89" i="5"/>
  <c r="BE82" i="5"/>
  <c r="BD67" i="5" a="1"/>
  <c r="BD67" i="5" s="1"/>
  <c r="AY25" i="4" a="1"/>
  <c r="AY25" i="4" s="1"/>
  <c r="AY28" i="4" a="1"/>
  <c r="AY28" i="4" s="1"/>
  <c r="AY26" i="4" a="1"/>
  <c r="AY26" i="4" s="1"/>
  <c r="AY27" i="4" a="1"/>
  <c r="AY27" i="4" s="1"/>
  <c r="AY21" i="4" a="1"/>
  <c r="AY21" i="4" s="1"/>
  <c r="AY29" i="4" a="1"/>
  <c r="AY29" i="4" s="1"/>
  <c r="AY24" i="4" a="1"/>
  <c r="AY24" i="4" s="1"/>
  <c r="AY22" i="4" a="1"/>
  <c r="AY22" i="4" s="1"/>
  <c r="AY30" i="4" a="1"/>
  <c r="AY30" i="4" s="1"/>
  <c r="AZ27" i="4" a="1"/>
  <c r="AZ27" i="4" s="1"/>
  <c r="BE53" i="5" a="1"/>
  <c r="BE53" i="5" s="1"/>
  <c r="BE48" i="5" a="1"/>
  <c r="BE48" i="5" s="1"/>
  <c r="BE51" i="5" a="1"/>
  <c r="BE51" i="5" s="1"/>
  <c r="BE55" i="5" a="1"/>
  <c r="BE55" i="5" s="1"/>
  <c r="BE47" i="5" a="1"/>
  <c r="BE47" i="5" s="1"/>
  <c r="BE54" i="5" a="1"/>
  <c r="BE54" i="5" s="1"/>
  <c r="BE49" i="5" a="1"/>
  <c r="BE49" i="5" s="1"/>
  <c r="BE52" i="5" a="1"/>
  <c r="BE52" i="5" s="1"/>
  <c r="BE50" i="5" a="1"/>
  <c r="BE50" i="5" s="1"/>
  <c r="BE46" i="5" a="1"/>
  <c r="BE46" i="5" s="1"/>
  <c r="BD62" i="5"/>
  <c r="BD63" i="5"/>
  <c r="AW36" i="4" s="1" a="1"/>
  <c r="AW36" i="4" s="1"/>
  <c r="BD64" i="5"/>
  <c r="AW37" i="4" s="1" a="1"/>
  <c r="AW37" i="4" s="1"/>
  <c r="AW46" i="4" s="1" a="1"/>
  <c r="AW46" i="4" s="1"/>
  <c r="BE35" i="5"/>
  <c r="BE38" i="5"/>
  <c r="BE37" i="5"/>
  <c r="BE34" i="5"/>
  <c r="BE31" i="5"/>
  <c r="BE30" i="5"/>
  <c r="BE32" i="5"/>
  <c r="BE33" i="5"/>
  <c r="BE29" i="5"/>
  <c r="BE36" i="5"/>
  <c r="BF4" i="5"/>
  <c r="BF6" i="5"/>
  <c r="BE8" i="5" l="1" a="1"/>
  <c r="BE8" i="5" s="1"/>
  <c r="AZ24" i="7"/>
  <c r="AZ27" i="7"/>
  <c r="AZ25" i="7"/>
  <c r="AZ28" i="7"/>
  <c r="AZ32" i="7"/>
  <c r="AZ23" i="7"/>
  <c r="AZ26" i="7"/>
  <c r="AZ30" i="7"/>
  <c r="AZ33" i="7"/>
  <c r="AZ31" i="7"/>
  <c r="AZ29" i="7"/>
  <c r="BE61" i="5"/>
  <c r="BF60" i="5" a="1"/>
  <c r="BF60" i="5" s="1"/>
  <c r="BF58" i="5" a="1"/>
  <c r="BF58" i="5" s="1"/>
  <c r="BF42" i="5"/>
  <c r="BF59" i="5" a="1"/>
  <c r="BF59" i="5" s="1"/>
  <c r="BF57" i="5" a="1"/>
  <c r="BF57" i="5" s="1"/>
  <c r="BF39" i="5"/>
  <c r="BF56" i="5" a="1"/>
  <c r="BF56" i="5" s="1"/>
  <c r="BF40" i="5"/>
  <c r="BF43" i="5"/>
  <c r="BF41" i="5"/>
  <c r="AV12" i="4" a="1"/>
  <c r="AV12" i="4" s="1"/>
  <c r="AV14" i="4" s="1"/>
  <c r="AV16" i="4" s="1"/>
  <c r="AV17" i="4" s="1" a="1"/>
  <c r="AV17" i="4" s="1"/>
  <c r="AV18" i="4" s="1"/>
  <c r="AV33" i="4" s="1"/>
  <c r="AV40" i="4" s="1"/>
  <c r="BD97" i="5"/>
  <c r="AW11" i="4" s="1" a="1"/>
  <c r="AW11" i="4" s="1"/>
  <c r="AW43" i="4" s="1" a="1"/>
  <c r="AW43" i="4" s="1"/>
  <c r="AX44" i="4" a="1"/>
  <c r="AX44" i="4" s="1"/>
  <c r="AW38" i="4"/>
  <c r="AW45" i="4" a="1"/>
  <c r="AW45" i="4" s="1"/>
  <c r="AY31" i="4"/>
  <c r="BA6" i="4"/>
  <c r="AZ21" i="7" s="1"/>
  <c r="BB5" i="4"/>
  <c r="BA22" i="7" s="1"/>
  <c r="BA4" i="4"/>
  <c r="BA15" i="4" s="1"/>
  <c r="BA13" i="4"/>
  <c r="BE66" i="5"/>
  <c r="BF95" i="5"/>
  <c r="BF93" i="5"/>
  <c r="BF91" i="5"/>
  <c r="BF88" i="5"/>
  <c r="BF96" i="5"/>
  <c r="BF94" i="5"/>
  <c r="BF92" i="5"/>
  <c r="BF87" i="5"/>
  <c r="BF85" i="5"/>
  <c r="BF82" i="5"/>
  <c r="BF89" i="5"/>
  <c r="BF90" i="5"/>
  <c r="BF84" i="5"/>
  <c r="BF83" i="5"/>
  <c r="BF86" i="5"/>
  <c r="BE67" i="5" a="1"/>
  <c r="BE67" i="5" s="1"/>
  <c r="BE97" i="5" s="1"/>
  <c r="AX11" i="4" s="1" a="1"/>
  <c r="AX11" i="4" s="1"/>
  <c r="AZ29" i="4" a="1"/>
  <c r="AZ29" i="4" s="1"/>
  <c r="AZ21" i="4" a="1"/>
  <c r="AZ21" i="4" s="1"/>
  <c r="AZ30" i="4" a="1"/>
  <c r="AZ30" i="4" s="1"/>
  <c r="AZ22" i="4" a="1"/>
  <c r="AZ22" i="4" s="1"/>
  <c r="AZ23" i="4" a="1"/>
  <c r="AZ23" i="4" s="1"/>
  <c r="AZ26" i="4" a="1"/>
  <c r="AZ26" i="4" s="1"/>
  <c r="AZ25" i="4" a="1"/>
  <c r="AZ25" i="4" s="1"/>
  <c r="AZ24" i="4" a="1"/>
  <c r="AZ24" i="4" s="1"/>
  <c r="AZ28" i="4" a="1"/>
  <c r="AZ28" i="4" s="1"/>
  <c r="BA23" i="4" a="1"/>
  <c r="BA23" i="4" s="1"/>
  <c r="BF54" i="5" a="1"/>
  <c r="BF54" i="5" s="1"/>
  <c r="BF55" i="5" a="1"/>
  <c r="BF55" i="5" s="1"/>
  <c r="BF50" i="5" a="1"/>
  <c r="BF50" i="5" s="1"/>
  <c r="BF48" i="5" a="1"/>
  <c r="BF48" i="5" s="1"/>
  <c r="BF47" i="5" a="1"/>
  <c r="BF47" i="5" s="1"/>
  <c r="BF53" i="5" a="1"/>
  <c r="BF53" i="5" s="1"/>
  <c r="BF52" i="5" a="1"/>
  <c r="BF52" i="5" s="1"/>
  <c r="BF49" i="5" a="1"/>
  <c r="BF49" i="5" s="1"/>
  <c r="BF46" i="5" a="1"/>
  <c r="BF46" i="5" s="1"/>
  <c r="BF51" i="5" a="1"/>
  <c r="BF51" i="5" s="1"/>
  <c r="BE63" i="5"/>
  <c r="AX36" i="4" s="1" a="1"/>
  <c r="AX36" i="4" s="1"/>
  <c r="BE62" i="5"/>
  <c r="BE64" i="5"/>
  <c r="AX37" i="4" s="1" a="1"/>
  <c r="AX37" i="4" s="1"/>
  <c r="AX46" i="4" s="1" a="1"/>
  <c r="AX46" i="4" s="1"/>
  <c r="BF38" i="5"/>
  <c r="BF33" i="5"/>
  <c r="BF36" i="5"/>
  <c r="BF34" i="5"/>
  <c r="BF31" i="5"/>
  <c r="BF29" i="5"/>
  <c r="BF37" i="5"/>
  <c r="BF35" i="5"/>
  <c r="BF32" i="5"/>
  <c r="BF30" i="5"/>
  <c r="BG4" i="5"/>
  <c r="BG6" i="5"/>
  <c r="BF8" i="5" l="1" a="1"/>
  <c r="BF8" i="5" s="1"/>
  <c r="BA29" i="7"/>
  <c r="BA24" i="7"/>
  <c r="BA27" i="7"/>
  <c r="BA28" i="7"/>
  <c r="BA25" i="7"/>
  <c r="BA33" i="7"/>
  <c r="BA26" i="7"/>
  <c r="BB24" i="4" s="1" a="1"/>
  <c r="BB24" i="4" s="1"/>
  <c r="BA30" i="7"/>
  <c r="BA32" i="7"/>
  <c r="BA23" i="7"/>
  <c r="BA31" i="7"/>
  <c r="BF61" i="5"/>
  <c r="BG43" i="5"/>
  <c r="BG41" i="5"/>
  <c r="BG57" i="5" a="1"/>
  <c r="BG57" i="5" s="1"/>
  <c r="BG39" i="5"/>
  <c r="BG42" i="5"/>
  <c r="BG40" i="5"/>
  <c r="BG58" i="5" a="1"/>
  <c r="BG58" i="5" s="1"/>
  <c r="BG60" i="5" a="1"/>
  <c r="BG60" i="5" s="1"/>
  <c r="BG59" i="5" a="1"/>
  <c r="BG59" i="5" s="1"/>
  <c r="BG56" i="5" a="1"/>
  <c r="BG56" i="5" s="1"/>
  <c r="AW12" i="4" a="1"/>
  <c r="AW12" i="4" s="1"/>
  <c r="AW14" i="4" s="1"/>
  <c r="AW16" i="4" s="1"/>
  <c r="AW17" i="4" s="1" a="1"/>
  <c r="AW17" i="4" s="1"/>
  <c r="AW18" i="4" s="1"/>
  <c r="AW33" i="4" s="1"/>
  <c r="AW40" i="4" s="1"/>
  <c r="AX12" i="4" a="1"/>
  <c r="AX12" i="4" s="1"/>
  <c r="AX14" i="4" s="1"/>
  <c r="AX16" i="4" s="1"/>
  <c r="AY44" i="4" a="1"/>
  <c r="AY44" i="4" s="1"/>
  <c r="AX43" i="4" a="1"/>
  <c r="AX43" i="4" s="1"/>
  <c r="AX38" i="4"/>
  <c r="AX45" i="4" a="1"/>
  <c r="AX45" i="4" s="1"/>
  <c r="AZ31" i="4"/>
  <c r="BB13" i="4"/>
  <c r="BC5" i="4"/>
  <c r="BB22" i="7" s="1"/>
  <c r="BB6" i="4"/>
  <c r="BA21" i="7" s="1"/>
  <c r="BB4" i="4"/>
  <c r="BB15" i="4" s="1"/>
  <c r="BF66" i="5"/>
  <c r="BG95" i="5"/>
  <c r="BG93" i="5"/>
  <c r="BG91" i="5"/>
  <c r="BG89" i="5"/>
  <c r="BG87" i="5"/>
  <c r="BG96" i="5"/>
  <c r="BG94" i="5"/>
  <c r="BG92" i="5"/>
  <c r="BG85" i="5"/>
  <c r="BG82" i="5"/>
  <c r="BG86" i="5"/>
  <c r="BG83" i="5"/>
  <c r="BG90" i="5"/>
  <c r="BG84" i="5"/>
  <c r="BG88" i="5"/>
  <c r="BF67" i="5" a="1"/>
  <c r="BF67" i="5" s="1"/>
  <c r="BA26" i="4" a="1"/>
  <c r="BA26" i="4" s="1"/>
  <c r="BA28" i="4" a="1"/>
  <c r="BA28" i="4" s="1"/>
  <c r="BA25" i="4" a="1"/>
  <c r="BA25" i="4" s="1"/>
  <c r="BA22" i="4" a="1"/>
  <c r="BA22" i="4" s="1"/>
  <c r="BA30" i="4" a="1"/>
  <c r="BA30" i="4" s="1"/>
  <c r="BA21" i="4" a="1"/>
  <c r="BA21" i="4" s="1"/>
  <c r="BA29" i="4" a="1"/>
  <c r="BA29" i="4" s="1"/>
  <c r="BA24" i="4" a="1"/>
  <c r="BA24" i="4" s="1"/>
  <c r="BA27" i="4" a="1"/>
  <c r="BA27" i="4" s="1"/>
  <c r="BG54" i="5" a="1"/>
  <c r="BG54" i="5" s="1"/>
  <c r="BG55" i="5" a="1"/>
  <c r="BG55" i="5" s="1"/>
  <c r="BG50" i="5" a="1"/>
  <c r="BG50" i="5" s="1"/>
  <c r="BG53" i="5" a="1"/>
  <c r="BG53" i="5" s="1"/>
  <c r="BG52" i="5" a="1"/>
  <c r="BG52" i="5" s="1"/>
  <c r="BG49" i="5" a="1"/>
  <c r="BG49" i="5" s="1"/>
  <c r="BG51" i="5" a="1"/>
  <c r="BG51" i="5" s="1"/>
  <c r="BG48" i="5" a="1"/>
  <c r="BG48" i="5" s="1"/>
  <c r="BG47" i="5" a="1"/>
  <c r="BG47" i="5" s="1"/>
  <c r="BG46" i="5" a="1"/>
  <c r="BG46" i="5" s="1"/>
  <c r="BF63" i="5"/>
  <c r="AY36" i="4" s="1" a="1"/>
  <c r="AY36" i="4" s="1"/>
  <c r="BF62" i="5"/>
  <c r="BF64" i="5"/>
  <c r="AY37" i="4" s="1" a="1"/>
  <c r="AY37" i="4" s="1"/>
  <c r="AY46" i="4" s="1" a="1"/>
  <c r="AY46" i="4" s="1"/>
  <c r="BG36" i="5"/>
  <c r="BG38" i="5"/>
  <c r="BG29" i="5"/>
  <c r="BG32" i="5"/>
  <c r="BG37" i="5"/>
  <c r="BG34" i="5"/>
  <c r="BG31" i="5"/>
  <c r="BG33" i="5"/>
  <c r="BG30" i="5"/>
  <c r="BG35" i="5"/>
  <c r="BH4" i="5"/>
  <c r="BH6" i="5"/>
  <c r="BG8" i="5" l="1" a="1"/>
  <c r="BG8" i="5" s="1"/>
  <c r="BB26" i="7"/>
  <c r="BB29" i="7"/>
  <c r="BB24" i="7"/>
  <c r="BB25" i="7"/>
  <c r="BB30" i="7"/>
  <c r="BB28" i="7"/>
  <c r="BC26" i="4" s="1" a="1"/>
  <c r="BC26" i="4" s="1"/>
  <c r="BB31" i="7"/>
  <c r="BB33" i="7"/>
  <c r="BB27" i="7"/>
  <c r="BB32" i="7"/>
  <c r="BB23" i="7"/>
  <c r="BG61" i="5"/>
  <c r="BH43" i="5"/>
  <c r="BH41" i="5"/>
  <c r="BH59" i="5" a="1"/>
  <c r="BH59" i="5" s="1"/>
  <c r="BH56" i="5" a="1"/>
  <c r="BH56" i="5" s="1"/>
  <c r="BH57" i="5" a="1"/>
  <c r="BH57" i="5" s="1"/>
  <c r="BH39" i="5"/>
  <c r="BH58" i="5" a="1"/>
  <c r="BH58" i="5" s="1"/>
  <c r="BH42" i="5"/>
  <c r="BH40" i="5"/>
  <c r="BH60" i="5" a="1"/>
  <c r="BH60" i="5" s="1"/>
  <c r="BF97" i="5"/>
  <c r="AY11" i="4" s="1" a="1"/>
  <c r="AY11" i="4" s="1"/>
  <c r="AY12" i="4" s="1" a="1"/>
  <c r="AY12" i="4" s="1"/>
  <c r="AY14" i="4" s="1"/>
  <c r="AY16" i="4" s="1"/>
  <c r="AZ44" i="4" a="1"/>
  <c r="AZ44" i="4" s="1"/>
  <c r="AY45" i="4" a="1"/>
  <c r="AY45" i="4" s="1"/>
  <c r="AY38" i="4"/>
  <c r="BA31" i="4"/>
  <c r="AX17" i="4" a="1"/>
  <c r="AX17" i="4" s="1"/>
  <c r="AX18" i="4" s="1"/>
  <c r="AX33" i="4" s="1"/>
  <c r="AX40" i="4" s="1"/>
  <c r="BC4" i="4"/>
  <c r="BC15" i="4" s="1"/>
  <c r="BD5" i="4"/>
  <c r="BC22" i="7" s="1"/>
  <c r="BC6" i="4"/>
  <c r="BB21" i="7" s="1"/>
  <c r="BC13" i="4"/>
  <c r="BG66" i="5"/>
  <c r="BH95" i="5"/>
  <c r="BH93" i="5"/>
  <c r="BH91" i="5"/>
  <c r="BH85" i="5"/>
  <c r="BH83" i="5"/>
  <c r="BH96" i="5"/>
  <c r="BH94" i="5"/>
  <c r="BH92" i="5"/>
  <c r="BH87" i="5"/>
  <c r="BH90" i="5"/>
  <c r="BH88" i="5"/>
  <c r="BH82" i="5"/>
  <c r="BH86" i="5"/>
  <c r="BH89" i="5"/>
  <c r="BH84" i="5"/>
  <c r="BG67" i="5" a="1"/>
  <c r="BG67" i="5" s="1"/>
  <c r="BB23" i="4" a="1"/>
  <c r="BB23" i="4" s="1"/>
  <c r="BB26" i="4" a="1"/>
  <c r="BB26" i="4" s="1"/>
  <c r="BB25" i="4" a="1"/>
  <c r="BB25" i="4" s="1"/>
  <c r="BB27" i="4" a="1"/>
  <c r="BB27" i="4" s="1"/>
  <c r="BB22" i="4" a="1"/>
  <c r="BB22" i="4" s="1"/>
  <c r="BB30" i="4" a="1"/>
  <c r="BB30" i="4" s="1"/>
  <c r="BB28" i="4" a="1"/>
  <c r="BB28" i="4" s="1"/>
  <c r="BB21" i="4" a="1"/>
  <c r="BB21" i="4" s="1"/>
  <c r="BB29" i="4" a="1"/>
  <c r="BB29" i="4" s="1"/>
  <c r="BH55" i="5" a="1"/>
  <c r="BH55" i="5" s="1"/>
  <c r="BH52" i="5" a="1"/>
  <c r="BH52" i="5" s="1"/>
  <c r="BH49" i="5" a="1"/>
  <c r="BH49" i="5" s="1"/>
  <c r="BH54" i="5" a="1"/>
  <c r="BH54" i="5" s="1"/>
  <c r="BH53" i="5" a="1"/>
  <c r="BH53" i="5" s="1"/>
  <c r="BH50" i="5" a="1"/>
  <c r="BH50" i="5" s="1"/>
  <c r="BH46" i="5" a="1"/>
  <c r="BH46" i="5" s="1"/>
  <c r="BH51" i="5" a="1"/>
  <c r="BH51" i="5" s="1"/>
  <c r="BH48" i="5" a="1"/>
  <c r="BH48" i="5" s="1"/>
  <c r="BH47" i="5" a="1"/>
  <c r="BH47" i="5" s="1"/>
  <c r="BG63" i="5"/>
  <c r="AZ36" i="4" s="1" a="1"/>
  <c r="AZ36" i="4" s="1"/>
  <c r="BG64" i="5"/>
  <c r="AZ37" i="4" s="1" a="1"/>
  <c r="AZ37" i="4" s="1"/>
  <c r="AZ46" i="4" s="1" a="1"/>
  <c r="AZ46" i="4" s="1"/>
  <c r="BG62" i="5"/>
  <c r="BH36" i="5"/>
  <c r="BH34" i="5"/>
  <c r="BH38" i="5"/>
  <c r="BH29" i="5"/>
  <c r="BH32" i="5"/>
  <c r="BH35" i="5"/>
  <c r="BH31" i="5"/>
  <c r="BH37" i="5"/>
  <c r="BH33" i="5"/>
  <c r="BH30" i="5"/>
  <c r="BI4" i="5"/>
  <c r="BI6" i="5"/>
  <c r="BH8" i="5" l="1" a="1"/>
  <c r="BH8" i="5" s="1"/>
  <c r="BC31" i="7"/>
  <c r="BC26" i="7"/>
  <c r="BC29" i="7"/>
  <c r="BC33" i="7"/>
  <c r="BC30" i="7"/>
  <c r="BC25" i="7"/>
  <c r="BC27" i="7"/>
  <c r="BC32" i="7"/>
  <c r="BC23" i="7"/>
  <c r="BC28" i="7"/>
  <c r="BC24" i="7"/>
  <c r="BH61" i="5"/>
  <c r="BI43" i="5"/>
  <c r="BI41" i="5"/>
  <c r="BI59" i="5" a="1"/>
  <c r="BI59" i="5" s="1"/>
  <c r="BI56" i="5" a="1"/>
  <c r="BI56" i="5" s="1"/>
  <c r="BI57" i="5" a="1"/>
  <c r="BI57" i="5" s="1"/>
  <c r="BI60" i="5" a="1"/>
  <c r="BI60" i="5" s="1"/>
  <c r="BI58" i="5" a="1"/>
  <c r="BI58" i="5" s="1"/>
  <c r="BI42" i="5"/>
  <c r="BI40" i="5"/>
  <c r="BI39" i="5"/>
  <c r="BG97" i="5"/>
  <c r="AZ11" i="4" s="1" a="1"/>
  <c r="AZ11" i="4" s="1"/>
  <c r="AZ12" i="4" s="1" a="1"/>
  <c r="AZ12" i="4" s="1"/>
  <c r="AZ14" i="4" s="1"/>
  <c r="AZ16" i="4" s="1"/>
  <c r="AY43" i="4" a="1"/>
  <c r="AY43" i="4" s="1"/>
  <c r="BA44" i="4" a="1"/>
  <c r="BA44" i="4" s="1"/>
  <c r="AZ45" i="4" a="1"/>
  <c r="AZ45" i="4" s="1"/>
  <c r="AZ38" i="4"/>
  <c r="AY17" i="4" a="1"/>
  <c r="AY17" i="4" s="1"/>
  <c r="AY18" i="4" s="1"/>
  <c r="AY33" i="4" s="1"/>
  <c r="AY40" i="4" s="1"/>
  <c r="BB31" i="4"/>
  <c r="BD6" i="4"/>
  <c r="BC21" i="7" s="1"/>
  <c r="BD13" i="4"/>
  <c r="BE5" i="4"/>
  <c r="BD22" i="7" s="1"/>
  <c r="BD4" i="4"/>
  <c r="BD15" i="4" s="1"/>
  <c r="BH66" i="5"/>
  <c r="BI95" i="5"/>
  <c r="BI93" i="5"/>
  <c r="BI91" i="5"/>
  <c r="BI96" i="5"/>
  <c r="BI94" i="5"/>
  <c r="BI92" i="5"/>
  <c r="BI87" i="5"/>
  <c r="BI90" i="5"/>
  <c r="BI89" i="5"/>
  <c r="BI82" i="5"/>
  <c r="BI84" i="5"/>
  <c r="BI86" i="5"/>
  <c r="BI85" i="5"/>
  <c r="BI88" i="5"/>
  <c r="BI83" i="5"/>
  <c r="BH67" i="5" a="1"/>
  <c r="BH67" i="5" s="1"/>
  <c r="BC25" i="4" a="1"/>
  <c r="BC25" i="4" s="1"/>
  <c r="BC28" i="4" a="1"/>
  <c r="BC28" i="4" s="1"/>
  <c r="BC22" i="4" a="1"/>
  <c r="BC22" i="4" s="1"/>
  <c r="BC21" i="4" a="1"/>
  <c r="BC21" i="4" s="1"/>
  <c r="BC29" i="4" a="1"/>
  <c r="BC29" i="4" s="1"/>
  <c r="BC24" i="4" a="1"/>
  <c r="BC24" i="4" s="1"/>
  <c r="BC30" i="4" a="1"/>
  <c r="BC30" i="4" s="1"/>
  <c r="BC23" i="4" a="1"/>
  <c r="BC23" i="4" s="1"/>
  <c r="BC27" i="4" a="1"/>
  <c r="BC27" i="4" s="1"/>
  <c r="BD24" i="4" a="1"/>
  <c r="BD24" i="4" s="1"/>
  <c r="BI55" i="5" a="1"/>
  <c r="BI55" i="5" s="1"/>
  <c r="BI53" i="5" a="1"/>
  <c r="BI53" i="5" s="1"/>
  <c r="BI48" i="5" a="1"/>
  <c r="BI48" i="5" s="1"/>
  <c r="BI54" i="5" a="1"/>
  <c r="BI54" i="5" s="1"/>
  <c r="BI51" i="5" a="1"/>
  <c r="BI51" i="5" s="1"/>
  <c r="BI50" i="5" a="1"/>
  <c r="BI50" i="5" s="1"/>
  <c r="BI46" i="5" a="1"/>
  <c r="BI46" i="5" s="1"/>
  <c r="BI52" i="5" a="1"/>
  <c r="BI52" i="5" s="1"/>
  <c r="BI49" i="5" a="1"/>
  <c r="BI49" i="5" s="1"/>
  <c r="BI47" i="5" a="1"/>
  <c r="BI47" i="5" s="1"/>
  <c r="BH63" i="5"/>
  <c r="BA36" i="4" s="1" a="1"/>
  <c r="BA36" i="4" s="1"/>
  <c r="BH64" i="5"/>
  <c r="BA37" i="4" s="1" a="1"/>
  <c r="BA37" i="4" s="1"/>
  <c r="BA46" i="4" s="1" a="1"/>
  <c r="BA46" i="4" s="1"/>
  <c r="BH62" i="5"/>
  <c r="BI34" i="5"/>
  <c r="BI37" i="5"/>
  <c r="BI32" i="5"/>
  <c r="BI35" i="5"/>
  <c r="BI33" i="5"/>
  <c r="BI30" i="5"/>
  <c r="BI38" i="5"/>
  <c r="BI29" i="5"/>
  <c r="BI36" i="5"/>
  <c r="BI31" i="5"/>
  <c r="BJ4" i="5"/>
  <c r="BJ6" i="5"/>
  <c r="BI8" i="5" l="1" a="1"/>
  <c r="BI8" i="5" s="1"/>
  <c r="BD28" i="7"/>
  <c r="BD31" i="7"/>
  <c r="BD26" i="7"/>
  <c r="BD27" i="7"/>
  <c r="BD29" i="7"/>
  <c r="BD33" i="7"/>
  <c r="BD30" i="7"/>
  <c r="BD32" i="7"/>
  <c r="BE30" i="4" s="1" a="1"/>
  <c r="BE30" i="4" s="1"/>
  <c r="BD23" i="7"/>
  <c r="BD24" i="7"/>
  <c r="BD25" i="7"/>
  <c r="BI61" i="5"/>
  <c r="BJ59" i="5" a="1"/>
  <c r="BJ59" i="5" s="1"/>
  <c r="BJ57" i="5" a="1"/>
  <c r="BJ57" i="5" s="1"/>
  <c r="BJ60" i="5" a="1"/>
  <c r="BJ60" i="5" s="1"/>
  <c r="BJ58" i="5" a="1"/>
  <c r="BJ58" i="5" s="1"/>
  <c r="BJ56" i="5" a="1"/>
  <c r="BJ56" i="5" s="1"/>
  <c r="BJ43" i="5"/>
  <c r="BJ42" i="5"/>
  <c r="BJ40" i="5"/>
  <c r="BJ41" i="5"/>
  <c r="BJ39" i="5"/>
  <c r="AZ43" i="4" a="1"/>
  <c r="AZ43" i="4" s="1"/>
  <c r="BH97" i="5"/>
  <c r="BA11" i="4" s="1" a="1"/>
  <c r="BA11" i="4" s="1"/>
  <c r="BA43" i="4" s="1" a="1"/>
  <c r="BA43" i="4" s="1"/>
  <c r="BB44" i="4" a="1"/>
  <c r="BB44" i="4" s="1"/>
  <c r="BA38" i="4"/>
  <c r="BA45" i="4" a="1"/>
  <c r="BA45" i="4" s="1"/>
  <c r="AZ17" i="4" a="1"/>
  <c r="AZ17" i="4" s="1"/>
  <c r="AZ18" i="4" s="1"/>
  <c r="AZ33" i="4" s="1"/>
  <c r="AZ40" i="4" s="1"/>
  <c r="BC31" i="4"/>
  <c r="BE13" i="4"/>
  <c r="BE6" i="4"/>
  <c r="BD21" i="7" s="1"/>
  <c r="BE4" i="4"/>
  <c r="BE15" i="4" s="1"/>
  <c r="BF5" i="4"/>
  <c r="BE22" i="7" s="1"/>
  <c r="BI66" i="5"/>
  <c r="BJ90" i="5"/>
  <c r="BJ89" i="5"/>
  <c r="BJ86" i="5"/>
  <c r="BJ94" i="5"/>
  <c r="BJ95" i="5"/>
  <c r="BJ87" i="5"/>
  <c r="BJ96" i="5"/>
  <c r="BJ85" i="5"/>
  <c r="BJ84" i="5"/>
  <c r="BJ92" i="5"/>
  <c r="BJ93" i="5"/>
  <c r="BJ91" i="5"/>
  <c r="BJ88" i="5"/>
  <c r="BJ82" i="5"/>
  <c r="BJ83" i="5"/>
  <c r="BI67" i="5" a="1"/>
  <c r="BI67" i="5" s="1"/>
  <c r="BD28" i="4" a="1"/>
  <c r="BD28" i="4" s="1"/>
  <c r="BD30" i="4" a="1"/>
  <c r="BD30" i="4" s="1"/>
  <c r="BD27" i="4" a="1"/>
  <c r="BD27" i="4" s="1"/>
  <c r="BD22" i="4" a="1"/>
  <c r="BD22" i="4" s="1"/>
  <c r="BD23" i="4" a="1"/>
  <c r="BD23" i="4" s="1"/>
  <c r="BD26" i="4" a="1"/>
  <c r="BD26" i="4" s="1"/>
  <c r="BD25" i="4" a="1"/>
  <c r="BD25" i="4" s="1"/>
  <c r="BD21" i="4" a="1"/>
  <c r="BD21" i="4" s="1"/>
  <c r="BD29" i="4" a="1"/>
  <c r="BD29" i="4" s="1"/>
  <c r="BJ55" i="5" a="1"/>
  <c r="BJ55" i="5" s="1"/>
  <c r="BJ54" i="5" a="1"/>
  <c r="BJ54" i="5" s="1"/>
  <c r="BJ51" i="5" a="1"/>
  <c r="BJ51" i="5" s="1"/>
  <c r="BJ52" i="5" a="1"/>
  <c r="BJ52" i="5" s="1"/>
  <c r="BJ50" i="5" a="1"/>
  <c r="BJ50" i="5" s="1"/>
  <c r="BJ49" i="5" a="1"/>
  <c r="BJ49" i="5" s="1"/>
  <c r="BJ53" i="5" a="1"/>
  <c r="BJ53" i="5" s="1"/>
  <c r="BJ47" i="5" a="1"/>
  <c r="BJ47" i="5" s="1"/>
  <c r="BJ48" i="5" a="1"/>
  <c r="BJ48" i="5" s="1"/>
  <c r="BJ46" i="5" a="1"/>
  <c r="BJ46" i="5" s="1"/>
  <c r="BI62" i="5"/>
  <c r="BI63" i="5"/>
  <c r="BB36" i="4" s="1" a="1"/>
  <c r="BB36" i="4" s="1"/>
  <c r="BI64" i="5"/>
  <c r="BB37" i="4" s="1" a="1"/>
  <c r="BB37" i="4" s="1"/>
  <c r="BB46" i="4" s="1" a="1"/>
  <c r="BB46" i="4" s="1"/>
  <c r="BJ37" i="5"/>
  <c r="BJ35" i="5"/>
  <c r="BJ33" i="5"/>
  <c r="BJ30" i="5"/>
  <c r="BJ38" i="5"/>
  <c r="BJ34" i="5"/>
  <c r="BJ32" i="5"/>
  <c r="BJ31" i="5"/>
  <c r="BJ29" i="5"/>
  <c r="BJ36" i="5"/>
  <c r="BK4" i="5"/>
  <c r="BK6" i="5"/>
  <c r="BJ8" i="5" l="1" a="1"/>
  <c r="BJ8" i="5" s="1"/>
  <c r="BE25" i="7"/>
  <c r="BE28" i="7"/>
  <c r="BE24" i="7"/>
  <c r="BE26" i="7"/>
  <c r="BF24" i="4" s="1" a="1"/>
  <c r="BF24" i="4" s="1"/>
  <c r="BE29" i="7"/>
  <c r="BE33" i="7"/>
  <c r="BE27" i="7"/>
  <c r="BE31" i="7"/>
  <c r="BE30" i="7"/>
  <c r="BE32" i="7"/>
  <c r="BE23" i="7"/>
  <c r="BJ61" i="5"/>
  <c r="BK60" i="5" a="1"/>
  <c r="BK60" i="5" s="1"/>
  <c r="BK57" i="5" a="1"/>
  <c r="BK57" i="5" s="1"/>
  <c r="BK58" i="5" a="1"/>
  <c r="BK58" i="5" s="1"/>
  <c r="BK42" i="5"/>
  <c r="BK59" i="5" a="1"/>
  <c r="BK59" i="5" s="1"/>
  <c r="BK40" i="5"/>
  <c r="BK43" i="5"/>
  <c r="BK41" i="5"/>
  <c r="BK56" i="5" a="1"/>
  <c r="BK56" i="5" s="1"/>
  <c r="BK39" i="5"/>
  <c r="BI97" i="5"/>
  <c r="BB11" i="4" s="1" a="1"/>
  <c r="BB11" i="4" s="1"/>
  <c r="BB43" i="4" s="1" a="1"/>
  <c r="BB43" i="4" s="1"/>
  <c r="BA12" i="4" a="1"/>
  <c r="BA12" i="4" s="1"/>
  <c r="BA14" i="4" s="1"/>
  <c r="BA16" i="4" s="1"/>
  <c r="BA17" i="4" s="1" a="1"/>
  <c r="BA17" i="4" s="1"/>
  <c r="BA18" i="4" s="1"/>
  <c r="BA33" i="4" s="1"/>
  <c r="BA40" i="4" s="1"/>
  <c r="BC44" i="4" a="1"/>
  <c r="BC44" i="4" s="1"/>
  <c r="BB38" i="4"/>
  <c r="BB45" i="4" a="1"/>
  <c r="BB45" i="4" s="1"/>
  <c r="BD31" i="4"/>
  <c r="BG5" i="4"/>
  <c r="BF22" i="7" s="1"/>
  <c r="BF6" i="4"/>
  <c r="BE21" i="7" s="1"/>
  <c r="BF13" i="4"/>
  <c r="BF4" i="4"/>
  <c r="BF15" i="4" s="1"/>
  <c r="BJ66" i="5"/>
  <c r="BK96" i="5"/>
  <c r="BK94" i="5"/>
  <c r="BK92" i="5"/>
  <c r="BK90" i="5"/>
  <c r="BK88" i="5"/>
  <c r="BK95" i="5"/>
  <c r="BK93" i="5"/>
  <c r="BK91" i="5"/>
  <c r="BK89" i="5"/>
  <c r="BK86" i="5"/>
  <c r="BK84" i="5"/>
  <c r="BK87" i="5"/>
  <c r="BK83" i="5"/>
  <c r="BK85" i="5"/>
  <c r="BK82" i="5"/>
  <c r="BJ67" i="5" a="1"/>
  <c r="BJ67" i="5" s="1"/>
  <c r="BE23" i="4" a="1"/>
  <c r="BE23" i="4" s="1"/>
  <c r="BE29" i="4" a="1"/>
  <c r="BE29" i="4" s="1"/>
  <c r="BE24" i="4" a="1"/>
  <c r="BE24" i="4" s="1"/>
  <c r="BE21" i="4" a="1"/>
  <c r="BE21" i="4" s="1"/>
  <c r="BE26" i="4" a="1"/>
  <c r="BE26" i="4" s="1"/>
  <c r="BE25" i="4" a="1"/>
  <c r="BE25" i="4" s="1"/>
  <c r="BE27" i="4" a="1"/>
  <c r="BE27" i="4" s="1"/>
  <c r="BE28" i="4" a="1"/>
  <c r="BE28" i="4" s="1"/>
  <c r="BE22" i="4" a="1"/>
  <c r="BE22" i="4" s="1"/>
  <c r="BK54" i="5" a="1"/>
  <c r="BK54" i="5" s="1"/>
  <c r="BK50" i="5" a="1"/>
  <c r="BK50" i="5" s="1"/>
  <c r="BK49" i="5" a="1"/>
  <c r="BK49" i="5" s="1"/>
  <c r="BK53" i="5" a="1"/>
  <c r="BK53" i="5" s="1"/>
  <c r="BK52" i="5" a="1"/>
  <c r="BK52" i="5" s="1"/>
  <c r="BK48" i="5" a="1"/>
  <c r="BK48" i="5" s="1"/>
  <c r="BK51" i="5" a="1"/>
  <c r="BK51" i="5" s="1"/>
  <c r="BK47" i="5" a="1"/>
  <c r="BK47" i="5" s="1"/>
  <c r="BK46" i="5" a="1"/>
  <c r="BK46" i="5" s="1"/>
  <c r="BK55" i="5" a="1"/>
  <c r="BK55" i="5" s="1"/>
  <c r="BJ63" i="5"/>
  <c r="BC36" i="4" s="1" a="1"/>
  <c r="BC36" i="4" s="1"/>
  <c r="BJ64" i="5"/>
  <c r="BC37" i="4" s="1" a="1"/>
  <c r="BC37" i="4" s="1"/>
  <c r="BC46" i="4" s="1" a="1"/>
  <c r="BC46" i="4" s="1"/>
  <c r="BJ62" i="5"/>
  <c r="BK37" i="5"/>
  <c r="BK35" i="5"/>
  <c r="BK33" i="5"/>
  <c r="BK30" i="5"/>
  <c r="BK36" i="5"/>
  <c r="BK32" i="5"/>
  <c r="BK38" i="5"/>
  <c r="BK31" i="5"/>
  <c r="BK29" i="5"/>
  <c r="BK34" i="5"/>
  <c r="BL4" i="5"/>
  <c r="BL6" i="5"/>
  <c r="BB12" i="4" l="1" a="1"/>
  <c r="BB12" i="4" s="1"/>
  <c r="BB14" i="4" s="1"/>
  <c r="BB16" i="4" s="1"/>
  <c r="BK8" i="5" a="1"/>
  <c r="BK8" i="5" s="1"/>
  <c r="BF30" i="7"/>
  <c r="BF25" i="7"/>
  <c r="BF28" i="7"/>
  <c r="BF29" i="7"/>
  <c r="BF32" i="7"/>
  <c r="BF23" i="7"/>
  <c r="BF26" i="7"/>
  <c r="BF24" i="7"/>
  <c r="BF27" i="7"/>
  <c r="BF31" i="7"/>
  <c r="BF33" i="7"/>
  <c r="BK61" i="5"/>
  <c r="BL42" i="5"/>
  <c r="BL58" i="5" a="1"/>
  <c r="BL58" i="5" s="1"/>
  <c r="BL40" i="5"/>
  <c r="BL60" i="5" a="1"/>
  <c r="BL60" i="5" s="1"/>
  <c r="BL43" i="5"/>
  <c r="BL41" i="5"/>
  <c r="BL57" i="5" a="1"/>
  <c r="BL57" i="5" s="1"/>
  <c r="BL59" i="5" a="1"/>
  <c r="BL59" i="5" s="1"/>
  <c r="BL56" i="5" a="1"/>
  <c r="BL56" i="5" s="1"/>
  <c r="BL39" i="5"/>
  <c r="BJ97" i="5"/>
  <c r="BC11" i="4" s="1" a="1"/>
  <c r="BC11" i="4" s="1"/>
  <c r="BC43" i="4" s="1" a="1"/>
  <c r="BC43" i="4" s="1"/>
  <c r="BC38" i="4"/>
  <c r="BC45" i="4" a="1"/>
  <c r="BC45" i="4" s="1"/>
  <c r="BD44" i="4" a="1"/>
  <c r="BD44" i="4" s="1"/>
  <c r="BE31" i="4"/>
  <c r="BB17" i="4" a="1"/>
  <c r="BB17" i="4" s="1"/>
  <c r="BB18" i="4" s="1"/>
  <c r="BB33" i="4" s="1"/>
  <c r="BB40" i="4" s="1"/>
  <c r="BG4" i="4"/>
  <c r="BG15" i="4" s="1"/>
  <c r="BH5" i="4"/>
  <c r="BG22" i="7" s="1"/>
  <c r="BG6" i="4"/>
  <c r="BF21" i="7" s="1"/>
  <c r="BG13" i="4"/>
  <c r="BK66" i="5"/>
  <c r="BL96" i="5"/>
  <c r="BL94" i="5"/>
  <c r="BL92" i="5"/>
  <c r="BL90" i="5"/>
  <c r="BL86" i="5"/>
  <c r="BL84" i="5"/>
  <c r="BL95" i="5"/>
  <c r="BL93" i="5"/>
  <c r="BL91" i="5"/>
  <c r="BL85" i="5"/>
  <c r="BL89" i="5"/>
  <c r="BL83" i="5"/>
  <c r="BL88" i="5"/>
  <c r="BL82" i="5"/>
  <c r="BL87" i="5"/>
  <c r="BK67" i="5" a="1"/>
  <c r="BK67" i="5" s="1"/>
  <c r="BF26" i="4" a="1"/>
  <c r="BF26" i="4" s="1"/>
  <c r="BF25" i="4" a="1"/>
  <c r="BF25" i="4" s="1"/>
  <c r="BF23" i="4" a="1"/>
  <c r="BF23" i="4" s="1"/>
  <c r="BF28" i="4" a="1"/>
  <c r="BF28" i="4" s="1"/>
  <c r="BF27" i="4" a="1"/>
  <c r="BF27" i="4" s="1"/>
  <c r="BF30" i="4" a="1"/>
  <c r="BF30" i="4" s="1"/>
  <c r="BF22" i="4" a="1"/>
  <c r="BF22" i="4" s="1"/>
  <c r="BF29" i="4" a="1"/>
  <c r="BF29" i="4" s="1"/>
  <c r="BF21" i="4" a="1"/>
  <c r="BF21" i="4" s="1"/>
  <c r="BG29" i="4" a="1"/>
  <c r="BG29" i="4" s="1"/>
  <c r="BL54" i="5" a="1"/>
  <c r="BL54" i="5" s="1"/>
  <c r="BL49" i="5" a="1"/>
  <c r="BL49" i="5" s="1"/>
  <c r="BL53" i="5" a="1"/>
  <c r="BL53" i="5" s="1"/>
  <c r="BL52" i="5" a="1"/>
  <c r="BL52" i="5" s="1"/>
  <c r="BL55" i="5" a="1"/>
  <c r="BL55" i="5" s="1"/>
  <c r="BL51" i="5" a="1"/>
  <c r="BL51" i="5" s="1"/>
  <c r="BL47" i="5" a="1"/>
  <c r="BL47" i="5" s="1"/>
  <c r="BL46" i="5" a="1"/>
  <c r="BL46" i="5" s="1"/>
  <c r="BL48" i="5" a="1"/>
  <c r="BL48" i="5" s="1"/>
  <c r="BL50" i="5" a="1"/>
  <c r="BL50" i="5" s="1"/>
  <c r="BK63" i="5"/>
  <c r="BD36" i="4" s="1" a="1"/>
  <c r="BD36" i="4" s="1"/>
  <c r="BK62" i="5"/>
  <c r="BK64" i="5"/>
  <c r="BD37" i="4" s="1" a="1"/>
  <c r="BD37" i="4" s="1"/>
  <c r="BD46" i="4" s="1" a="1"/>
  <c r="BD46" i="4" s="1"/>
  <c r="BL35" i="5"/>
  <c r="BL38" i="5"/>
  <c r="BL36" i="5"/>
  <c r="BL31" i="5"/>
  <c r="BL33" i="5"/>
  <c r="BL30" i="5"/>
  <c r="BL29" i="5"/>
  <c r="BL34" i="5"/>
  <c r="BL32" i="5"/>
  <c r="BL37" i="5"/>
  <c r="BM4" i="5"/>
  <c r="BM6" i="5"/>
  <c r="BL8" i="5" l="1" a="1"/>
  <c r="BL8" i="5" s="1"/>
  <c r="BG27" i="7"/>
  <c r="BG30" i="7"/>
  <c r="BG25" i="7"/>
  <c r="BG26" i="7"/>
  <c r="BG31" i="7"/>
  <c r="BG32" i="7"/>
  <c r="BG23" i="7"/>
  <c r="BG29" i="7"/>
  <c r="BG28" i="7"/>
  <c r="BG33" i="7"/>
  <c r="BG24" i="7"/>
  <c r="BL61" i="5"/>
  <c r="BM42" i="5"/>
  <c r="BM60" i="5" a="1"/>
  <c r="BM60" i="5" s="1"/>
  <c r="BM43" i="5"/>
  <c r="BM41" i="5"/>
  <c r="BM58" i="5" a="1"/>
  <c r="BM58" i="5" s="1"/>
  <c r="BM59" i="5" a="1"/>
  <c r="BM59" i="5" s="1"/>
  <c r="BM56" i="5" a="1"/>
  <c r="BM56" i="5" s="1"/>
  <c r="BM57" i="5" a="1"/>
  <c r="BM57" i="5" s="1"/>
  <c r="BM39" i="5"/>
  <c r="BM40" i="5"/>
  <c r="BK97" i="5"/>
  <c r="BD11" i="4" s="1" a="1"/>
  <c r="BD11" i="4" s="1"/>
  <c r="BD43" i="4" s="1" a="1"/>
  <c r="BD43" i="4" s="1"/>
  <c r="BC12" i="4" a="1"/>
  <c r="BC12" i="4" s="1"/>
  <c r="BC14" i="4" s="1"/>
  <c r="BC16" i="4" s="1"/>
  <c r="BC17" i="4" s="1" a="1"/>
  <c r="BC17" i="4" s="1"/>
  <c r="BC18" i="4" s="1"/>
  <c r="BC33" i="4" s="1"/>
  <c r="BC40" i="4" s="1"/>
  <c r="BE44" i="4" a="1"/>
  <c r="BE44" i="4" s="1"/>
  <c r="BD38" i="4"/>
  <c r="BD45" i="4" a="1"/>
  <c r="BD45" i="4" s="1"/>
  <c r="BF31" i="4"/>
  <c r="BH6" i="4"/>
  <c r="BG21" i="7" s="1"/>
  <c r="BI5" i="4"/>
  <c r="BH22" i="7" s="1"/>
  <c r="BH4" i="4"/>
  <c r="BH15" i="4" s="1"/>
  <c r="BH13" i="4"/>
  <c r="BL66" i="5"/>
  <c r="BM96" i="5"/>
  <c r="BM94" i="5"/>
  <c r="BM92" i="5"/>
  <c r="BM90" i="5"/>
  <c r="BM88" i="5"/>
  <c r="BM89" i="5"/>
  <c r="BM95" i="5"/>
  <c r="BM86" i="5"/>
  <c r="BM84" i="5"/>
  <c r="BM83" i="5"/>
  <c r="BM91" i="5"/>
  <c r="BM93" i="5"/>
  <c r="BM87" i="5"/>
  <c r="BM85" i="5"/>
  <c r="BM82" i="5"/>
  <c r="BL67" i="5" a="1"/>
  <c r="BL67" i="5" s="1"/>
  <c r="BG24" i="4" a="1"/>
  <c r="BG24" i="4" s="1"/>
  <c r="BG23" i="4" a="1"/>
  <c r="BG23" i="4" s="1"/>
  <c r="BG25" i="4" a="1"/>
  <c r="BG25" i="4" s="1"/>
  <c r="BG28" i="4" a="1"/>
  <c r="BG28" i="4" s="1"/>
  <c r="BG27" i="4" a="1"/>
  <c r="BG27" i="4" s="1"/>
  <c r="BG22" i="4" a="1"/>
  <c r="BG22" i="4" s="1"/>
  <c r="BG30" i="4" a="1"/>
  <c r="BG30" i="4" s="1"/>
  <c r="BG26" i="4" a="1"/>
  <c r="BG26" i="4" s="1"/>
  <c r="BG21" i="4" a="1"/>
  <c r="BG21" i="4" s="1"/>
  <c r="BH28" i="4" a="1"/>
  <c r="BH28" i="4" s="1"/>
  <c r="BM53" i="5" a="1"/>
  <c r="BM53" i="5" s="1"/>
  <c r="BM55" i="5" a="1"/>
  <c r="BM55" i="5" s="1"/>
  <c r="BM52" i="5" a="1"/>
  <c r="BM52" i="5" s="1"/>
  <c r="BM48" i="5" a="1"/>
  <c r="BM48" i="5" s="1"/>
  <c r="BM51" i="5" a="1"/>
  <c r="BM51" i="5" s="1"/>
  <c r="BM47" i="5" a="1"/>
  <c r="BM47" i="5" s="1"/>
  <c r="BM46" i="5" a="1"/>
  <c r="BM46" i="5" s="1"/>
  <c r="BM50" i="5" a="1"/>
  <c r="BM50" i="5" s="1"/>
  <c r="BM49" i="5" a="1"/>
  <c r="BM49" i="5" s="1"/>
  <c r="BM54" i="5" a="1"/>
  <c r="BM54" i="5" s="1"/>
  <c r="BL62" i="5"/>
  <c r="BL63" i="5"/>
  <c r="BE36" i="4" s="1" a="1"/>
  <c r="BE36" i="4" s="1"/>
  <c r="BL64" i="5"/>
  <c r="BE37" i="4" s="1" a="1"/>
  <c r="BE37" i="4" s="1"/>
  <c r="BE46" i="4" s="1" a="1"/>
  <c r="BE46" i="4" s="1"/>
  <c r="BM35" i="5"/>
  <c r="BM38" i="5"/>
  <c r="BM36" i="5"/>
  <c r="BM31" i="5"/>
  <c r="BM33" i="5"/>
  <c r="BM30" i="5"/>
  <c r="BM29" i="5"/>
  <c r="BM32" i="5"/>
  <c r="BM34" i="5"/>
  <c r="BM37" i="5"/>
  <c r="BN4" i="5"/>
  <c r="BN6" i="5"/>
  <c r="BM8" i="5" l="1" a="1"/>
  <c r="BM8" i="5" s="1"/>
  <c r="BH24" i="7"/>
  <c r="BH27" i="7"/>
  <c r="BH31" i="7"/>
  <c r="BH26" i="7"/>
  <c r="BH32" i="7"/>
  <c r="BI30" i="4" s="1" a="1"/>
  <c r="BI30" i="4" s="1"/>
  <c r="BH23" i="7"/>
  <c r="BH28" i="7"/>
  <c r="BH33" i="7"/>
  <c r="BH25" i="7"/>
  <c r="BH30" i="7"/>
  <c r="BH29" i="7"/>
  <c r="BM61" i="5"/>
  <c r="BN56" i="5" a="1"/>
  <c r="BN56" i="5" s="1"/>
  <c r="BN42" i="5"/>
  <c r="BN58" i="5" a="1"/>
  <c r="BN58" i="5" s="1"/>
  <c r="BN59" i="5" a="1"/>
  <c r="BN59" i="5" s="1"/>
  <c r="BN39" i="5"/>
  <c r="BN43" i="5"/>
  <c r="BN60" i="5" a="1"/>
  <c r="BN60" i="5" s="1"/>
  <c r="BN41" i="5"/>
  <c r="BN40" i="5"/>
  <c r="BN57" i="5" a="1"/>
  <c r="BN57" i="5" s="1"/>
  <c r="BD12" i="4" a="1"/>
  <c r="BD12" i="4" s="1"/>
  <c r="BD14" i="4" s="1"/>
  <c r="BD16" i="4" s="1"/>
  <c r="BD17" i="4" s="1" a="1"/>
  <c r="BD17" i="4" s="1"/>
  <c r="BD18" i="4" s="1"/>
  <c r="BD33" i="4" s="1"/>
  <c r="BD40" i="4" s="1"/>
  <c r="BL97" i="5"/>
  <c r="BE11" i="4" s="1" a="1"/>
  <c r="BE11" i="4" s="1"/>
  <c r="BE43" i="4" s="1" a="1"/>
  <c r="BE43" i="4" s="1"/>
  <c r="BF44" i="4" a="1"/>
  <c r="BF44" i="4" s="1"/>
  <c r="BE38" i="4"/>
  <c r="BE45" i="4" a="1"/>
  <c r="BE45" i="4" s="1"/>
  <c r="BG31" i="4"/>
  <c r="BI4" i="4"/>
  <c r="BI15" i="4" s="1"/>
  <c r="BI13" i="4"/>
  <c r="BJ5" i="4"/>
  <c r="BI22" i="7" s="1"/>
  <c r="BI6" i="4"/>
  <c r="BH21" i="7" s="1"/>
  <c r="BM66" i="5"/>
  <c r="BN88" i="5"/>
  <c r="BN85" i="5"/>
  <c r="BN96" i="5"/>
  <c r="BN94" i="5"/>
  <c r="BN92" i="5"/>
  <c r="BN86" i="5"/>
  <c r="BN84" i="5"/>
  <c r="BN83" i="5"/>
  <c r="BN82" i="5"/>
  <c r="BN89" i="5"/>
  <c r="BN91" i="5"/>
  <c r="BN90" i="5"/>
  <c r="BN95" i="5"/>
  <c r="BN93" i="5"/>
  <c r="BN87" i="5"/>
  <c r="BM67" i="5" a="1"/>
  <c r="BM67" i="5" s="1"/>
  <c r="BM97" i="5" s="1"/>
  <c r="BF11" i="4" s="1" a="1"/>
  <c r="BF11" i="4" s="1"/>
  <c r="BH27" i="4" a="1"/>
  <c r="BH27" i="4" s="1"/>
  <c r="BH23" i="4" a="1"/>
  <c r="BH23" i="4" s="1"/>
  <c r="BH26" i="4" a="1"/>
  <c r="BH26" i="4" s="1"/>
  <c r="BH25" i="4" a="1"/>
  <c r="BH25" i="4" s="1"/>
  <c r="BH22" i="4" a="1"/>
  <c r="BH22" i="4" s="1"/>
  <c r="BH30" i="4" a="1"/>
  <c r="BH30" i="4" s="1"/>
  <c r="BH21" i="4" a="1"/>
  <c r="BH21" i="4" s="1"/>
  <c r="BH29" i="4" a="1"/>
  <c r="BH29" i="4" s="1"/>
  <c r="BH24" i="4" a="1"/>
  <c r="BH24" i="4" s="1"/>
  <c r="BN55" i="5" a="1"/>
  <c r="BN55" i="5" s="1"/>
  <c r="BN53" i="5" a="1"/>
  <c r="BN53" i="5" s="1"/>
  <c r="BN51" i="5" a="1"/>
  <c r="BN51" i="5" s="1"/>
  <c r="BN54" i="5" a="1"/>
  <c r="BN54" i="5" s="1"/>
  <c r="BN50" i="5" a="1"/>
  <c r="BN50" i="5" s="1"/>
  <c r="BN49" i="5" a="1"/>
  <c r="BN49" i="5" s="1"/>
  <c r="BN47" i="5" a="1"/>
  <c r="BN47" i="5" s="1"/>
  <c r="BN48" i="5" a="1"/>
  <c r="BN48" i="5" s="1"/>
  <c r="BN52" i="5" a="1"/>
  <c r="BN52" i="5" s="1"/>
  <c r="BN46" i="5" a="1"/>
  <c r="BN46" i="5" s="1"/>
  <c r="BM62" i="5"/>
  <c r="BM64" i="5"/>
  <c r="BF37" i="4" s="1" a="1"/>
  <c r="BF37" i="4" s="1"/>
  <c r="BF46" i="4" s="1" a="1"/>
  <c r="BF46" i="4" s="1"/>
  <c r="BM63" i="5"/>
  <c r="BF36" i="4" s="1" a="1"/>
  <c r="BF36" i="4" s="1"/>
  <c r="BN38" i="5"/>
  <c r="BN33" i="5"/>
  <c r="BN36" i="5"/>
  <c r="BN31" i="5"/>
  <c r="BN37" i="5"/>
  <c r="BN34" i="5"/>
  <c r="BN29" i="5"/>
  <c r="BN35" i="5"/>
  <c r="BN30" i="5"/>
  <c r="BN32" i="5"/>
  <c r="BO4" i="5"/>
  <c r="BO6" i="5"/>
  <c r="BN8" i="5" l="1" a="1"/>
  <c r="BN8" i="5" s="1"/>
  <c r="BI29" i="7"/>
  <c r="BI24" i="7"/>
  <c r="BI27" i="7"/>
  <c r="BI28" i="7"/>
  <c r="BI31" i="7"/>
  <c r="BI33" i="7"/>
  <c r="BI30" i="7"/>
  <c r="BI32" i="7"/>
  <c r="BI23" i="7"/>
  <c r="BI26" i="7"/>
  <c r="BI25" i="7"/>
  <c r="BJ23" i="4" s="1" a="1"/>
  <c r="BJ23" i="4" s="1"/>
  <c r="BN61" i="5"/>
  <c r="BO56" i="5" a="1"/>
  <c r="BO56" i="5" s="1"/>
  <c r="BO59" i="5" a="1"/>
  <c r="BO59" i="5" s="1"/>
  <c r="BO57" i="5" a="1"/>
  <c r="BO57" i="5" s="1"/>
  <c r="BO43" i="5"/>
  <c r="BO41" i="5"/>
  <c r="BO42" i="5"/>
  <c r="BO39" i="5"/>
  <c r="BO40" i="5"/>
  <c r="BO60" i="5" a="1"/>
  <c r="BO60" i="5" s="1"/>
  <c r="BO58" i="5" a="1"/>
  <c r="BO58" i="5" s="1"/>
  <c r="BE12" i="4" a="1"/>
  <c r="BE12" i="4" s="1"/>
  <c r="BE14" i="4" s="1"/>
  <c r="BE16" i="4" s="1"/>
  <c r="BE17" i="4" s="1" a="1"/>
  <c r="BE17" i="4" s="1"/>
  <c r="BE18" i="4" s="1"/>
  <c r="BE33" i="4" s="1"/>
  <c r="BE40" i="4" s="1"/>
  <c r="BG44" i="4" a="1"/>
  <c r="BG44" i="4" s="1"/>
  <c r="BF43" i="4" a="1"/>
  <c r="BF43" i="4" s="1"/>
  <c r="BF38" i="4"/>
  <c r="BF45" i="4" a="1"/>
  <c r="BF45" i="4" s="1"/>
  <c r="BH31" i="4"/>
  <c r="BJ13" i="4"/>
  <c r="BJ4" i="4"/>
  <c r="BJ15" i="4" s="1"/>
  <c r="BJ6" i="4"/>
  <c r="BI21" i="7" s="1"/>
  <c r="BK5" i="4"/>
  <c r="BJ22" i="7" s="1"/>
  <c r="BF12" i="4" a="1"/>
  <c r="BF12" i="4" s="1"/>
  <c r="BF14" i="4" s="1"/>
  <c r="BF16" i="4" s="1"/>
  <c r="BN66" i="5"/>
  <c r="BO95" i="5"/>
  <c r="BO93" i="5"/>
  <c r="BO91" i="5"/>
  <c r="BO89" i="5"/>
  <c r="BO87" i="5"/>
  <c r="BO96" i="5"/>
  <c r="BO94" i="5"/>
  <c r="BO92" i="5"/>
  <c r="BO88" i="5"/>
  <c r="BO85" i="5"/>
  <c r="BO90" i="5"/>
  <c r="BO82" i="5"/>
  <c r="BO86" i="5"/>
  <c r="BO84" i="5"/>
  <c r="BO83" i="5"/>
  <c r="BN67" i="5" a="1"/>
  <c r="BN67" i="5" s="1"/>
  <c r="BI21" i="4" a="1"/>
  <c r="BI21" i="4" s="1"/>
  <c r="BI24" i="4" a="1"/>
  <c r="BI24" i="4" s="1"/>
  <c r="BI23" i="4" a="1"/>
  <c r="BI23" i="4" s="1"/>
  <c r="BI27" i="4" a="1"/>
  <c r="BI27" i="4" s="1"/>
  <c r="BI22" i="4" a="1"/>
  <c r="BI22" i="4" s="1"/>
  <c r="BI29" i="4" a="1"/>
  <c r="BI29" i="4" s="1"/>
  <c r="BI26" i="4" a="1"/>
  <c r="BI26" i="4" s="1"/>
  <c r="BI25" i="4" a="1"/>
  <c r="BI25" i="4" s="1"/>
  <c r="BI28" i="4" a="1"/>
  <c r="BI28" i="4" s="1"/>
  <c r="BO55" i="5" a="1"/>
  <c r="BO55" i="5" s="1"/>
  <c r="BO54" i="5" a="1"/>
  <c r="BO54" i="5" s="1"/>
  <c r="BO50" i="5" a="1"/>
  <c r="BO50" i="5" s="1"/>
  <c r="BO49" i="5" a="1"/>
  <c r="BO49" i="5" s="1"/>
  <c r="BO47" i="5" a="1"/>
  <c r="BO47" i="5" s="1"/>
  <c r="BO48" i="5" a="1"/>
  <c r="BO48" i="5" s="1"/>
  <c r="BO52" i="5" a="1"/>
  <c r="BO52" i="5" s="1"/>
  <c r="BO51" i="5" a="1"/>
  <c r="BO51" i="5" s="1"/>
  <c r="BO46" i="5" a="1"/>
  <c r="BO46" i="5" s="1"/>
  <c r="BO53" i="5" a="1"/>
  <c r="BO53" i="5" s="1"/>
  <c r="BN62" i="5"/>
  <c r="BN63" i="5"/>
  <c r="BG36" i="4" s="1" a="1"/>
  <c r="BG36" i="4" s="1"/>
  <c r="BN64" i="5"/>
  <c r="BG37" i="4" s="1" a="1"/>
  <c r="BG37" i="4" s="1"/>
  <c r="BG46" i="4" s="1" a="1"/>
  <c r="BG46" i="4" s="1"/>
  <c r="BO36" i="5"/>
  <c r="BO37" i="5"/>
  <c r="BO34" i="5"/>
  <c r="BO29" i="5"/>
  <c r="BO32" i="5"/>
  <c r="BO35" i="5"/>
  <c r="BO31" i="5"/>
  <c r="BO38" i="5"/>
  <c r="BO30" i="5"/>
  <c r="BO33" i="5"/>
  <c r="BP4" i="5"/>
  <c r="BP6" i="5"/>
  <c r="BO8" i="5" l="1" a="1"/>
  <c r="BO8" i="5" s="1"/>
  <c r="BJ26" i="7"/>
  <c r="BJ29" i="7"/>
  <c r="BJ24" i="7"/>
  <c r="BJ25" i="7"/>
  <c r="BJ27" i="7"/>
  <c r="BJ28" i="7"/>
  <c r="BJ30" i="7"/>
  <c r="BK28" i="4" s="1" a="1"/>
  <c r="BK28" i="4" s="1"/>
  <c r="BJ31" i="7"/>
  <c r="BJ33" i="7"/>
  <c r="BJ32" i="7"/>
  <c r="BJ23" i="7"/>
  <c r="BO61" i="5"/>
  <c r="BP60" i="5" a="1"/>
  <c r="BP60" i="5" s="1"/>
  <c r="BP59" i="5" a="1"/>
  <c r="BP59" i="5" s="1"/>
  <c r="BP57" i="5" a="1"/>
  <c r="BP57" i="5" s="1"/>
  <c r="BP43" i="5"/>
  <c r="BP41" i="5"/>
  <c r="BP56" i="5" a="1"/>
  <c r="BP56" i="5" s="1"/>
  <c r="BP42" i="5"/>
  <c r="BP39" i="5"/>
  <c r="BP40" i="5"/>
  <c r="BP58" i="5" a="1"/>
  <c r="BP58" i="5" s="1"/>
  <c r="BN97" i="5"/>
  <c r="BG11" i="4" s="1" a="1"/>
  <c r="BG11" i="4" s="1"/>
  <c r="BG43" i="4" s="1" a="1"/>
  <c r="BG43" i="4" s="1"/>
  <c r="BH44" i="4" a="1"/>
  <c r="BH44" i="4" s="1"/>
  <c r="BG45" i="4" a="1"/>
  <c r="BG45" i="4" s="1"/>
  <c r="BG38" i="4"/>
  <c r="BI31" i="4"/>
  <c r="BF17" i="4" a="1"/>
  <c r="BF17" i="4" s="1"/>
  <c r="BF18" i="4" s="1"/>
  <c r="BF33" i="4" s="1"/>
  <c r="BF40" i="4" s="1"/>
  <c r="BK4" i="4"/>
  <c r="BK15" i="4" s="1"/>
  <c r="BL5" i="4"/>
  <c r="BK22" i="7" s="1"/>
  <c r="BK13" i="4"/>
  <c r="BK6" i="4"/>
  <c r="BJ21" i="7" s="1"/>
  <c r="BO66" i="5"/>
  <c r="BP95" i="5"/>
  <c r="BP93" i="5"/>
  <c r="BP91" i="5"/>
  <c r="BP85" i="5"/>
  <c r="BP83" i="5"/>
  <c r="BP87" i="5"/>
  <c r="BP89" i="5"/>
  <c r="BP88" i="5"/>
  <c r="BP96" i="5"/>
  <c r="BP82" i="5"/>
  <c r="BP90" i="5"/>
  <c r="BP86" i="5"/>
  <c r="BP84" i="5"/>
  <c r="BP94" i="5"/>
  <c r="BP92" i="5"/>
  <c r="BO67" i="5" a="1"/>
  <c r="BO67" i="5" s="1"/>
  <c r="BJ25" i="4" a="1"/>
  <c r="BJ25" i="4" s="1"/>
  <c r="BJ26" i="4" a="1"/>
  <c r="BJ26" i="4" s="1"/>
  <c r="BJ22" i="4" a="1"/>
  <c r="BJ22" i="4" s="1"/>
  <c r="BJ30" i="4" a="1"/>
  <c r="BJ30" i="4" s="1"/>
  <c r="BJ27" i="4" a="1"/>
  <c r="BJ27" i="4" s="1"/>
  <c r="BJ21" i="4" a="1"/>
  <c r="BJ21" i="4" s="1"/>
  <c r="BJ29" i="4" a="1"/>
  <c r="BJ29" i="4" s="1"/>
  <c r="BJ28" i="4" a="1"/>
  <c r="BJ28" i="4" s="1"/>
  <c r="BJ24" i="4" a="1"/>
  <c r="BJ24" i="4" s="1"/>
  <c r="BP55" i="5" a="1"/>
  <c r="BP55" i="5" s="1"/>
  <c r="BP54" i="5" a="1"/>
  <c r="BP54" i="5" s="1"/>
  <c r="BP50" i="5" a="1"/>
  <c r="BP50" i="5" s="1"/>
  <c r="BP49" i="5" a="1"/>
  <c r="BP49" i="5" s="1"/>
  <c r="BP53" i="5" a="1"/>
  <c r="BP53" i="5" s="1"/>
  <c r="BP48" i="5" a="1"/>
  <c r="BP48" i="5" s="1"/>
  <c r="BP46" i="5" a="1"/>
  <c r="BP46" i="5" s="1"/>
  <c r="BP47" i="5" a="1"/>
  <c r="BP47" i="5" s="1"/>
  <c r="BP52" i="5" a="1"/>
  <c r="BP52" i="5" s="1"/>
  <c r="BP51" i="5" a="1"/>
  <c r="BP51" i="5" s="1"/>
  <c r="BO62" i="5"/>
  <c r="BO63" i="5"/>
  <c r="BH36" i="4" s="1" a="1"/>
  <c r="BH36" i="4" s="1"/>
  <c r="BO64" i="5"/>
  <c r="BH37" i="4" s="1" a="1"/>
  <c r="BH37" i="4" s="1"/>
  <c r="BH46" i="4" s="1" a="1"/>
  <c r="BH46" i="4" s="1"/>
  <c r="BP36" i="5"/>
  <c r="BP34" i="5"/>
  <c r="BP37" i="5"/>
  <c r="BP29" i="5"/>
  <c r="BP32" i="5"/>
  <c r="BP31" i="5"/>
  <c r="BP33" i="5"/>
  <c r="BP35" i="5"/>
  <c r="BP38" i="5"/>
  <c r="BP30" i="5"/>
  <c r="BQ4" i="5"/>
  <c r="BQ6" i="5"/>
  <c r="BP8" i="5" l="1" a="1"/>
  <c r="BP8" i="5" s="1"/>
  <c r="BK31" i="7"/>
  <c r="BK26" i="7"/>
  <c r="BK24" i="7"/>
  <c r="BK33" i="7"/>
  <c r="BK27" i="7"/>
  <c r="BK25" i="7"/>
  <c r="BK32" i="7"/>
  <c r="BK23" i="7"/>
  <c r="BK28" i="7"/>
  <c r="BK30" i="7"/>
  <c r="BK29" i="7"/>
  <c r="BP61" i="5"/>
  <c r="BQ60" i="5" a="1"/>
  <c r="BQ60" i="5" s="1"/>
  <c r="BQ59" i="5" a="1"/>
  <c r="BQ59" i="5" s="1"/>
  <c r="BQ57" i="5" a="1"/>
  <c r="BQ57" i="5" s="1"/>
  <c r="BQ43" i="5"/>
  <c r="BQ41" i="5"/>
  <c r="BQ58" i="5" a="1"/>
  <c r="BQ58" i="5" s="1"/>
  <c r="BQ56" i="5" a="1"/>
  <c r="BQ56" i="5" s="1"/>
  <c r="BQ40" i="5"/>
  <c r="BQ39" i="5"/>
  <c r="BQ42" i="5"/>
  <c r="BG12" i="4" a="1"/>
  <c r="BG12" i="4" s="1"/>
  <c r="BG14" i="4" s="1"/>
  <c r="BG16" i="4" s="1"/>
  <c r="BG17" i="4" s="1" a="1"/>
  <c r="BG17" i="4" s="1"/>
  <c r="BG18" i="4" s="1"/>
  <c r="BG33" i="4" s="1"/>
  <c r="BG40" i="4" s="1"/>
  <c r="BO97" i="5"/>
  <c r="BH11" i="4" s="1" a="1"/>
  <c r="BH11" i="4" s="1"/>
  <c r="BH43" i="4" s="1" a="1"/>
  <c r="BH43" i="4" s="1"/>
  <c r="BI44" i="4" a="1"/>
  <c r="BI44" i="4" s="1"/>
  <c r="BH45" i="4" a="1"/>
  <c r="BH45" i="4" s="1"/>
  <c r="BH38" i="4"/>
  <c r="BJ31" i="4"/>
  <c r="BL6" i="4"/>
  <c r="BK21" i="7" s="1"/>
  <c r="BL4" i="4"/>
  <c r="BL15" i="4" s="1"/>
  <c r="BL13" i="4"/>
  <c r="BM5" i="4"/>
  <c r="BL22" i="7" s="1"/>
  <c r="BP66" i="5"/>
  <c r="BQ95" i="5"/>
  <c r="BQ93" i="5"/>
  <c r="BQ91" i="5"/>
  <c r="BQ87" i="5"/>
  <c r="BQ88" i="5"/>
  <c r="BQ96" i="5"/>
  <c r="BQ82" i="5"/>
  <c r="BQ90" i="5"/>
  <c r="BQ92" i="5"/>
  <c r="BQ94" i="5"/>
  <c r="BQ85" i="5"/>
  <c r="BQ83" i="5"/>
  <c r="BQ89" i="5"/>
  <c r="BQ86" i="5"/>
  <c r="BQ84" i="5"/>
  <c r="BP67" i="5" a="1"/>
  <c r="BP67" i="5" s="1"/>
  <c r="BK27" i="4" a="1"/>
  <c r="BK27" i="4" s="1"/>
  <c r="BK21" i="4" a="1"/>
  <c r="BK21" i="4" s="1"/>
  <c r="BK29" i="4" a="1"/>
  <c r="BK29" i="4" s="1"/>
  <c r="BK24" i="4" a="1"/>
  <c r="BK24" i="4" s="1"/>
  <c r="BK23" i="4" a="1"/>
  <c r="BK23" i="4" s="1"/>
  <c r="BK26" i="4" a="1"/>
  <c r="BK26" i="4" s="1"/>
  <c r="BK30" i="4" a="1"/>
  <c r="BK30" i="4" s="1"/>
  <c r="BK25" i="4" a="1"/>
  <c r="BK25" i="4" s="1"/>
  <c r="BK22" i="4" a="1"/>
  <c r="BK22" i="4" s="1"/>
  <c r="BL27" i="4" a="1"/>
  <c r="BL27" i="4" s="1"/>
  <c r="BQ53" i="5" a="1"/>
  <c r="BQ53" i="5" s="1"/>
  <c r="BQ48" i="5" a="1"/>
  <c r="BQ48" i="5" s="1"/>
  <c r="BQ55" i="5" a="1"/>
  <c r="BQ55" i="5" s="1"/>
  <c r="BQ54" i="5" a="1"/>
  <c r="BQ54" i="5" s="1"/>
  <c r="BQ52" i="5" a="1"/>
  <c r="BQ52" i="5" s="1"/>
  <c r="BQ50" i="5" a="1"/>
  <c r="BQ50" i="5" s="1"/>
  <c r="BQ49" i="5" a="1"/>
  <c r="BQ49" i="5" s="1"/>
  <c r="BQ46" i="5" a="1"/>
  <c r="BQ46" i="5" s="1"/>
  <c r="BQ51" i="5" a="1"/>
  <c r="BQ51" i="5" s="1"/>
  <c r="BQ47" i="5" a="1"/>
  <c r="BQ47" i="5" s="1"/>
  <c r="BP63" i="5"/>
  <c r="BI36" i="4" s="1" a="1"/>
  <c r="BI36" i="4" s="1"/>
  <c r="BP64" i="5"/>
  <c r="BI37" i="4" s="1" a="1"/>
  <c r="BI37" i="4" s="1"/>
  <c r="BI46" i="4" s="1" a="1"/>
  <c r="BI46" i="4" s="1"/>
  <c r="BP62" i="5"/>
  <c r="BQ34" i="5"/>
  <c r="BQ37" i="5"/>
  <c r="BQ32" i="5"/>
  <c r="BQ38" i="5"/>
  <c r="BQ30" i="5"/>
  <c r="BQ36" i="5"/>
  <c r="BQ29" i="5"/>
  <c r="BQ31" i="5"/>
  <c r="BQ35" i="5"/>
  <c r="BQ33" i="5"/>
  <c r="BR4" i="5"/>
  <c r="BR6" i="5"/>
  <c r="BQ8" i="5" l="1" a="1"/>
  <c r="BQ8" i="5" s="1"/>
  <c r="BL28" i="7"/>
  <c r="BL31" i="7"/>
  <c r="BL26" i="7"/>
  <c r="BL27" i="7"/>
  <c r="BL30" i="7"/>
  <c r="BL24" i="7"/>
  <c r="BL33" i="7"/>
  <c r="BL32" i="7"/>
  <c r="BL23" i="7"/>
  <c r="BL29" i="7"/>
  <c r="BL25" i="7"/>
  <c r="BQ61" i="5"/>
  <c r="BR58" i="5" a="1"/>
  <c r="BR58" i="5" s="1"/>
  <c r="BR60" i="5" a="1"/>
  <c r="BR60" i="5" s="1"/>
  <c r="BR59" i="5" a="1"/>
  <c r="BR59" i="5" s="1"/>
  <c r="BR57" i="5" a="1"/>
  <c r="BR57" i="5" s="1"/>
  <c r="BR43" i="5"/>
  <c r="BR41" i="5"/>
  <c r="BR40" i="5"/>
  <c r="BR56" i="5" a="1"/>
  <c r="BR56" i="5" s="1"/>
  <c r="BR39" i="5"/>
  <c r="BR42" i="5"/>
  <c r="BP97" i="5"/>
  <c r="BI11" i="4" s="1" a="1"/>
  <c r="BI11" i="4" s="1"/>
  <c r="BI43" i="4" s="1" a="1"/>
  <c r="BI43" i="4" s="1"/>
  <c r="BH12" i="4" a="1"/>
  <c r="BH12" i="4" s="1"/>
  <c r="BH14" i="4" s="1"/>
  <c r="BH16" i="4" s="1"/>
  <c r="BH17" i="4" s="1" a="1"/>
  <c r="BH17" i="4" s="1"/>
  <c r="BH18" i="4" s="1"/>
  <c r="BH33" i="4" s="1"/>
  <c r="BH40" i="4" s="1"/>
  <c r="BJ44" i="4" a="1"/>
  <c r="BJ44" i="4" s="1"/>
  <c r="BI45" i="4" a="1"/>
  <c r="BI45" i="4" s="1"/>
  <c r="BI38" i="4"/>
  <c r="BK31" i="4"/>
  <c r="BM13" i="4"/>
  <c r="BM6" i="4"/>
  <c r="BL21" i="7" s="1"/>
  <c r="BM4" i="4"/>
  <c r="BM15" i="4" s="1"/>
  <c r="BN5" i="4"/>
  <c r="BM22" i="7" s="1"/>
  <c r="BQ66" i="5"/>
  <c r="BR87" i="5"/>
  <c r="BR89" i="5"/>
  <c r="BR86" i="5"/>
  <c r="BR90" i="5"/>
  <c r="BR91" i="5"/>
  <c r="BR88" i="5"/>
  <c r="BR92" i="5"/>
  <c r="BR93" i="5"/>
  <c r="BR84" i="5"/>
  <c r="BR95" i="5"/>
  <c r="BR96" i="5"/>
  <c r="BR85" i="5"/>
  <c r="BR82" i="5"/>
  <c r="BR83" i="5"/>
  <c r="BR94" i="5"/>
  <c r="BQ67" i="5" a="1"/>
  <c r="BQ67" i="5" s="1"/>
  <c r="BL23" i="4" a="1"/>
  <c r="BL23" i="4" s="1"/>
  <c r="BL22" i="4" a="1"/>
  <c r="BL22" i="4" s="1"/>
  <c r="BL24" i="4" a="1"/>
  <c r="BL24" i="4" s="1"/>
  <c r="BL26" i="4" a="1"/>
  <c r="BL26" i="4" s="1"/>
  <c r="BL25" i="4" a="1"/>
  <c r="BL25" i="4" s="1"/>
  <c r="BL30" i="4" a="1"/>
  <c r="BL30" i="4" s="1"/>
  <c r="BL21" i="4" a="1"/>
  <c r="BL21" i="4" s="1"/>
  <c r="BL29" i="4" a="1"/>
  <c r="BL29" i="4" s="1"/>
  <c r="BL28" i="4" a="1"/>
  <c r="BL28" i="4" s="1"/>
  <c r="BM29" i="4" a="1"/>
  <c r="BM29" i="4" s="1"/>
  <c r="BR54" i="5" a="1"/>
  <c r="BR54" i="5" s="1"/>
  <c r="BR55" i="5" a="1"/>
  <c r="BR55" i="5" s="1"/>
  <c r="BR52" i="5" a="1"/>
  <c r="BR52" i="5" s="1"/>
  <c r="BR51" i="5" a="1"/>
  <c r="BR51" i="5" s="1"/>
  <c r="BR50" i="5" a="1"/>
  <c r="BR50" i="5" s="1"/>
  <c r="BR46" i="5" a="1"/>
  <c r="BR46" i="5" s="1"/>
  <c r="BR49" i="5" a="1"/>
  <c r="BR49" i="5" s="1"/>
  <c r="BR48" i="5" a="1"/>
  <c r="BR48" i="5" s="1"/>
  <c r="BR47" i="5" a="1"/>
  <c r="BR47" i="5" s="1"/>
  <c r="BR53" i="5" a="1"/>
  <c r="BR53" i="5" s="1"/>
  <c r="BQ63" i="5"/>
  <c r="BJ36" i="4" s="1" a="1"/>
  <c r="BJ36" i="4" s="1"/>
  <c r="BQ62" i="5"/>
  <c r="BQ64" i="5"/>
  <c r="BJ37" i="4" s="1" a="1"/>
  <c r="BJ37" i="4" s="1"/>
  <c r="BJ46" i="4" s="1" a="1"/>
  <c r="BJ46" i="4" s="1"/>
  <c r="BR37" i="5"/>
  <c r="BR34" i="5"/>
  <c r="BR38" i="5"/>
  <c r="BR30" i="5"/>
  <c r="BR33" i="5"/>
  <c r="BR36" i="5"/>
  <c r="BR32" i="5"/>
  <c r="BR31" i="5"/>
  <c r="BR35" i="5"/>
  <c r="BR29" i="5"/>
  <c r="BS4" i="5"/>
  <c r="BS6" i="5"/>
  <c r="BR8" i="5" l="1" a="1"/>
  <c r="BR8" i="5" s="1"/>
  <c r="BM25" i="7"/>
  <c r="BM28" i="7"/>
  <c r="BM24" i="7"/>
  <c r="BM30" i="7"/>
  <c r="BM27" i="7"/>
  <c r="BM33" i="7"/>
  <c r="BM29" i="7"/>
  <c r="BM32" i="7"/>
  <c r="BM23" i="7"/>
  <c r="BM26" i="7"/>
  <c r="BM31" i="7"/>
  <c r="BR61" i="5"/>
  <c r="BS58" i="5" a="1"/>
  <c r="BS58" i="5" s="1"/>
  <c r="BS56" i="5" a="1"/>
  <c r="BS56" i="5" s="1"/>
  <c r="BS42" i="5"/>
  <c r="BS40" i="5"/>
  <c r="BS57" i="5" a="1"/>
  <c r="BS57" i="5" s="1"/>
  <c r="BS60" i="5" a="1"/>
  <c r="BS60" i="5" s="1"/>
  <c r="BS39" i="5"/>
  <c r="BS43" i="5"/>
  <c r="BS41" i="5"/>
  <c r="BS59" i="5" a="1"/>
  <c r="BS59" i="5" s="1"/>
  <c r="BQ97" i="5"/>
  <c r="BJ11" i="4" s="1" a="1"/>
  <c r="BJ11" i="4" s="1"/>
  <c r="BJ43" i="4" s="1" a="1"/>
  <c r="BJ43" i="4" s="1"/>
  <c r="BI12" i="4" a="1"/>
  <c r="BI12" i="4" s="1"/>
  <c r="BI14" i="4" s="1"/>
  <c r="BI16" i="4" s="1"/>
  <c r="BI17" i="4" s="1" a="1"/>
  <c r="BI17" i="4" s="1"/>
  <c r="BI18" i="4" s="1"/>
  <c r="BI33" i="4" s="1"/>
  <c r="BI40" i="4" s="1"/>
  <c r="BK44" i="4" a="1"/>
  <c r="BK44" i="4" s="1"/>
  <c r="BJ38" i="4"/>
  <c r="BJ45" i="4" a="1"/>
  <c r="BJ45" i="4" s="1"/>
  <c r="BL31" i="4"/>
  <c r="BO5" i="4"/>
  <c r="BN22" i="7" s="1"/>
  <c r="BN13" i="4"/>
  <c r="BN4" i="4"/>
  <c r="BN15" i="4" s="1"/>
  <c r="BN6" i="4"/>
  <c r="BM21" i="7" s="1"/>
  <c r="BR66" i="5"/>
  <c r="BS96" i="5"/>
  <c r="BS94" i="5"/>
  <c r="BS92" i="5"/>
  <c r="BS90" i="5"/>
  <c r="BS88" i="5"/>
  <c r="BS95" i="5"/>
  <c r="BS93" i="5"/>
  <c r="BS91" i="5"/>
  <c r="BS89" i="5"/>
  <c r="BS86" i="5"/>
  <c r="BS84" i="5"/>
  <c r="BS87" i="5"/>
  <c r="BS85" i="5"/>
  <c r="BS82" i="5"/>
  <c r="BS83" i="5"/>
  <c r="BR67" i="5" a="1"/>
  <c r="BR67" i="5" s="1"/>
  <c r="BR97" i="5" s="1"/>
  <c r="BK11" i="4" s="1" a="1"/>
  <c r="BK11" i="4" s="1"/>
  <c r="BM30" i="4" a="1"/>
  <c r="BM30" i="4" s="1"/>
  <c r="BM22" i="4" a="1"/>
  <c r="BM22" i="4" s="1"/>
  <c r="BM24" i="4" a="1"/>
  <c r="BM24" i="4" s="1"/>
  <c r="BM26" i="4" a="1"/>
  <c r="BM26" i="4" s="1"/>
  <c r="BM25" i="4" a="1"/>
  <c r="BM25" i="4" s="1"/>
  <c r="BM28" i="4" a="1"/>
  <c r="BM28" i="4" s="1"/>
  <c r="BM27" i="4" a="1"/>
  <c r="BM27" i="4" s="1"/>
  <c r="BM23" i="4" a="1"/>
  <c r="BM23" i="4" s="1"/>
  <c r="BM21" i="4" a="1"/>
  <c r="BM21" i="4" s="1"/>
  <c r="BN30" i="4" a="1"/>
  <c r="BN30" i="4" s="1"/>
  <c r="BS54" i="5" a="1"/>
  <c r="BS54" i="5" s="1"/>
  <c r="BS55" i="5" a="1"/>
  <c r="BS55" i="5" s="1"/>
  <c r="BS52" i="5" a="1"/>
  <c r="BS52" i="5" s="1"/>
  <c r="BS51" i="5" a="1"/>
  <c r="BS51" i="5" s="1"/>
  <c r="BS53" i="5" a="1"/>
  <c r="BS53" i="5" s="1"/>
  <c r="BS49" i="5" a="1"/>
  <c r="BS49" i="5" s="1"/>
  <c r="BS50" i="5" a="1"/>
  <c r="BS50" i="5" s="1"/>
  <c r="BS47" i="5" a="1"/>
  <c r="BS47" i="5" s="1"/>
  <c r="BS48" i="5" a="1"/>
  <c r="BS48" i="5" s="1"/>
  <c r="BS46" i="5" a="1"/>
  <c r="BS46" i="5" s="1"/>
  <c r="BR64" i="5"/>
  <c r="BK37" i="4" s="1" a="1"/>
  <c r="BK37" i="4" s="1"/>
  <c r="BK46" i="4" s="1" a="1"/>
  <c r="BK46" i="4" s="1"/>
  <c r="BR62" i="5"/>
  <c r="BR63" i="5"/>
  <c r="BK36" i="4" s="1" a="1"/>
  <c r="BK36" i="4" s="1"/>
  <c r="BS37" i="5"/>
  <c r="BS32" i="5"/>
  <c r="BS35" i="5"/>
  <c r="BS38" i="5"/>
  <c r="BS30" i="5"/>
  <c r="BS33" i="5"/>
  <c r="BS34" i="5"/>
  <c r="BS29" i="5"/>
  <c r="BS36" i="5"/>
  <c r="BS31" i="5"/>
  <c r="BT4" i="5"/>
  <c r="BT6" i="5"/>
  <c r="BS8" i="5" l="1" a="1"/>
  <c r="BS8" i="5" s="1"/>
  <c r="BN30" i="7"/>
  <c r="BN25" i="7"/>
  <c r="BN28" i="7"/>
  <c r="BN29" i="7"/>
  <c r="BN32" i="7"/>
  <c r="BN23" i="7"/>
  <c r="BN24" i="7"/>
  <c r="BN33" i="7"/>
  <c r="BN27" i="7"/>
  <c r="BN26" i="7"/>
  <c r="BN31" i="7"/>
  <c r="BS61" i="5"/>
  <c r="BT56" i="5" a="1"/>
  <c r="BT56" i="5" s="1"/>
  <c r="BT42" i="5"/>
  <c r="BT58" i="5" a="1"/>
  <c r="BT58" i="5" s="1"/>
  <c r="BT40" i="5"/>
  <c r="BT57" i="5" a="1"/>
  <c r="BT57" i="5" s="1"/>
  <c r="BT43" i="5"/>
  <c r="BT41" i="5"/>
  <c r="BT60" i="5" a="1"/>
  <c r="BT60" i="5" s="1"/>
  <c r="BT59" i="5" a="1"/>
  <c r="BT59" i="5" s="1"/>
  <c r="BT39" i="5"/>
  <c r="BJ12" i="4" a="1"/>
  <c r="BJ12" i="4" s="1"/>
  <c r="BJ14" i="4" s="1"/>
  <c r="BJ16" i="4" s="1"/>
  <c r="BJ17" i="4" s="1" a="1"/>
  <c r="BJ17" i="4" s="1"/>
  <c r="BJ18" i="4" s="1"/>
  <c r="BJ33" i="4" s="1"/>
  <c r="BJ40" i="4" s="1"/>
  <c r="BO36" i="4" a="1"/>
  <c r="BO36" i="4" s="1"/>
  <c r="BO37" i="4" a="1"/>
  <c r="BO37" i="4" s="1"/>
  <c r="BO46" i="4" s="1" a="1"/>
  <c r="BO46" i="4" s="1"/>
  <c r="BO23" i="4" a="1"/>
  <c r="BO23" i="4" s="1"/>
  <c r="BK12" i="4" a="1"/>
  <c r="BK12" i="4" s="1"/>
  <c r="BK14" i="4" s="1"/>
  <c r="BK16" i="4" s="1"/>
  <c r="BL44" i="4" a="1"/>
  <c r="BL44" i="4" s="1"/>
  <c r="BK43" i="4" a="1"/>
  <c r="BK43" i="4" s="1"/>
  <c r="BK38" i="4"/>
  <c r="BK45" i="4" a="1"/>
  <c r="BK45" i="4" s="1"/>
  <c r="BM31" i="4"/>
  <c r="BO4" i="4"/>
  <c r="BO15" i="4" s="1"/>
  <c r="BP5" i="4"/>
  <c r="BO22" i="7" s="1"/>
  <c r="BO6" i="4"/>
  <c r="BO13" i="4"/>
  <c r="BO11" i="4" a="1"/>
  <c r="BO11" i="4" s="1"/>
  <c r="BO43" i="4" s="1" a="1"/>
  <c r="BO43" i="4" s="1"/>
  <c r="BS66" i="5"/>
  <c r="BT96" i="5"/>
  <c r="BT94" i="5"/>
  <c r="BT92" i="5"/>
  <c r="BT90" i="5"/>
  <c r="BT89" i="5"/>
  <c r="BT86" i="5"/>
  <c r="BT84" i="5"/>
  <c r="BT95" i="5"/>
  <c r="BT93" i="5"/>
  <c r="BT91" i="5"/>
  <c r="BT83" i="5"/>
  <c r="BT88" i="5"/>
  <c r="BT87" i="5"/>
  <c r="BT85" i="5"/>
  <c r="BT82" i="5"/>
  <c r="BS67" i="5" a="1"/>
  <c r="BS67" i="5" s="1"/>
  <c r="BN26" i="4" a="1"/>
  <c r="BN26" i="4" s="1"/>
  <c r="BN25" i="4" a="1"/>
  <c r="BN25" i="4" s="1"/>
  <c r="BN28" i="4" a="1"/>
  <c r="BN28" i="4" s="1"/>
  <c r="BN23" i="4" a="1"/>
  <c r="BN23" i="4" s="1"/>
  <c r="BN24" i="4" a="1"/>
  <c r="BN24" i="4" s="1"/>
  <c r="BN27" i="4" a="1"/>
  <c r="BN27" i="4" s="1"/>
  <c r="BN29" i="4" a="1"/>
  <c r="BN29" i="4" s="1"/>
  <c r="BN21" i="4" a="1"/>
  <c r="BN21" i="4" s="1"/>
  <c r="BN22" i="4" a="1"/>
  <c r="BN22" i="4" s="1"/>
  <c r="BT54" i="5" a="1"/>
  <c r="BT54" i="5" s="1"/>
  <c r="BT55" i="5" a="1"/>
  <c r="BT55" i="5" s="1"/>
  <c r="BT49" i="5" a="1"/>
  <c r="BT49" i="5" s="1"/>
  <c r="BT53" i="5" a="1"/>
  <c r="BT53" i="5" s="1"/>
  <c r="BT50" i="5" a="1"/>
  <c r="BT50" i="5" s="1"/>
  <c r="BT48" i="5" a="1"/>
  <c r="BT48" i="5" s="1"/>
  <c r="BT51" i="5" a="1"/>
  <c r="BT51" i="5" s="1"/>
  <c r="BT52" i="5" a="1"/>
  <c r="BT52" i="5" s="1"/>
  <c r="BT47" i="5" a="1"/>
  <c r="BT47" i="5" s="1"/>
  <c r="BT46" i="5" a="1"/>
  <c r="BT46" i="5" s="1"/>
  <c r="BS63" i="5"/>
  <c r="BL36" i="4" s="1" a="1"/>
  <c r="BL36" i="4" s="1"/>
  <c r="BS64" i="5"/>
  <c r="BL37" i="4" s="1" a="1"/>
  <c r="BL37" i="4" s="1"/>
  <c r="BL46" i="4" s="1" a="1"/>
  <c r="BL46" i="4" s="1"/>
  <c r="BS62" i="5"/>
  <c r="BT35" i="5"/>
  <c r="BT38" i="5"/>
  <c r="BT33" i="5"/>
  <c r="BT31" i="5"/>
  <c r="BT34" i="5"/>
  <c r="BT32" i="5"/>
  <c r="BT37" i="5"/>
  <c r="BT30" i="5"/>
  <c r="BT29" i="5"/>
  <c r="BT36" i="5"/>
  <c r="BU4" i="5"/>
  <c r="BU6" i="5"/>
  <c r="BT8" i="5" l="1" a="1"/>
  <c r="BT8" i="5" s="1"/>
  <c r="BO27" i="7"/>
  <c r="BO30" i="7"/>
  <c r="BO25" i="7"/>
  <c r="BO26" i="7"/>
  <c r="BO28" i="7"/>
  <c r="BO32" i="7"/>
  <c r="BO23" i="7"/>
  <c r="BO31" i="7"/>
  <c r="BO29" i="7"/>
  <c r="BO24" i="7"/>
  <c r="BO33" i="7"/>
  <c r="BT61" i="5"/>
  <c r="BU56" i="5" a="1"/>
  <c r="BU56" i="5" s="1"/>
  <c r="BU42" i="5"/>
  <c r="BU57" i="5" a="1"/>
  <c r="BU57" i="5" s="1"/>
  <c r="BU59" i="5" a="1"/>
  <c r="BU59" i="5" s="1"/>
  <c r="BU58" i="5" a="1"/>
  <c r="BU58" i="5" s="1"/>
  <c r="BU39" i="5"/>
  <c r="BU41" i="5"/>
  <c r="BU40" i="5"/>
  <c r="BU60" i="5" a="1"/>
  <c r="BU60" i="5" s="1"/>
  <c r="BU43" i="5"/>
  <c r="BS97" i="5"/>
  <c r="BL11" i="4" s="1" a="1"/>
  <c r="BL11" i="4" s="1"/>
  <c r="BL12" i="4" s="1" a="1"/>
  <c r="BL12" i="4" s="1"/>
  <c r="BL14" i="4" s="1"/>
  <c r="BL16" i="4" s="1"/>
  <c r="BO26" i="4" a="1"/>
  <c r="BO26" i="4" s="1"/>
  <c r="BO24" i="4" a="1"/>
  <c r="BO24" i="4" s="1"/>
  <c r="BO29" i="4" a="1"/>
  <c r="BO29" i="4" s="1"/>
  <c r="BP37" i="4" a="1"/>
  <c r="BP37" i="4" s="1"/>
  <c r="BP46" i="4" s="1" a="1"/>
  <c r="BP46" i="4" s="1"/>
  <c r="BP36" i="4" a="1"/>
  <c r="BP36" i="4" s="1"/>
  <c r="BO25" i="4" a="1"/>
  <c r="BO25" i="4" s="1"/>
  <c r="BO22" i="4" a="1"/>
  <c r="BO22" i="4" s="1"/>
  <c r="BO27" i="4" a="1"/>
  <c r="BO27" i="4" s="1"/>
  <c r="BO28" i="4" a="1"/>
  <c r="BO28" i="4" s="1"/>
  <c r="BO30" i="4" a="1"/>
  <c r="BO30" i="4" s="1"/>
  <c r="BO38" i="4"/>
  <c r="BO45" i="4" a="1"/>
  <c r="BO45" i="4" s="1"/>
  <c r="BO21" i="4" a="1"/>
  <c r="BO21" i="4" s="1"/>
  <c r="BP27" i="4" a="1"/>
  <c r="BP27" i="4" s="1"/>
  <c r="BM44" i="4" a="1"/>
  <c r="BM44" i="4" s="1"/>
  <c r="BL38" i="4"/>
  <c r="BL45" i="4" a="1"/>
  <c r="BL45" i="4" s="1"/>
  <c r="BO12" i="4" a="1"/>
  <c r="BO12" i="4" s="1"/>
  <c r="BO14" i="4" s="1"/>
  <c r="BO16" i="4" s="1"/>
  <c r="BK17" i="4" a="1"/>
  <c r="BK17" i="4" s="1"/>
  <c r="BK18" i="4" s="1"/>
  <c r="BK33" i="4" s="1"/>
  <c r="BK40" i="4" s="1"/>
  <c r="BN31" i="4"/>
  <c r="BP11" i="4" a="1"/>
  <c r="BP11" i="4" s="1"/>
  <c r="BP43" i="4" s="1" a="1"/>
  <c r="BP43" i="4" s="1"/>
  <c r="BP6" i="4"/>
  <c r="BQ5" i="4"/>
  <c r="BP22" i="7" s="1"/>
  <c r="BP4" i="4"/>
  <c r="BP15" i="4" s="1"/>
  <c r="BP13" i="4"/>
  <c r="BT66" i="5"/>
  <c r="BU96" i="5"/>
  <c r="BU94" i="5"/>
  <c r="BU92" i="5"/>
  <c r="BU90" i="5"/>
  <c r="BU95" i="5"/>
  <c r="BU93" i="5"/>
  <c r="BU91" i="5"/>
  <c r="BU88" i="5"/>
  <c r="BU84" i="5"/>
  <c r="BU87" i="5"/>
  <c r="BU85" i="5"/>
  <c r="BU83" i="5"/>
  <c r="BU86" i="5"/>
  <c r="BU89" i="5"/>
  <c r="BU82" i="5"/>
  <c r="BT67" i="5" a="1"/>
  <c r="BT67" i="5" s="1"/>
  <c r="BU55" i="5" a="1"/>
  <c r="BU55" i="5" s="1"/>
  <c r="BU53" i="5" a="1"/>
  <c r="BU53" i="5" s="1"/>
  <c r="BU50" i="5" a="1"/>
  <c r="BU50" i="5" s="1"/>
  <c r="BU48" i="5" a="1"/>
  <c r="BU48" i="5" s="1"/>
  <c r="BU51" i="5" a="1"/>
  <c r="BU51" i="5" s="1"/>
  <c r="BU47" i="5" a="1"/>
  <c r="BU47" i="5" s="1"/>
  <c r="BU54" i="5" a="1"/>
  <c r="BU54" i="5" s="1"/>
  <c r="BU49" i="5" a="1"/>
  <c r="BU49" i="5" s="1"/>
  <c r="BU52" i="5" a="1"/>
  <c r="BU52" i="5" s="1"/>
  <c r="BU46" i="5" a="1"/>
  <c r="BU46" i="5" s="1"/>
  <c r="BT63" i="5"/>
  <c r="BM36" i="4" s="1" a="1"/>
  <c r="BM36" i="4" s="1"/>
  <c r="BT64" i="5"/>
  <c r="BM37" i="4" s="1" a="1"/>
  <c r="BM37" i="4" s="1"/>
  <c r="BM46" i="4" s="1" a="1"/>
  <c r="BM46" i="4" s="1"/>
  <c r="BT62" i="5"/>
  <c r="BU35" i="5"/>
  <c r="BU38" i="5"/>
  <c r="BU31" i="5"/>
  <c r="BU37" i="5"/>
  <c r="BU30" i="5"/>
  <c r="BU33" i="5"/>
  <c r="BU32" i="5"/>
  <c r="BU29" i="5"/>
  <c r="BU36" i="5"/>
  <c r="BU34" i="5"/>
  <c r="BU8" i="5" l="1" a="1"/>
  <c r="BU8" i="5" s="1"/>
  <c r="BP24" i="7"/>
  <c r="BP27" i="7"/>
  <c r="BP25" i="7"/>
  <c r="BP29" i="7"/>
  <c r="BP28" i="7"/>
  <c r="BP30" i="7"/>
  <c r="BP32" i="7"/>
  <c r="BP23" i="7"/>
  <c r="BP26" i="7"/>
  <c r="BP33" i="7"/>
  <c r="BP31" i="7"/>
  <c r="BU61" i="5"/>
  <c r="BT97" i="5"/>
  <c r="BM11" i="4" s="1" a="1"/>
  <c r="BM11" i="4" s="1"/>
  <c r="BM43" i="4" s="1" a="1"/>
  <c r="BM43" i="4" s="1"/>
  <c r="BL43" i="4" a="1"/>
  <c r="BL43" i="4" s="1"/>
  <c r="BP30" i="4" a="1"/>
  <c r="BP30" i="4" s="1"/>
  <c r="BP28" i="4" a="1"/>
  <c r="BP28" i="4" s="1"/>
  <c r="BP24" i="4" a="1"/>
  <c r="BP24" i="4" s="1"/>
  <c r="BP21" i="4" a="1"/>
  <c r="BP21" i="4" s="1"/>
  <c r="BP29" i="4" a="1"/>
  <c r="BP29" i="4" s="1"/>
  <c r="BP22" i="4" a="1"/>
  <c r="BP22" i="4" s="1"/>
  <c r="BP26" i="4" a="1"/>
  <c r="BP26" i="4" s="1"/>
  <c r="BP45" i="4" a="1"/>
  <c r="BP45" i="4" s="1"/>
  <c r="BP38" i="4"/>
  <c r="BO31" i="4"/>
  <c r="BQ36" i="4" a="1"/>
  <c r="BQ36" i="4" s="1"/>
  <c r="BQ37" i="4" a="1"/>
  <c r="BQ37" i="4" s="1"/>
  <c r="BQ46" i="4" s="1" a="1"/>
  <c r="BQ46" i="4" s="1"/>
  <c r="BP23" i="4" a="1"/>
  <c r="BP23" i="4" s="1"/>
  <c r="BP25" i="4" a="1"/>
  <c r="BP25" i="4" s="1"/>
  <c r="BQ24" i="4" a="1"/>
  <c r="BQ24" i="4" s="1"/>
  <c r="BN44" i="4" a="1"/>
  <c r="BN44" i="4" s="1"/>
  <c r="BM38" i="4"/>
  <c r="BM45" i="4" a="1"/>
  <c r="BM45" i="4" s="1"/>
  <c r="BO17" i="4" a="1"/>
  <c r="BO17" i="4" s="1"/>
  <c r="BO18" i="4" s="1"/>
  <c r="BL17" i="4" a="1"/>
  <c r="BL17" i="4" s="1"/>
  <c r="BL18" i="4" s="1"/>
  <c r="BL33" i="4" s="1"/>
  <c r="BL40" i="4" s="1"/>
  <c r="BP12" i="4" a="1"/>
  <c r="BP12" i="4" s="1"/>
  <c r="BP14" i="4" s="1"/>
  <c r="BP16" i="4" s="1"/>
  <c r="BR5" i="4"/>
  <c r="BQ22" i="7" s="1"/>
  <c r="BQ4" i="4"/>
  <c r="BQ15" i="4" s="1"/>
  <c r="BQ11" i="4" a="1"/>
  <c r="BQ11" i="4" s="1"/>
  <c r="BQ43" i="4" s="1" a="1"/>
  <c r="BQ43" i="4" s="1"/>
  <c r="BQ13" i="4"/>
  <c r="BQ6" i="4"/>
  <c r="BU66" i="5"/>
  <c r="BU67" i="5" a="1"/>
  <c r="BU67" i="5" s="1"/>
  <c r="BU62" i="5"/>
  <c r="BU64" i="5"/>
  <c r="BN37" i="4" s="1" a="1"/>
  <c r="BN37" i="4" s="1"/>
  <c r="BN46" i="4" s="1" a="1"/>
  <c r="BN46" i="4" s="1"/>
  <c r="BU63" i="5"/>
  <c r="BN36" i="4" s="1" a="1"/>
  <c r="BN36" i="4" s="1"/>
  <c r="BQ29" i="7" l="1"/>
  <c r="BQ24" i="7"/>
  <c r="BQ27" i="7"/>
  <c r="BQ28" i="7"/>
  <c r="BR26" i="4" s="1" a="1"/>
  <c r="BR26" i="4" s="1"/>
  <c r="BQ31" i="7"/>
  <c r="BQ25" i="7"/>
  <c r="BQ33" i="7"/>
  <c r="BQ30" i="7"/>
  <c r="BQ26" i="7"/>
  <c r="BQ32" i="7"/>
  <c r="BQ23" i="7"/>
  <c r="BM12" i="4" a="1"/>
  <c r="BM12" i="4" s="1"/>
  <c r="BM14" i="4" s="1"/>
  <c r="BM16" i="4" s="1"/>
  <c r="BM17" i="4" s="1" a="1"/>
  <c r="BM17" i="4" s="1"/>
  <c r="BM18" i="4" s="1"/>
  <c r="BM33" i="4" s="1"/>
  <c r="BM40" i="4" s="1"/>
  <c r="BO33" i="4"/>
  <c r="BO40" i="4" s="1"/>
  <c r="BU97" i="5"/>
  <c r="BN11" i="4" s="1" a="1"/>
  <c r="BN11" i="4" s="1"/>
  <c r="BN43" i="4" s="1" a="1"/>
  <c r="BN43" i="4" s="1"/>
  <c r="BQ26" i="4" a="1"/>
  <c r="BQ26" i="4" s="1"/>
  <c r="BQ28" i="4" a="1"/>
  <c r="BQ28" i="4" s="1"/>
  <c r="BP31" i="4"/>
  <c r="BQ21" i="4" a="1"/>
  <c r="BQ21" i="4" s="1"/>
  <c r="BQ25" i="4" a="1"/>
  <c r="BQ25" i="4" s="1"/>
  <c r="BQ30" i="4" a="1"/>
  <c r="BQ30" i="4" s="1"/>
  <c r="BO44" i="4" a="1"/>
  <c r="BO44" i="4" s="1"/>
  <c r="BQ23" i="4" a="1"/>
  <c r="BQ23" i="4" s="1"/>
  <c r="BQ38" i="4"/>
  <c r="BQ45" i="4" a="1"/>
  <c r="BQ45" i="4" s="1"/>
  <c r="BQ29" i="4" a="1"/>
  <c r="BQ29" i="4" s="1"/>
  <c r="BQ27" i="4" a="1"/>
  <c r="BQ27" i="4" s="1"/>
  <c r="BR37" i="4" a="1"/>
  <c r="BR37" i="4" s="1"/>
  <c r="BR46" i="4" s="1" a="1"/>
  <c r="BR46" i="4" s="1"/>
  <c r="BR36" i="4" a="1"/>
  <c r="BR36" i="4" s="1"/>
  <c r="BQ22" i="4" a="1"/>
  <c r="BQ22" i="4" s="1"/>
  <c r="BQ12" i="4" a="1"/>
  <c r="BQ12" i="4" s="1"/>
  <c r="BQ14" i="4" s="1"/>
  <c r="BQ16" i="4" s="1"/>
  <c r="BQ17" i="4" s="1" a="1"/>
  <c r="BQ17" i="4" s="1"/>
  <c r="BN38" i="4"/>
  <c r="BN45" i="4" a="1"/>
  <c r="BN45" i="4" s="1"/>
  <c r="BP17" i="4" a="1"/>
  <c r="BP17" i="4" s="1"/>
  <c r="BP18" i="4" s="1"/>
  <c r="BR11" i="4" a="1"/>
  <c r="BR11" i="4" s="1"/>
  <c r="BR43" i="4" s="1" a="1"/>
  <c r="BR43" i="4" s="1"/>
  <c r="BR6" i="4"/>
  <c r="BS5" i="4"/>
  <c r="BR22" i="7" s="1"/>
  <c r="BR4" i="4"/>
  <c r="BR15" i="4" s="1"/>
  <c r="BR13" i="4"/>
  <c r="BR26" i="7" l="1"/>
  <c r="BR29" i="7"/>
  <c r="BR24" i="7"/>
  <c r="BR25" i="7"/>
  <c r="BR31" i="7"/>
  <c r="BR28" i="7"/>
  <c r="BR33" i="7"/>
  <c r="BR30" i="7"/>
  <c r="BR27" i="7"/>
  <c r="BR32" i="7"/>
  <c r="BR23" i="7"/>
  <c r="BN12" i="4" a="1"/>
  <c r="BN12" i="4" s="1"/>
  <c r="BN14" i="4" s="1"/>
  <c r="BN16" i="4" s="1"/>
  <c r="BN17" i="4" s="1" a="1"/>
  <c r="BN17" i="4" s="1"/>
  <c r="BN18" i="4" s="1"/>
  <c r="BN33" i="4" s="1"/>
  <c r="BN40" i="4" s="1"/>
  <c r="BP44" i="4" a="1"/>
  <c r="BP44" i="4" s="1"/>
  <c r="BP33" i="4"/>
  <c r="BQ31" i="4"/>
  <c r="BR12" i="4" a="1"/>
  <c r="BR12" i="4" s="1"/>
  <c r="BR14" i="4" s="1"/>
  <c r="BR16" i="4" s="1"/>
  <c r="BR17" i="4" s="1" a="1"/>
  <c r="BR17" i="4" s="1"/>
  <c r="BR18" i="4" s="1"/>
  <c r="BR27" i="4" a="1"/>
  <c r="BR27" i="4" s="1"/>
  <c r="BR22" i="4" a="1"/>
  <c r="BR22" i="4" s="1"/>
  <c r="BR29" i="4" a="1"/>
  <c r="BR29" i="4" s="1"/>
  <c r="BR30" i="4" a="1"/>
  <c r="BR30" i="4" s="1"/>
  <c r="BR28" i="4" a="1"/>
  <c r="BR28" i="4" s="1"/>
  <c r="BR23" i="4" a="1"/>
  <c r="BR23" i="4" s="1"/>
  <c r="BR38" i="4"/>
  <c r="BR45" i="4" a="1"/>
  <c r="BR45" i="4" s="1"/>
  <c r="BR24" i="4" a="1"/>
  <c r="BR24" i="4" s="1"/>
  <c r="BR21" i="4" a="1"/>
  <c r="BR21" i="4" s="1"/>
  <c r="BS36" i="4" a="1"/>
  <c r="BS36" i="4" s="1"/>
  <c r="BS37" i="4" a="1"/>
  <c r="BS37" i="4" s="1"/>
  <c r="BS46" i="4" s="1" a="1"/>
  <c r="BS46" i="4" s="1"/>
  <c r="BR25" i="4" a="1"/>
  <c r="BR25" i="4" s="1"/>
  <c r="BS22" i="4" a="1"/>
  <c r="BS22" i="4" s="1"/>
  <c r="BQ18" i="4"/>
  <c r="BS4" i="4"/>
  <c r="BS15" i="4" s="1"/>
  <c r="BT5" i="4"/>
  <c r="BS22" i="7" s="1"/>
  <c r="BS6" i="4"/>
  <c r="BS11" i="4" a="1"/>
  <c r="BS11" i="4" s="1"/>
  <c r="BS43" i="4" s="1" a="1"/>
  <c r="BS43" i="4" s="1"/>
  <c r="BS13" i="4"/>
  <c r="BS26" i="7" l="1"/>
  <c r="BS33" i="7"/>
  <c r="BS29" i="7"/>
  <c r="BS25" i="7"/>
  <c r="BS31" i="7"/>
  <c r="BS30" i="7"/>
  <c r="BT28" i="4" s="1" a="1"/>
  <c r="BT28" i="4" s="1"/>
  <c r="BS28" i="7"/>
  <c r="BS32" i="7"/>
  <c r="BS23" i="7"/>
  <c r="BS24" i="7"/>
  <c r="BS27" i="7"/>
  <c r="BS24" i="4" a="1"/>
  <c r="BS24" i="4" s="1"/>
  <c r="BS27" i="4" a="1"/>
  <c r="BS27" i="4" s="1"/>
  <c r="BS26" i="4" a="1"/>
  <c r="BS26" i="4" s="1"/>
  <c r="BS30" i="4" a="1"/>
  <c r="BS30" i="4" s="1"/>
  <c r="BQ33" i="4"/>
  <c r="BQ40" i="4" s="1"/>
  <c r="BQ44" i="4" a="1"/>
  <c r="BQ44" i="4" s="1"/>
  <c r="BS29" i="4" a="1"/>
  <c r="BS29" i="4" s="1"/>
  <c r="BS23" i="4" a="1"/>
  <c r="BS23" i="4" s="1"/>
  <c r="BS25" i="4" a="1"/>
  <c r="BS25" i="4" s="1"/>
  <c r="BP40" i="4"/>
  <c r="BS45" i="4" a="1"/>
  <c r="BS45" i="4" s="1"/>
  <c r="BS38" i="4"/>
  <c r="BS21" i="4" a="1"/>
  <c r="BS21" i="4" s="1"/>
  <c r="BS28" i="4" a="1"/>
  <c r="BS28" i="4" s="1"/>
  <c r="BR31" i="4"/>
  <c r="BT37" i="4" a="1"/>
  <c r="BT37" i="4" s="1"/>
  <c r="BT46" i="4" s="1" a="1"/>
  <c r="BT46" i="4" s="1"/>
  <c r="BT36" i="4" a="1"/>
  <c r="BT36" i="4" s="1"/>
  <c r="BS12" i="4" a="1"/>
  <c r="BS12" i="4" s="1"/>
  <c r="BS14" i="4" s="1"/>
  <c r="BS16" i="4" s="1"/>
  <c r="BT6" i="4"/>
  <c r="BT11" i="4" a="1"/>
  <c r="BT11" i="4" s="1"/>
  <c r="BT43" i="4" s="1" a="1"/>
  <c r="BT43" i="4" s="1"/>
  <c r="BT4" i="4"/>
  <c r="BT15" i="4" s="1"/>
  <c r="BT13" i="4"/>
  <c r="BU5" i="4"/>
  <c r="BT22" i="7" s="1"/>
  <c r="BT28" i="7" l="1"/>
  <c r="BT26" i="7"/>
  <c r="BT27" i="7"/>
  <c r="BT33" i="7"/>
  <c r="BT29" i="7"/>
  <c r="BT30" i="7"/>
  <c r="BT32" i="7"/>
  <c r="BT23" i="7"/>
  <c r="BT24" i="7"/>
  <c r="BT25" i="7"/>
  <c r="BT31" i="7"/>
  <c r="BT25" i="4" a="1"/>
  <c r="BT25" i="4" s="1"/>
  <c r="BT22" i="4" a="1"/>
  <c r="BT22" i="4" s="1"/>
  <c r="BT27" i="4" a="1"/>
  <c r="BT27" i="4" s="1"/>
  <c r="BR44" i="4" a="1"/>
  <c r="BR44" i="4" s="1"/>
  <c r="BU37" i="4" a="1"/>
  <c r="BU37" i="4" s="1"/>
  <c r="BU46" i="4" s="1" a="1"/>
  <c r="BU46" i="4" s="1"/>
  <c r="BU36" i="4" a="1"/>
  <c r="BU36" i="4" s="1"/>
  <c r="BT30" i="4" a="1"/>
  <c r="BT30" i="4" s="1"/>
  <c r="BT29" i="4" a="1"/>
  <c r="BT29" i="4" s="1"/>
  <c r="BT23" i="4" a="1"/>
  <c r="BT23" i="4" s="1"/>
  <c r="BT21" i="4" a="1"/>
  <c r="BT21" i="4" s="1"/>
  <c r="BT26" i="4" a="1"/>
  <c r="BT26" i="4" s="1"/>
  <c r="BT38" i="4"/>
  <c r="BT45" i="4" a="1"/>
  <c r="BT45" i="4" s="1"/>
  <c r="BS31" i="4"/>
  <c r="BT24" i="4" a="1"/>
  <c r="BT24" i="4" s="1"/>
  <c r="BR33" i="4"/>
  <c r="BU25" i="4" a="1"/>
  <c r="BU25" i="4" s="1"/>
  <c r="BT12" i="4" a="1"/>
  <c r="BT12" i="4" s="1"/>
  <c r="BT14" i="4" s="1"/>
  <c r="BT16" i="4" s="1"/>
  <c r="BS17" i="4" a="1"/>
  <c r="BS17" i="4" s="1"/>
  <c r="BS18" i="4" s="1"/>
  <c r="BU13" i="4"/>
  <c r="BU11" i="4" a="1"/>
  <c r="BU11" i="4" s="1"/>
  <c r="BU43" i="4" s="1" a="1"/>
  <c r="BU43" i="4" s="1"/>
  <c r="BU6" i="4"/>
  <c r="BV5" i="4"/>
  <c r="BU22" i="7" s="1"/>
  <c r="BU4" i="4"/>
  <c r="BU15" i="4" s="1"/>
  <c r="BU25" i="7" l="1"/>
  <c r="BU28" i="7"/>
  <c r="BU24" i="7"/>
  <c r="BU26" i="7"/>
  <c r="BU33" i="7"/>
  <c r="BU27" i="7"/>
  <c r="BU30" i="7"/>
  <c r="BU31" i="7"/>
  <c r="BU29" i="7"/>
  <c r="BU32" i="7"/>
  <c r="BU23" i="7"/>
  <c r="BR40" i="4"/>
  <c r="BS33" i="4"/>
  <c r="BS40" i="4" s="1"/>
  <c r="BU27" i="4" a="1"/>
  <c r="BU27" i="4" s="1"/>
  <c r="BS44" i="4" a="1"/>
  <c r="BS44" i="4" s="1"/>
  <c r="BU22" i="4" a="1"/>
  <c r="BU22" i="4" s="1"/>
  <c r="BU24" i="4" a="1"/>
  <c r="BU24" i="4" s="1"/>
  <c r="BU45" i="4" a="1"/>
  <c r="BU45" i="4" s="1"/>
  <c r="BU38" i="4"/>
  <c r="BU23" i="4" a="1"/>
  <c r="BU23" i="4" s="1"/>
  <c r="BU26" i="4" a="1"/>
  <c r="BU26" i="4" s="1"/>
  <c r="BU29" i="4" a="1"/>
  <c r="BU29" i="4" s="1"/>
  <c r="BU28" i="4" a="1"/>
  <c r="BU28" i="4" s="1"/>
  <c r="BU21" i="4" a="1"/>
  <c r="BU21" i="4" s="1"/>
  <c r="BU30" i="4" a="1"/>
  <c r="BU30" i="4" s="1"/>
  <c r="BV36" i="4" a="1"/>
  <c r="BV36" i="4" s="1"/>
  <c r="BV37" i="4" a="1"/>
  <c r="BV37" i="4" s="1"/>
  <c r="BV46" i="4" s="1" a="1"/>
  <c r="BV46" i="4" s="1"/>
  <c r="BT31" i="4"/>
  <c r="BV26" i="4" a="1"/>
  <c r="BV26" i="4" s="1"/>
  <c r="BU12" i="4" a="1"/>
  <c r="BU12" i="4" s="1"/>
  <c r="BU14" i="4" s="1"/>
  <c r="BU16" i="4" s="1"/>
  <c r="BV11" i="4" a="1"/>
  <c r="BV11" i="4" s="1"/>
  <c r="BV43" i="4" s="1" a="1"/>
  <c r="BV43" i="4" s="1"/>
  <c r="BV13" i="4"/>
  <c r="BV4" i="4"/>
  <c r="BV15" i="4" s="1"/>
  <c r="BV6" i="4"/>
  <c r="BW5" i="4"/>
  <c r="BV22" i="7" s="1"/>
  <c r="BT17" i="4" a="1"/>
  <c r="BT17" i="4" s="1"/>
  <c r="BT18" i="4" s="1"/>
  <c r="BV30" i="7" l="1"/>
  <c r="BV25" i="7"/>
  <c r="BV28" i="7"/>
  <c r="BV29" i="7"/>
  <c r="BV32" i="7"/>
  <c r="BV23" i="7"/>
  <c r="BV26" i="7"/>
  <c r="BV24" i="7"/>
  <c r="BV31" i="7"/>
  <c r="BV27" i="7"/>
  <c r="BV33" i="7"/>
  <c r="BU17" i="4" a="1"/>
  <c r="BU17" i="4" s="1"/>
  <c r="BU18" i="4" s="1"/>
  <c r="BT33" i="4"/>
  <c r="BT40" i="4" s="1"/>
  <c r="BV25" i="4" a="1"/>
  <c r="BV25" i="4" s="1"/>
  <c r="BT44" i="4" a="1"/>
  <c r="BT44" i="4" s="1"/>
  <c r="BV27" i="4" a="1"/>
  <c r="BV27" i="4" s="1"/>
  <c r="BV30" i="4" a="1"/>
  <c r="BV30" i="4" s="1"/>
  <c r="BV23" i="4" a="1"/>
  <c r="BV23" i="4" s="1"/>
  <c r="BV28" i="4" a="1"/>
  <c r="BV28" i="4" s="1"/>
  <c r="BV29" i="4" a="1"/>
  <c r="BV29" i="4" s="1"/>
  <c r="BV21" i="4" a="1"/>
  <c r="BV21" i="4" s="1"/>
  <c r="BV22" i="4" a="1"/>
  <c r="BV22" i="4" s="1"/>
  <c r="BV24" i="4" a="1"/>
  <c r="BV24" i="4" s="1"/>
  <c r="BV38" i="4"/>
  <c r="BV45" i="4" a="1"/>
  <c r="BV45" i="4" s="1"/>
  <c r="BU31" i="4"/>
  <c r="BW36" i="4" a="1"/>
  <c r="BW36" i="4" s="1"/>
  <c r="BW37" i="4" a="1"/>
  <c r="BW37" i="4" s="1"/>
  <c r="BW46" i="4" s="1" a="1"/>
  <c r="BW46" i="4" s="1"/>
  <c r="BV12" i="4" a="1"/>
  <c r="BV12" i="4" s="1"/>
  <c r="BV14" i="4" s="1"/>
  <c r="BV16" i="4" s="1"/>
  <c r="BW28" i="4" a="1"/>
  <c r="BW28" i="4" s="1"/>
  <c r="BW4" i="4"/>
  <c r="BW15" i="4" s="1"/>
  <c r="BX5" i="4"/>
  <c r="BW22" i="7" s="1"/>
  <c r="BW13" i="4"/>
  <c r="BW6" i="4"/>
  <c r="BW11" i="4" a="1"/>
  <c r="BW11" i="4" s="1"/>
  <c r="BW43" i="4" s="1" a="1"/>
  <c r="BW43" i="4" s="1"/>
  <c r="BW27" i="7" l="1"/>
  <c r="BW30" i="7"/>
  <c r="BW25" i="7"/>
  <c r="BW26" i="7"/>
  <c r="BX24" i="4" s="1" a="1"/>
  <c r="BX24" i="4" s="1"/>
  <c r="BW32" i="7"/>
  <c r="BW23" i="7"/>
  <c r="BW31" i="7"/>
  <c r="BW24" i="7"/>
  <c r="BW28" i="7"/>
  <c r="BW29" i="7"/>
  <c r="BW33" i="7"/>
  <c r="BV17" i="4" a="1"/>
  <c r="BV17" i="4" s="1"/>
  <c r="BV18" i="4" s="1"/>
  <c r="BU44" i="4" a="1"/>
  <c r="BU44" i="4" s="1"/>
  <c r="BW23" i="4" a="1"/>
  <c r="BW23" i="4" s="1"/>
  <c r="BV31" i="4"/>
  <c r="BW22" i="4" a="1"/>
  <c r="BW22" i="4" s="1"/>
  <c r="BW24" i="4" a="1"/>
  <c r="BW24" i="4" s="1"/>
  <c r="BW30" i="4" a="1"/>
  <c r="BW30" i="4" s="1"/>
  <c r="BW25" i="4" a="1"/>
  <c r="BW25" i="4" s="1"/>
  <c r="BX37" i="4" a="1"/>
  <c r="BX37" i="4" s="1"/>
  <c r="BX46" i="4" s="1" a="1"/>
  <c r="BX46" i="4" s="1"/>
  <c r="BX36" i="4" a="1"/>
  <c r="BX36" i="4" s="1"/>
  <c r="BW27" i="4" a="1"/>
  <c r="BW27" i="4" s="1"/>
  <c r="BW38" i="4"/>
  <c r="BW45" i="4" a="1"/>
  <c r="BW45" i="4" s="1"/>
  <c r="BW29" i="4" a="1"/>
  <c r="BW29" i="4" s="1"/>
  <c r="BW21" i="4" a="1"/>
  <c r="BW21" i="4" s="1"/>
  <c r="BU33" i="4"/>
  <c r="BW26" i="4" a="1"/>
  <c r="BW26" i="4" s="1"/>
  <c r="BX11" i="4" a="1"/>
  <c r="BX11" i="4" s="1"/>
  <c r="BX43" i="4" s="1" a="1"/>
  <c r="BX43" i="4" s="1"/>
  <c r="BX6" i="4"/>
  <c r="BX17" i="4" a="1"/>
  <c r="BX17" i="4" s="1"/>
  <c r="BX13" i="4"/>
  <c r="BY5" i="4"/>
  <c r="BX22" i="7" s="1"/>
  <c r="BX4" i="4"/>
  <c r="BX15" i="4" s="1"/>
  <c r="BW12" i="4" a="1"/>
  <c r="BW12" i="4" s="1"/>
  <c r="BW14" i="4" s="1"/>
  <c r="BW16" i="4" s="1"/>
  <c r="BX24" i="7" l="1"/>
  <c r="BX27" i="7"/>
  <c r="BX30" i="7"/>
  <c r="BX26" i="7"/>
  <c r="BX32" i="7"/>
  <c r="BX23" i="7"/>
  <c r="BX31" i="7"/>
  <c r="BX29" i="7"/>
  <c r="BX28" i="7"/>
  <c r="BX33" i="7"/>
  <c r="BX25" i="7"/>
  <c r="BV33" i="4"/>
  <c r="BV40" i="4" s="1"/>
  <c r="BW17" i="4" a="1"/>
  <c r="BW17" i="4" s="1"/>
  <c r="BW18" i="4" s="1"/>
  <c r="BX23" i="4" a="1"/>
  <c r="BX23" i="4" s="1"/>
  <c r="BX21" i="4" a="1"/>
  <c r="BX21" i="4" s="1"/>
  <c r="BX25" i="4" a="1"/>
  <c r="BX25" i="4" s="1"/>
  <c r="BX27" i="4" a="1"/>
  <c r="BX27" i="4" s="1"/>
  <c r="BV44" i="4" a="1"/>
  <c r="BV44" i="4" s="1"/>
  <c r="BU40" i="4"/>
  <c r="BX28" i="4" a="1"/>
  <c r="BX28" i="4" s="1"/>
  <c r="BX29" i="4" a="1"/>
  <c r="BX29" i="4" s="1"/>
  <c r="BX30" i="4" a="1"/>
  <c r="BX30" i="4" s="1"/>
  <c r="BX38" i="4"/>
  <c r="BX45" i="4" a="1"/>
  <c r="BX45" i="4" s="1"/>
  <c r="BY37" i="4" a="1"/>
  <c r="BY37" i="4" s="1"/>
  <c r="BY46" i="4" s="1" a="1"/>
  <c r="BY46" i="4" s="1"/>
  <c r="BY36" i="4" a="1"/>
  <c r="BY36" i="4" s="1"/>
  <c r="BW31" i="4"/>
  <c r="BX22" i="4" a="1"/>
  <c r="BX22" i="4" s="1"/>
  <c r="BX26" i="4" a="1"/>
  <c r="BX26" i="4" s="1"/>
  <c r="BY22" i="4" a="1"/>
  <c r="BY22" i="4" s="1"/>
  <c r="BX12" i="4" a="1"/>
  <c r="BX12" i="4" s="1"/>
  <c r="BX14" i="4" s="1"/>
  <c r="BX16" i="4" s="1"/>
  <c r="BX18" i="4" s="1"/>
  <c r="BY6" i="4"/>
  <c r="BY13" i="4"/>
  <c r="BY4" i="4"/>
  <c r="BY15" i="4" s="1"/>
  <c r="BZ5" i="4"/>
  <c r="BY11" i="4" a="1"/>
  <c r="BY11" i="4" s="1"/>
  <c r="BY43" i="4" s="1" a="1"/>
  <c r="BY43" i="4" s="1"/>
  <c r="BY17" i="4" a="1"/>
  <c r="BY17" i="4" s="1"/>
  <c r="BY22" i="7" l="1"/>
  <c r="M32" i="10"/>
  <c r="N40" i="10"/>
  <c r="K39" i="10"/>
  <c r="L38" i="10"/>
  <c r="P34" i="10"/>
  <c r="M31" i="10"/>
  <c r="L32" i="10"/>
  <c r="Q40" i="10"/>
  <c r="O36" i="10"/>
  <c r="O35" i="10"/>
  <c r="K40" i="10"/>
  <c r="K33" i="10"/>
  <c r="L34" i="10"/>
  <c r="Q31" i="10"/>
  <c r="O32" i="10"/>
  <c r="L35" i="10"/>
  <c r="O40" i="10"/>
  <c r="N34" i="10"/>
  <c r="O31" i="10"/>
  <c r="Q34" i="10"/>
  <c r="N38" i="10"/>
  <c r="Q39" i="10"/>
  <c r="L31" i="10"/>
  <c r="M40" i="10"/>
  <c r="P39" i="10"/>
  <c r="M34" i="10"/>
  <c r="P40" i="10"/>
  <c r="O34" i="10"/>
  <c r="N31" i="10"/>
  <c r="O33" i="10"/>
  <c r="Q35" i="10"/>
  <c r="M39" i="10"/>
  <c r="O39" i="10"/>
  <c r="P31" i="10"/>
  <c r="N36" i="10"/>
  <c r="N32" i="10"/>
  <c r="O38" i="10"/>
  <c r="M33" i="10"/>
  <c r="P33" i="10"/>
  <c r="Q38" i="10"/>
  <c r="P35" i="10"/>
  <c r="M36" i="10"/>
  <c r="P38" i="10"/>
  <c r="N35" i="10"/>
  <c r="L36" i="10"/>
  <c r="Q32" i="10"/>
  <c r="P32" i="10"/>
  <c r="P37" i="10"/>
  <c r="N33" i="10"/>
  <c r="Q33" i="10"/>
  <c r="L37" i="10"/>
  <c r="M35" i="10"/>
  <c r="L40" i="10"/>
  <c r="N37" i="10"/>
  <c r="Q36" i="10"/>
  <c r="M37" i="10"/>
  <c r="N39" i="10"/>
  <c r="O37" i="10"/>
  <c r="L39" i="10"/>
  <c r="Q37" i="10"/>
  <c r="P36" i="10"/>
  <c r="M38" i="10"/>
  <c r="AU40" i="10"/>
  <c r="X31" i="10"/>
  <c r="T34" i="10"/>
  <c r="V40" i="10"/>
  <c r="R36" i="10"/>
  <c r="AU34" i="10"/>
  <c r="V38" i="10"/>
  <c r="S35" i="10"/>
  <c r="AJ31" i="10"/>
  <c r="AN36" i="10"/>
  <c r="R33" i="10"/>
  <c r="AK35" i="10"/>
  <c r="AH33" i="10"/>
  <c r="AS40" i="10"/>
  <c r="AT38" i="10"/>
  <c r="S32" i="10"/>
  <c r="AH40" i="10"/>
  <c r="AH38" i="10"/>
  <c r="R35" i="10"/>
  <c r="AF32" i="10"/>
  <c r="AR35" i="10"/>
  <c r="AS38" i="10"/>
  <c r="AK31" i="10"/>
  <c r="AC39" i="10"/>
  <c r="AR33" i="10"/>
  <c r="AN33" i="10"/>
  <c r="AP31" i="10"/>
  <c r="AB32" i="10"/>
  <c r="R38" i="10"/>
  <c r="Z38" i="10"/>
  <c r="AQ33" i="10"/>
  <c r="AJ35" i="10"/>
  <c r="AF37" i="10"/>
  <c r="X36" i="10"/>
  <c r="AL39" i="10"/>
  <c r="AB38" i="10"/>
  <c r="AQ31" i="10"/>
  <c r="X40" i="10"/>
  <c r="AH36" i="10"/>
  <c r="T31" i="10"/>
  <c r="AI32" i="10"/>
  <c r="AL38" i="10"/>
  <c r="AI40" i="10"/>
  <c r="AN32" i="10"/>
  <c r="AD40" i="10"/>
  <c r="AR38" i="10"/>
  <c r="Z40" i="10"/>
  <c r="Z39" i="10"/>
  <c r="AT37" i="10"/>
  <c r="AU35" i="10"/>
  <c r="R39" i="10"/>
  <c r="AG37" i="10"/>
  <c r="AN37" i="10"/>
  <c r="AB31" i="10"/>
  <c r="V31" i="10"/>
  <c r="AG39" i="10"/>
  <c r="AD36" i="10"/>
  <c r="AH31" i="10"/>
  <c r="Y39" i="10"/>
  <c r="AS39" i="10"/>
  <c r="R37" i="10"/>
  <c r="AG31" i="10"/>
  <c r="AI33" i="10"/>
  <c r="AR39" i="10"/>
  <c r="AP39" i="10"/>
  <c r="AB36" i="10"/>
  <c r="R34" i="10"/>
  <c r="AD35" i="10"/>
  <c r="AF35" i="10"/>
  <c r="AR37" i="10"/>
  <c r="AB35" i="10"/>
  <c r="X34" i="10"/>
  <c r="AC38" i="10"/>
  <c r="AO37" i="10"/>
  <c r="AC34" i="10"/>
  <c r="AR40" i="10"/>
  <c r="AO34" i="10"/>
  <c r="X32" i="10"/>
  <c r="AA34" i="10"/>
  <c r="AM39" i="10"/>
  <c r="T39" i="10"/>
  <c r="AN35" i="10"/>
  <c r="AB39" i="10"/>
  <c r="Z33" i="10"/>
  <c r="AR32" i="10"/>
  <c r="AU33" i="10"/>
  <c r="AD32" i="10"/>
  <c r="X38" i="10"/>
  <c r="AO32" i="10"/>
  <c r="U31" i="10"/>
  <c r="AM31" i="10"/>
  <c r="AH32" i="10"/>
  <c r="AE37" i="10"/>
  <c r="AI35" i="10"/>
  <c r="Y40" i="10"/>
  <c r="AB33" i="10"/>
  <c r="AD34" i="10"/>
  <c r="V32" i="10"/>
  <c r="W40" i="10"/>
  <c r="AE31" i="10"/>
  <c r="AM38" i="10"/>
  <c r="AE33" i="10"/>
  <c r="AT40" i="10"/>
  <c r="T32" i="10"/>
  <c r="AS37" i="10"/>
  <c r="AA37" i="10"/>
  <c r="R32" i="10"/>
  <c r="S33" i="10"/>
  <c r="W32" i="10"/>
  <c r="AG40" i="10"/>
  <c r="Y33" i="10"/>
  <c r="AA39" i="10"/>
  <c r="AI39" i="10"/>
  <c r="AP35" i="10"/>
  <c r="X35" i="10"/>
  <c r="AQ36" i="10"/>
  <c r="AN31" i="10"/>
  <c r="AK38" i="10"/>
  <c r="AQ38" i="10"/>
  <c r="AT39" i="10"/>
  <c r="AL36" i="10"/>
  <c r="W33" i="10"/>
  <c r="AQ37" i="10"/>
  <c r="AD33" i="10"/>
  <c r="Z35" i="10"/>
  <c r="AU31" i="10"/>
  <c r="AS35" i="10"/>
  <c r="T35" i="10"/>
  <c r="AF33" i="10"/>
  <c r="AH37" i="10"/>
  <c r="W31" i="10"/>
  <c r="AA32" i="10"/>
  <c r="AK36" i="10"/>
  <c r="AM36" i="10"/>
  <c r="AD31" i="10"/>
  <c r="R40" i="10"/>
  <c r="AQ35" i="10"/>
  <c r="AE40" i="10"/>
  <c r="AG36" i="10"/>
  <c r="Y34" i="10"/>
  <c r="T36" i="10"/>
  <c r="W35" i="10"/>
  <c r="U34" i="10"/>
  <c r="U39" i="10"/>
  <c r="AE36" i="10"/>
  <c r="AJ39" i="10"/>
  <c r="AE34" i="10"/>
  <c r="U36" i="10"/>
  <c r="AK33" i="10"/>
  <c r="AT32" i="10"/>
  <c r="W34" i="10"/>
  <c r="T33" i="10"/>
  <c r="AS33" i="10"/>
  <c r="Z37" i="10"/>
  <c r="T40" i="10"/>
  <c r="AA38" i="10"/>
  <c r="AS36" i="10"/>
  <c r="AE39" i="10"/>
  <c r="AL40" i="10"/>
  <c r="AJ36" i="10"/>
  <c r="AF36" i="10"/>
  <c r="AL33" i="10"/>
  <c r="AJ32" i="10"/>
  <c r="AU32" i="10"/>
  <c r="AL31" i="10"/>
  <c r="AB37" i="10"/>
  <c r="W37" i="10"/>
  <c r="Y35" i="10"/>
  <c r="V35" i="10"/>
  <c r="AF38" i="10"/>
  <c r="Y36" i="10"/>
  <c r="AD38" i="10"/>
  <c r="AU37" i="10"/>
  <c r="X39" i="10"/>
  <c r="U38" i="10"/>
  <c r="AN39" i="10"/>
  <c r="Y32" i="10"/>
  <c r="AP36" i="10"/>
  <c r="S34" i="10"/>
  <c r="AT36" i="10"/>
  <c r="AC37" i="10"/>
  <c r="Y38" i="10"/>
  <c r="X33" i="10"/>
  <c r="AE38" i="10"/>
  <c r="S36" i="10"/>
  <c r="AT34" i="10"/>
  <c r="AG32" i="10"/>
  <c r="AA36" i="10"/>
  <c r="V37" i="10"/>
  <c r="AU36" i="10"/>
  <c r="AV38" i="10"/>
  <c r="AJ34" i="10"/>
  <c r="AK40" i="10"/>
  <c r="W38" i="10"/>
  <c r="AC35" i="10"/>
  <c r="AR34" i="10"/>
  <c r="AC32" i="10"/>
  <c r="T38" i="10"/>
  <c r="AT35" i="10"/>
  <c r="AS31" i="10"/>
  <c r="Z31" i="10"/>
  <c r="AQ39" i="10"/>
  <c r="Y31" i="10"/>
  <c r="AM33" i="10"/>
  <c r="AA40" i="10"/>
  <c r="AA33" i="10"/>
  <c r="AW40" i="10"/>
  <c r="AE35" i="10"/>
  <c r="AP40" i="10"/>
  <c r="AE32" i="10"/>
  <c r="AF39" i="10"/>
  <c r="AH35" i="10"/>
  <c r="AP33" i="10"/>
  <c r="AP38" i="10"/>
  <c r="W36" i="10"/>
  <c r="AR31" i="10"/>
  <c r="U35" i="10"/>
  <c r="AV35" i="10"/>
  <c r="AU38" i="10"/>
  <c r="V39" i="10"/>
  <c r="AO40" i="10"/>
  <c r="AK37" i="10"/>
  <c r="U33" i="10"/>
  <c r="AL35" i="10"/>
  <c r="AO36" i="10"/>
  <c r="AL34" i="10"/>
  <c r="AJ38" i="10"/>
  <c r="AO35" i="10"/>
  <c r="W39" i="10"/>
  <c r="AG33" i="10"/>
  <c r="AV39" i="10"/>
  <c r="AP37" i="10"/>
  <c r="AQ40" i="10"/>
  <c r="AJ37" i="10"/>
  <c r="AL32" i="10"/>
  <c r="AN40" i="10"/>
  <c r="AL37" i="10"/>
  <c r="AR36" i="10"/>
  <c r="S37" i="10"/>
  <c r="AM35" i="10"/>
  <c r="AM32" i="10"/>
  <c r="V34" i="10"/>
  <c r="AQ32" i="10"/>
  <c r="AI36" i="10"/>
  <c r="AN34" i="10"/>
  <c r="AO33" i="10"/>
  <c r="AV32" i="10"/>
  <c r="AW32" i="10"/>
  <c r="AG34" i="10"/>
  <c r="S39" i="10"/>
  <c r="AD37" i="10"/>
  <c r="S38" i="10"/>
  <c r="AH34" i="10"/>
  <c r="AA35" i="10"/>
  <c r="AK34" i="10"/>
  <c r="AM40" i="10"/>
  <c r="U37" i="10"/>
  <c r="AC36" i="10"/>
  <c r="AJ33" i="10"/>
  <c r="AF31" i="10"/>
  <c r="AC31" i="10"/>
  <c r="AI38" i="10"/>
  <c r="AD39" i="10"/>
  <c r="AI34" i="10"/>
  <c r="AP32" i="10"/>
  <c r="V33" i="10"/>
  <c r="AW35" i="10"/>
  <c r="AC33" i="10"/>
  <c r="AQ34" i="10"/>
  <c r="U32" i="10"/>
  <c r="T37" i="10"/>
  <c r="S31" i="10"/>
  <c r="AP34" i="10"/>
  <c r="AA31" i="10"/>
  <c r="AS34" i="10"/>
  <c r="AJ40" i="10"/>
  <c r="AO39" i="10"/>
  <c r="X37" i="10"/>
  <c r="AB40" i="10"/>
  <c r="AB34" i="10"/>
  <c r="AG35" i="10"/>
  <c r="AF40" i="10"/>
  <c r="AC40" i="10"/>
  <c r="AU39" i="10"/>
  <c r="AI31" i="10"/>
  <c r="AO38" i="10"/>
  <c r="Y37" i="10"/>
  <c r="AV36" i="10"/>
  <c r="U40" i="10"/>
  <c r="Z34" i="10"/>
  <c r="AF34" i="10"/>
  <c r="AM34" i="10"/>
  <c r="V36" i="10"/>
  <c r="AS32" i="10"/>
  <c r="AT33" i="10"/>
  <c r="AI37" i="10"/>
  <c r="S40" i="10"/>
  <c r="Z36" i="10"/>
  <c r="AK39" i="10"/>
  <c r="AT31" i="10"/>
  <c r="Z32" i="10"/>
  <c r="AM37" i="10"/>
  <c r="AO31" i="10"/>
  <c r="AK32" i="10"/>
  <c r="R31" i="10"/>
  <c r="AV40" i="10"/>
  <c r="AW38" i="10"/>
  <c r="AV33" i="10"/>
  <c r="AX40" i="10"/>
  <c r="AY35" i="10"/>
  <c r="AX38" i="10"/>
  <c r="AN38" i="10"/>
  <c r="AG38" i="10"/>
  <c r="AX36" i="10"/>
  <c r="AX34" i="10"/>
  <c r="AV37" i="10"/>
  <c r="AH39" i="10"/>
  <c r="AV31" i="10"/>
  <c r="AW39" i="10"/>
  <c r="AW37" i="10"/>
  <c r="AV34" i="10"/>
  <c r="AW34" i="10"/>
  <c r="AX37" i="10"/>
  <c r="AW33" i="10"/>
  <c r="BA38" i="10"/>
  <c r="AX35" i="10"/>
  <c r="AY40" i="10"/>
  <c r="AY38" i="10"/>
  <c r="AY36" i="10"/>
  <c r="AY32" i="10"/>
  <c r="AX32" i="10"/>
  <c r="BA36" i="10"/>
  <c r="AY37" i="10"/>
  <c r="AX31" i="10"/>
  <c r="AY39" i="10"/>
  <c r="AZ39" i="10"/>
  <c r="AY33" i="10"/>
  <c r="AZ36" i="10"/>
  <c r="AW36" i="10"/>
  <c r="AX33" i="10"/>
  <c r="AZ38" i="10"/>
  <c r="AW31" i="10"/>
  <c r="AY34" i="10"/>
  <c r="AY31" i="10"/>
  <c r="AZ40" i="10"/>
  <c r="AX39" i="10"/>
  <c r="AZ37" i="10"/>
  <c r="AZ35" i="10"/>
  <c r="AZ34" i="10"/>
  <c r="AZ33" i="10"/>
  <c r="BA32" i="10"/>
  <c r="BA35" i="10"/>
  <c r="BA37" i="10"/>
  <c r="AZ31" i="10"/>
  <c r="BA33" i="10"/>
  <c r="AZ32" i="10"/>
  <c r="BB35" i="10"/>
  <c r="BA34" i="10"/>
  <c r="BA31" i="10"/>
  <c r="BB39" i="10"/>
  <c r="BA40" i="10"/>
  <c r="BB31" i="10"/>
  <c r="BB33" i="10"/>
  <c r="BE40" i="10"/>
  <c r="BB36" i="10"/>
  <c r="BB32" i="10"/>
  <c r="BC40" i="10"/>
  <c r="BA39" i="10"/>
  <c r="BC37" i="10"/>
  <c r="BC39" i="10"/>
  <c r="BC34" i="10"/>
  <c r="BD34" i="10"/>
  <c r="BD36" i="10"/>
  <c r="BC31" i="10"/>
  <c r="BD40" i="10"/>
  <c r="BD38" i="10"/>
  <c r="BC32" i="10"/>
  <c r="BC33" i="10"/>
  <c r="BB40" i="10"/>
  <c r="BD31" i="10"/>
  <c r="BB37" i="10"/>
  <c r="BD33" i="10"/>
  <c r="BE34" i="10"/>
  <c r="BC35" i="10"/>
  <c r="BB34" i="10"/>
  <c r="BD32" i="10"/>
  <c r="BC36" i="10"/>
  <c r="BE36" i="10"/>
  <c r="BB38" i="10"/>
  <c r="BD37" i="10"/>
  <c r="BC38" i="10"/>
  <c r="BE35" i="10"/>
  <c r="BE31" i="10"/>
  <c r="BD39" i="10"/>
  <c r="BF31" i="10"/>
  <c r="BF39" i="10"/>
  <c r="BF35" i="10"/>
  <c r="BE39" i="10"/>
  <c r="BE37" i="10"/>
  <c r="BE38" i="10"/>
  <c r="BE32" i="10"/>
  <c r="BF32" i="10"/>
  <c r="BD35" i="10"/>
  <c r="BG35" i="10"/>
  <c r="BH36" i="10"/>
  <c r="BG31" i="10"/>
  <c r="BE33" i="10"/>
  <c r="BG36" i="10"/>
  <c r="BG34" i="10"/>
  <c r="BF34" i="10"/>
  <c r="BF37" i="10"/>
  <c r="BF40" i="10"/>
  <c r="BG33" i="10"/>
  <c r="BG32" i="10"/>
  <c r="BH39" i="10"/>
  <c r="BH34" i="10"/>
  <c r="BH37" i="10"/>
  <c r="BG37" i="10"/>
  <c r="BH33" i="10"/>
  <c r="BH40" i="10"/>
  <c r="BH31" i="10"/>
  <c r="BI40" i="10"/>
  <c r="BF36" i="10"/>
  <c r="BF38" i="10"/>
  <c r="BG39" i="10"/>
  <c r="BF33" i="10"/>
  <c r="BJ35" i="10"/>
  <c r="BJ39" i="10"/>
  <c r="BH35" i="10"/>
  <c r="BG38" i="10"/>
  <c r="BH32" i="10"/>
  <c r="BG40" i="10"/>
  <c r="BH38" i="10"/>
  <c r="BI33" i="10"/>
  <c r="BI39" i="10"/>
  <c r="BI36" i="10"/>
  <c r="BK40" i="10"/>
  <c r="BI37" i="10"/>
  <c r="BI38" i="10"/>
  <c r="BI35" i="10"/>
  <c r="BJ34" i="10"/>
  <c r="BI31" i="10"/>
  <c r="BJ38" i="10"/>
  <c r="BI32" i="10"/>
  <c r="BJ31" i="10"/>
  <c r="BI34" i="10"/>
  <c r="BJ32" i="10"/>
  <c r="BK35" i="10"/>
  <c r="BJ36" i="10"/>
  <c r="BJ33" i="10"/>
  <c r="BK32" i="10"/>
  <c r="BK33" i="10"/>
  <c r="BK36" i="10"/>
  <c r="BL34" i="10"/>
  <c r="BK31" i="10"/>
  <c r="BJ40" i="10"/>
  <c r="BK34" i="10"/>
  <c r="BK37" i="10"/>
  <c r="BK39" i="10"/>
  <c r="BJ37" i="10"/>
  <c r="BK38" i="10"/>
  <c r="BL39" i="10"/>
  <c r="BL35" i="10"/>
  <c r="BL33" i="10"/>
  <c r="BL32" i="10"/>
  <c r="BL38" i="10"/>
  <c r="BL37" i="10"/>
  <c r="BL36" i="10"/>
  <c r="BL31" i="10"/>
  <c r="BL40" i="10"/>
  <c r="BM40" i="10"/>
  <c r="BM34" i="10"/>
  <c r="BM31" i="10"/>
  <c r="BM32" i="10"/>
  <c r="BN34" i="10"/>
  <c r="BM36" i="10"/>
  <c r="BN39" i="10"/>
  <c r="BN40" i="10"/>
  <c r="BN35" i="10"/>
  <c r="BM35" i="10"/>
  <c r="BN31" i="10"/>
  <c r="BM39" i="10"/>
  <c r="BM37" i="10"/>
  <c r="BM38" i="10"/>
  <c r="BN32" i="10"/>
  <c r="BM33" i="10"/>
  <c r="BN36" i="10"/>
  <c r="BN38" i="10"/>
  <c r="BN33" i="10"/>
  <c r="BN37" i="10"/>
  <c r="T11" i="10"/>
  <c r="Z17" i="10"/>
  <c r="AM11" i="10"/>
  <c r="AE18" i="10"/>
  <c r="AP12" i="10"/>
  <c r="AO11" i="10"/>
  <c r="V11" i="10"/>
  <c r="R21" i="10"/>
  <c r="K24" i="10"/>
  <c r="K25" i="10" s="1"/>
  <c r="S18" i="10"/>
  <c r="N11" i="10"/>
  <c r="T24" i="10"/>
  <c r="AJ17" i="10"/>
  <c r="AI12" i="10"/>
  <c r="R24" i="10"/>
  <c r="AG17" i="10"/>
  <c r="AO21" i="10"/>
  <c r="AN17" i="10"/>
  <c r="S21" i="10"/>
  <c r="AH12" i="10"/>
  <c r="R17" i="10"/>
  <c r="AS11" i="10"/>
  <c r="AL24" i="10"/>
  <c r="U17" i="10"/>
  <c r="AR11" i="10"/>
  <c r="AR19" i="10"/>
  <c r="R19" i="10"/>
  <c r="AG12" i="10"/>
  <c r="AQ17" i="10"/>
  <c r="L12" i="10"/>
  <c r="Z18" i="10"/>
  <c r="AT12" i="10"/>
  <c r="AF17" i="10"/>
  <c r="Q24" i="10"/>
  <c r="S11" i="10"/>
  <c r="P12" i="10"/>
  <c r="AJ18" i="10"/>
  <c r="AA19" i="10"/>
  <c r="X19" i="10"/>
  <c r="AF11" i="10"/>
  <c r="AD18" i="10"/>
  <c r="Q12" i="10"/>
  <c r="M11" i="10"/>
  <c r="AK18" i="10"/>
  <c r="AM12" i="10"/>
  <c r="AH18" i="10"/>
  <c r="Y11" i="10"/>
  <c r="O19" i="10"/>
  <c r="O20" i="10" s="1"/>
  <c r="Z21" i="10"/>
  <c r="T17" i="10"/>
  <c r="X21" i="10"/>
  <c r="O11" i="10"/>
  <c r="AU18" i="10"/>
  <c r="L11" i="10"/>
  <c r="AL17" i="10"/>
  <c r="AT19" i="10"/>
  <c r="AP11" i="10"/>
  <c r="AP24" i="10"/>
  <c r="L24" i="10"/>
  <c r="V21" i="10"/>
  <c r="Q17" i="10"/>
  <c r="X11" i="10"/>
  <c r="V12" i="10"/>
  <c r="Y21" i="10"/>
  <c r="AU24" i="10"/>
  <c r="R18" i="10"/>
  <c r="AE17" i="10"/>
  <c r="AB18" i="10"/>
  <c r="Y24" i="10"/>
  <c r="W24" i="10"/>
  <c r="AN24" i="10"/>
  <c r="AT17" i="10"/>
  <c r="AO19" i="10"/>
  <c r="AK12" i="10"/>
  <c r="O12" i="10"/>
  <c r="Y17" i="10"/>
  <c r="AD11" i="10"/>
  <c r="Q11" i="10"/>
  <c r="AB17" i="10"/>
  <c r="W19" i="10"/>
  <c r="U12" i="10"/>
  <c r="Y12" i="10"/>
  <c r="T18" i="10"/>
  <c r="AM17" i="10"/>
  <c r="Y19" i="10"/>
  <c r="AO12" i="10"/>
  <c r="AS18" i="10"/>
  <c r="S12" i="10"/>
  <c r="Q21" i="10"/>
  <c r="AN11" i="10"/>
  <c r="AF21" i="10"/>
  <c r="U19" i="10"/>
  <c r="AL19" i="10"/>
  <c r="AF18" i="10"/>
  <c r="AR18" i="10"/>
  <c r="AA21" i="10"/>
  <c r="AQ18" i="10"/>
  <c r="T21" i="10"/>
  <c r="AI24" i="10"/>
  <c r="AP21" i="10"/>
  <c r="W12" i="10"/>
  <c r="P19" i="10"/>
  <c r="P20" i="10" s="1"/>
  <c r="X17" i="10"/>
  <c r="AD17" i="10"/>
  <c r="AG18" i="10"/>
  <c r="AS17" i="10"/>
  <c r="AR12" i="10"/>
  <c r="Q18" i="10"/>
  <c r="T19" i="10"/>
  <c r="AK19" i="10"/>
  <c r="AJ24" i="10"/>
  <c r="AR17" i="10"/>
  <c r="S17" i="10"/>
  <c r="M19" i="10"/>
  <c r="M20" i="10" s="1"/>
  <c r="AA17" i="10"/>
  <c r="AM24" i="10"/>
  <c r="AC11" i="10"/>
  <c r="AU21" i="10"/>
  <c r="M12" i="10"/>
  <c r="W21" i="10"/>
  <c r="V19" i="10"/>
  <c r="AF19" i="10"/>
  <c r="AL12" i="10"/>
  <c r="T12" i="10"/>
  <c r="AC19" i="10"/>
  <c r="AM18" i="10"/>
  <c r="AR24" i="10"/>
  <c r="AA18" i="10"/>
  <c r="AI18" i="10"/>
  <c r="U11" i="10"/>
  <c r="AI19" i="10"/>
  <c r="W18" i="10"/>
  <c r="AE21" i="10"/>
  <c r="R12" i="10"/>
  <c r="AE12" i="10"/>
  <c r="AD12" i="10"/>
  <c r="N12" i="10"/>
  <c r="AC17" i="10"/>
  <c r="AI17" i="10"/>
  <c r="U24" i="10"/>
  <c r="AO17" i="10"/>
  <c r="AB21" i="10"/>
  <c r="AI11" i="10"/>
  <c r="AH17" i="10"/>
  <c r="AJ19" i="10"/>
  <c r="AS24" i="10"/>
  <c r="AL21" i="10"/>
  <c r="Y18" i="10"/>
  <c r="AN21" i="10"/>
  <c r="AH21" i="10"/>
  <c r="AV12" i="10"/>
  <c r="Z24" i="10"/>
  <c r="AF12" i="10"/>
  <c r="N19" i="10"/>
  <c r="N20" i="10" s="1"/>
  <c r="AJ21" i="10"/>
  <c r="AB24" i="10"/>
  <c r="AQ19" i="10"/>
  <c r="S24" i="10"/>
  <c r="X24" i="10"/>
  <c r="AH24" i="10"/>
  <c r="N24" i="10"/>
  <c r="AG21" i="10"/>
  <c r="W11" i="10"/>
  <c r="Z11" i="10"/>
  <c r="AB12" i="10"/>
  <c r="V24" i="10"/>
  <c r="U18" i="10"/>
  <c r="AK24" i="10"/>
  <c r="P24" i="10"/>
  <c r="AE24" i="10"/>
  <c r="P11" i="10"/>
  <c r="U21" i="10"/>
  <c r="AM19" i="10"/>
  <c r="L19" i="10"/>
  <c r="L20" i="10" s="1"/>
  <c r="AG24" i="10"/>
  <c r="AO18" i="10"/>
  <c r="AD19" i="10"/>
  <c r="AK11" i="10"/>
  <c r="W17" i="10"/>
  <c r="AE11" i="10"/>
  <c r="AS19" i="10"/>
  <c r="AT11" i="10"/>
  <c r="AV19" i="10"/>
  <c r="AA12" i="10"/>
  <c r="AJ11" i="10"/>
  <c r="AQ21" i="10"/>
  <c r="X18" i="10"/>
  <c r="Q19" i="10"/>
  <c r="AL18" i="10"/>
  <c r="AR21" i="10"/>
  <c r="Z12" i="10"/>
  <c r="AQ11" i="10"/>
  <c r="AK21" i="10"/>
  <c r="AN12" i="10"/>
  <c r="AA11" i="10"/>
  <c r="AC18" i="10"/>
  <c r="AC24" i="10"/>
  <c r="AS12" i="10"/>
  <c r="AV18" i="10"/>
  <c r="AM21" i="10"/>
  <c r="AB11" i="10"/>
  <c r="AT21" i="10"/>
  <c r="V18" i="10"/>
  <c r="AS21" i="10"/>
  <c r="AW21" i="10"/>
  <c r="AA24" i="10"/>
  <c r="AW11" i="10"/>
  <c r="AQ24" i="10"/>
  <c r="O24" i="10"/>
  <c r="AP18" i="10"/>
  <c r="AU19" i="10"/>
  <c r="AT18" i="10"/>
  <c r="AJ12" i="10"/>
  <c r="AH19" i="10"/>
  <c r="AF24" i="10"/>
  <c r="AQ12" i="10"/>
  <c r="AC12" i="10"/>
  <c r="AC21" i="10"/>
  <c r="AK17" i="10"/>
  <c r="V17" i="10"/>
  <c r="AG11" i="10"/>
  <c r="AE19" i="10"/>
  <c r="AP17" i="10"/>
  <c r="AV24" i="10"/>
  <c r="AI21" i="10"/>
  <c r="AD24" i="10"/>
  <c r="AV17" i="10"/>
  <c r="R11" i="10"/>
  <c r="AN19" i="10"/>
  <c r="AH11" i="10"/>
  <c r="AV11" i="10"/>
  <c r="AD21" i="10"/>
  <c r="AO24" i="10"/>
  <c r="X12" i="10"/>
  <c r="Z19" i="10"/>
  <c r="S19" i="10"/>
  <c r="AP19" i="10"/>
  <c r="AU11" i="10"/>
  <c r="AG19" i="10"/>
  <c r="AU17" i="10"/>
  <c r="AN18" i="10"/>
  <c r="AL11" i="10"/>
  <c r="AT24" i="10"/>
  <c r="AB19" i="10"/>
  <c r="AU12" i="10"/>
  <c r="AV21" i="10"/>
  <c r="AX19" i="10"/>
  <c r="AW24" i="10"/>
  <c r="AX11" i="10"/>
  <c r="AW18" i="10"/>
  <c r="AW19" i="10"/>
  <c r="AW12" i="10"/>
  <c r="AX24" i="10"/>
  <c r="AW17" i="10"/>
  <c r="AY18" i="10"/>
  <c r="AZ12" i="10"/>
  <c r="AY11" i="10"/>
  <c r="AY17" i="10"/>
  <c r="AY21" i="10"/>
  <c r="AX12" i="10"/>
  <c r="AX21" i="10"/>
  <c r="AX18" i="10"/>
  <c r="AX17" i="10"/>
  <c r="AY12" i="10"/>
  <c r="BA19" i="10"/>
  <c r="AZ21" i="10"/>
  <c r="AY19" i="10"/>
  <c r="AZ19" i="10"/>
  <c r="BB12" i="10"/>
  <c r="BA24" i="10"/>
  <c r="AY24" i="10"/>
  <c r="AZ24" i="10"/>
  <c r="AZ17" i="10"/>
  <c r="AZ18" i="10"/>
  <c r="AZ11" i="10"/>
  <c r="BB17" i="10"/>
  <c r="BA21" i="10"/>
  <c r="BC11" i="10"/>
  <c r="BB18" i="10"/>
  <c r="BB11" i="10"/>
  <c r="BA17" i="10"/>
  <c r="BA18" i="10"/>
  <c r="BC17" i="10"/>
  <c r="BA11" i="10"/>
  <c r="BB21" i="10"/>
  <c r="BC21" i="10"/>
  <c r="BB24" i="10"/>
  <c r="BA12" i="10"/>
  <c r="BB19" i="10"/>
  <c r="BD11" i="10"/>
  <c r="BC18" i="10"/>
  <c r="BC12" i="10"/>
  <c r="BD18" i="10"/>
  <c r="BD17" i="10"/>
  <c r="BC19" i="10"/>
  <c r="BF21" i="10"/>
  <c r="BC24" i="10"/>
  <c r="BD12" i="10"/>
  <c r="BH24" i="10"/>
  <c r="BD24" i="10"/>
  <c r="BE24" i="10"/>
  <c r="BD19" i="10"/>
  <c r="BF12" i="10"/>
  <c r="BF19" i="10"/>
  <c r="BD21" i="10"/>
  <c r="BF24" i="10"/>
  <c r="BF17" i="10"/>
  <c r="BE17" i="10"/>
  <c r="BG21" i="10"/>
  <c r="BE18" i="10"/>
  <c r="BG24" i="10"/>
  <c r="BF18" i="10"/>
  <c r="BF11" i="10"/>
  <c r="BE19" i="10"/>
  <c r="BE21" i="10"/>
  <c r="BG12" i="10"/>
  <c r="BH19" i="10"/>
  <c r="BE12" i="10"/>
  <c r="BH12" i="10"/>
  <c r="BH17" i="10"/>
  <c r="BE11" i="10"/>
  <c r="BG19" i="10"/>
  <c r="BG18" i="10"/>
  <c r="BH21" i="10"/>
  <c r="BG11" i="10"/>
  <c r="BG17" i="10"/>
  <c r="BH18" i="10"/>
  <c r="BI21" i="10"/>
  <c r="BI11" i="10"/>
  <c r="BJ21" i="10"/>
  <c r="BI18" i="10"/>
  <c r="BJ11" i="10"/>
  <c r="BJ17" i="10"/>
  <c r="BJ18" i="10"/>
  <c r="BH11" i="10"/>
  <c r="BI17" i="10"/>
  <c r="BI19" i="10"/>
  <c r="BK19" i="10"/>
  <c r="BK17" i="10"/>
  <c r="BK12" i="10"/>
  <c r="BJ19" i="10"/>
  <c r="BK11" i="10"/>
  <c r="BI24" i="10"/>
  <c r="BJ12" i="10"/>
  <c r="BL21" i="10"/>
  <c r="BJ24" i="10"/>
  <c r="BI12" i="10"/>
  <c r="BK24" i="10"/>
  <c r="BL19" i="10"/>
  <c r="BK18" i="10"/>
  <c r="BN17" i="10"/>
  <c r="BK21" i="10"/>
  <c r="BM17" i="10"/>
  <c r="BM21" i="10"/>
  <c r="BM12" i="10"/>
  <c r="BM19" i="10"/>
  <c r="BL11" i="10"/>
  <c r="BL18" i="10"/>
  <c r="BN12" i="10"/>
  <c r="BM18" i="10"/>
  <c r="BL12" i="10"/>
  <c r="BL17" i="10"/>
  <c r="BL24" i="10"/>
  <c r="BM11" i="10"/>
  <c r="BM24" i="10"/>
  <c r="BN19" i="10"/>
  <c r="BN11" i="10"/>
  <c r="BN18" i="10"/>
  <c r="BN21" i="10"/>
  <c r="BN24" i="10"/>
  <c r="BW44" i="4" a="1"/>
  <c r="BW44" i="4" s="1"/>
  <c r="BY23" i="4" a="1"/>
  <c r="BY23" i="4" s="1"/>
  <c r="BX31" i="4"/>
  <c r="BX33" i="4" s="1"/>
  <c r="BX40" i="4" s="1"/>
  <c r="BY30" i="4" a="1"/>
  <c r="BY30" i="4" s="1"/>
  <c r="BY26" i="4" a="1"/>
  <c r="BY26" i="4" s="1"/>
  <c r="BZ37" i="4" a="1"/>
  <c r="BZ37" i="4" s="1"/>
  <c r="BZ36" i="4" a="1"/>
  <c r="BZ36" i="4" s="1"/>
  <c r="BY28" i="4" a="1"/>
  <c r="BY28" i="4" s="1"/>
  <c r="BY21" i="4" a="1"/>
  <c r="BY21" i="4" s="1"/>
  <c r="BY25" i="4" a="1"/>
  <c r="BY25" i="4" s="1"/>
  <c r="BY27" i="4" a="1"/>
  <c r="BY27" i="4" s="1"/>
  <c r="BY38" i="4"/>
  <c r="BY45" i="4" a="1"/>
  <c r="BY45" i="4" s="1"/>
  <c r="BY29" i="4" a="1"/>
  <c r="BY29" i="4" s="1"/>
  <c r="BW33" i="4"/>
  <c r="BW40" i="4" s="1"/>
  <c r="BY24" i="4" a="1"/>
  <c r="BY24" i="4" s="1"/>
  <c r="BY12" i="4" a="1"/>
  <c r="BY12" i="4" s="1"/>
  <c r="BY14" i="4" s="1"/>
  <c r="BY16" i="4" s="1"/>
  <c r="BY18" i="4" s="1"/>
  <c r="BZ11" i="4" a="1"/>
  <c r="BZ11" i="4" s="1"/>
  <c r="BZ6" i="4"/>
  <c r="CA5" i="4"/>
  <c r="CA18" i="4" s="1"/>
  <c r="BZ4" i="4"/>
  <c r="BZ17" i="4" a="1"/>
  <c r="BZ17" i="4" s="1"/>
  <c r="BZ13" i="4"/>
  <c r="BY29" i="7" l="1"/>
  <c r="BY24" i="7"/>
  <c r="BY27" i="7"/>
  <c r="BY28" i="7"/>
  <c r="BZ26" i="4" s="1" a="1"/>
  <c r="BZ26" i="4" s="1"/>
  <c r="BY31" i="7"/>
  <c r="BZ29" i="4" s="1" a="1"/>
  <c r="BZ29" i="4" s="1"/>
  <c r="BY30" i="7"/>
  <c r="BZ28" i="4" s="1" a="1"/>
  <c r="BZ28" i="4" s="1"/>
  <c r="BY33" i="7"/>
  <c r="BY25" i="7"/>
  <c r="BY26" i="7"/>
  <c r="BY32" i="7"/>
  <c r="BY23" i="7"/>
  <c r="AR41" i="10"/>
  <c r="AA41" i="10"/>
  <c r="R41" i="10"/>
  <c r="AO41" i="10"/>
  <c r="BD41" i="10"/>
  <c r="S41" i="10"/>
  <c r="N41" i="10"/>
  <c r="BI41" i="10"/>
  <c r="BH41" i="10"/>
  <c r="BG41" i="10"/>
  <c r="AW41" i="10"/>
  <c r="AX41" i="10"/>
  <c r="AI41" i="10"/>
  <c r="AM41" i="10"/>
  <c r="AG41" i="10"/>
  <c r="AB41" i="10"/>
  <c r="K41" i="10"/>
  <c r="K43" i="10" s="1"/>
  <c r="K46" i="10" s="1"/>
  <c r="BB41" i="10"/>
  <c r="AS41" i="10"/>
  <c r="U41" i="10"/>
  <c r="AP41" i="10"/>
  <c r="BL41" i="10"/>
  <c r="AZ41" i="10"/>
  <c r="AV41" i="10"/>
  <c r="AU41" i="10"/>
  <c r="T41" i="10"/>
  <c r="L41" i="10"/>
  <c r="BK41" i="10"/>
  <c r="BC41" i="10"/>
  <c r="O41" i="10"/>
  <c r="AL41" i="10"/>
  <c r="W41" i="10"/>
  <c r="BF41" i="10"/>
  <c r="AN41" i="10"/>
  <c r="AE41" i="10"/>
  <c r="AH41" i="10"/>
  <c r="AJ41" i="10"/>
  <c r="BN41" i="10"/>
  <c r="BJ41" i="10"/>
  <c r="BA41" i="10"/>
  <c r="AY41" i="10"/>
  <c r="P41" i="10"/>
  <c r="AC41" i="10"/>
  <c r="Y41" i="10"/>
  <c r="BM41" i="10"/>
  <c r="BE41" i="10"/>
  <c r="AT41" i="10"/>
  <c r="AF41" i="10"/>
  <c r="Q41" i="10"/>
  <c r="M41" i="10"/>
  <c r="AQ41" i="10"/>
  <c r="X41" i="10"/>
  <c r="Z41" i="10"/>
  <c r="AD41" i="10"/>
  <c r="V41" i="10"/>
  <c r="AK41" i="10"/>
  <c r="M23" i="10"/>
  <c r="M25" i="10" s="1"/>
  <c r="L23" i="10"/>
  <c r="L25" i="10" s="1"/>
  <c r="P23" i="10"/>
  <c r="P25" i="10" s="1"/>
  <c r="P43" i="10" s="1"/>
  <c r="O23" i="10"/>
  <c r="O25" i="10" s="1"/>
  <c r="N23" i="10"/>
  <c r="N25" i="10" s="1"/>
  <c r="AP13" i="10"/>
  <c r="AP54" i="10" s="1"/>
  <c r="AP51" i="10" s="1"/>
  <c r="AT20" i="10"/>
  <c r="AT27" i="10" s="1"/>
  <c r="X20" i="10"/>
  <c r="X27" i="10" s="1"/>
  <c r="BF20" i="10"/>
  <c r="BF27" i="10" s="1"/>
  <c r="AI20" i="10"/>
  <c r="AI27" i="10" s="1"/>
  <c r="AF20" i="10"/>
  <c r="AF27" i="10" s="1"/>
  <c r="AL20" i="10"/>
  <c r="AL27" i="10" s="1"/>
  <c r="AN20" i="10"/>
  <c r="AN27" i="10" s="1"/>
  <c r="BJ20" i="10"/>
  <c r="BJ27" i="10" s="1"/>
  <c r="BH20" i="10"/>
  <c r="BH27" i="10" s="1"/>
  <c r="BD20" i="10"/>
  <c r="BD27" i="10" s="1"/>
  <c r="BC20" i="10"/>
  <c r="BC27" i="10" s="1"/>
  <c r="AU20" i="10"/>
  <c r="AU27" i="10" s="1"/>
  <c r="AV20" i="10"/>
  <c r="AV27" i="10" s="1"/>
  <c r="V20" i="10"/>
  <c r="V27" i="10" s="1"/>
  <c r="W20" i="10"/>
  <c r="W27" i="10" s="1"/>
  <c r="S20" i="10"/>
  <c r="S27" i="10" s="1"/>
  <c r="BN20" i="10"/>
  <c r="BN27" i="10" s="1"/>
  <c r="BK20" i="10"/>
  <c r="BK27" i="10" s="1"/>
  <c r="BG20" i="10"/>
  <c r="BG27" i="10" s="1"/>
  <c r="T20" i="10"/>
  <c r="T27" i="10" s="1"/>
  <c r="Z20" i="10"/>
  <c r="Z27" i="10" s="1"/>
  <c r="BE20" i="10"/>
  <c r="BE27" i="10" s="1"/>
  <c r="BM20" i="10"/>
  <c r="BM27" i="10" s="1"/>
  <c r="BB20" i="10"/>
  <c r="BB27" i="10" s="1"/>
  <c r="AX20" i="10"/>
  <c r="AX27" i="10" s="1"/>
  <c r="AO20" i="10"/>
  <c r="AO27" i="10" s="1"/>
  <c r="AA20" i="10"/>
  <c r="AA27" i="10" s="1"/>
  <c r="AD20" i="10"/>
  <c r="AD27" i="10" s="1"/>
  <c r="AG20" i="10"/>
  <c r="AG27" i="10" s="1"/>
  <c r="AJ20" i="10"/>
  <c r="AJ27" i="10" s="1"/>
  <c r="R20" i="10"/>
  <c r="R27" i="10" s="1"/>
  <c r="AM20" i="10"/>
  <c r="AM27" i="10" s="1"/>
  <c r="AR20" i="10"/>
  <c r="AR27" i="10" s="1"/>
  <c r="BL20" i="10"/>
  <c r="BL27" i="10" s="1"/>
  <c r="BI20" i="10"/>
  <c r="BI27" i="10" s="1"/>
  <c r="AP20" i="10"/>
  <c r="AP27" i="10" s="1"/>
  <c r="AE13" i="10"/>
  <c r="AH20" i="10"/>
  <c r="AH27" i="10" s="1"/>
  <c r="AS20" i="10"/>
  <c r="AS27" i="10" s="1"/>
  <c r="Q20" i="10"/>
  <c r="Q27" i="10" s="1"/>
  <c r="U20" i="10"/>
  <c r="U27" i="10" s="1"/>
  <c r="BA20" i="10"/>
  <c r="BA27" i="10" s="1"/>
  <c r="AW20" i="10"/>
  <c r="AW27" i="10" s="1"/>
  <c r="AC20" i="10"/>
  <c r="AC27" i="10" s="1"/>
  <c r="AK20" i="10"/>
  <c r="AK27" i="10" s="1"/>
  <c r="AZ20" i="10"/>
  <c r="AZ27" i="10" s="1"/>
  <c r="Y20" i="10"/>
  <c r="Y27" i="10" s="1"/>
  <c r="AY20" i="10"/>
  <c r="AY27" i="10" s="1"/>
  <c r="AB20" i="10"/>
  <c r="AB27" i="10" s="1"/>
  <c r="AE20" i="10"/>
  <c r="AE27" i="10" s="1"/>
  <c r="AQ20" i="10"/>
  <c r="AQ27" i="10" s="1"/>
  <c r="U13" i="10"/>
  <c r="Q13" i="10"/>
  <c r="BL13" i="10"/>
  <c r="BH13" i="10"/>
  <c r="BC13" i="10"/>
  <c r="P13" i="10"/>
  <c r="P54" i="10" s="1"/>
  <c r="P51" i="10" s="1"/>
  <c r="AI13" i="10"/>
  <c r="AI54" i="10" s="1"/>
  <c r="AI51" i="10" s="1"/>
  <c r="AT13" i="10"/>
  <c r="AT54" i="10" s="1"/>
  <c r="AT51" i="10" s="1"/>
  <c r="X13" i="10"/>
  <c r="X54" i="10" s="1"/>
  <c r="X51" i="10" s="1"/>
  <c r="BD13" i="10"/>
  <c r="BD54" i="10" s="1"/>
  <c r="BD51" i="10" s="1"/>
  <c r="AH13" i="10"/>
  <c r="AH54" i="10" s="1"/>
  <c r="AH51" i="10" s="1"/>
  <c r="AX13" i="10"/>
  <c r="AX54" i="10" s="1"/>
  <c r="AX51" i="10" s="1"/>
  <c r="AA13" i="10"/>
  <c r="AG13" i="10"/>
  <c r="BA13" i="10"/>
  <c r="AF13" i="10"/>
  <c r="AR13" i="10"/>
  <c r="BK13" i="10"/>
  <c r="BJ13" i="10"/>
  <c r="AL13" i="10"/>
  <c r="BM13" i="10"/>
  <c r="BG13" i="10"/>
  <c r="BB13" i="10"/>
  <c r="AY13" i="10"/>
  <c r="BI13" i="10"/>
  <c r="AV13" i="10"/>
  <c r="W13" i="10"/>
  <c r="AN13" i="10"/>
  <c r="AO13" i="10"/>
  <c r="O13" i="10"/>
  <c r="S13" i="10"/>
  <c r="BF13" i="10"/>
  <c r="AM13" i="10"/>
  <c r="AQ13" i="10"/>
  <c r="BN13" i="10"/>
  <c r="R13" i="10"/>
  <c r="AW13" i="10"/>
  <c r="AB13" i="10"/>
  <c r="AJ13" i="10"/>
  <c r="BE13" i="10"/>
  <c r="AU13" i="10"/>
  <c r="AD13" i="10"/>
  <c r="L13" i="10"/>
  <c r="M13" i="10"/>
  <c r="AS13" i="10"/>
  <c r="N13" i="10"/>
  <c r="V13" i="10"/>
  <c r="AZ13" i="10"/>
  <c r="AK13" i="10"/>
  <c r="Z13" i="10"/>
  <c r="AC13" i="10"/>
  <c r="Y13" i="10"/>
  <c r="T13" i="10"/>
  <c r="BZ15" i="4"/>
  <c r="BZ46" i="4" a="1"/>
  <c r="BZ46" i="4" s="1"/>
  <c r="BZ43" i="4" a="1"/>
  <c r="BZ43" i="4" s="1"/>
  <c r="BX44" i="4" a="1"/>
  <c r="BX44" i="4" s="1"/>
  <c r="BZ23" i="4" a="1"/>
  <c r="BZ23" i="4" s="1"/>
  <c r="BZ25" i="4" a="1"/>
  <c r="BZ25" i="4" s="1"/>
  <c r="BZ45" i="4" a="1"/>
  <c r="BZ45" i="4" s="1"/>
  <c r="BZ38" i="4"/>
  <c r="BY31" i="4"/>
  <c r="BZ21" i="4" a="1"/>
  <c r="BZ21" i="4" s="1"/>
  <c r="BZ12" i="4" a="1"/>
  <c r="BZ12" i="4" s="1"/>
  <c r="BZ30" i="4" a="1"/>
  <c r="BZ30" i="4" s="1"/>
  <c r="BZ27" i="4" a="1"/>
  <c r="BZ27" i="4" s="1"/>
  <c r="BZ22" i="4" a="1"/>
  <c r="BZ22" i="4" s="1"/>
  <c r="CA4" i="4"/>
  <c r="CB5" i="4"/>
  <c r="CB18" i="4" s="1"/>
  <c r="CA12" i="4" a="1"/>
  <c r="CA12" i="4" s="1"/>
  <c r="CA11" i="4" a="1"/>
  <c r="CA11" i="4" s="1"/>
  <c r="CA15" i="4"/>
  <c r="CA6" i="4"/>
  <c r="CA14" i="4"/>
  <c r="CA13" i="4"/>
  <c r="CA16" i="4"/>
  <c r="CA17" i="4" a="1"/>
  <c r="CA17" i="4" s="1"/>
  <c r="BN54" i="10" l="1"/>
  <c r="BN51" i="10" s="1"/>
  <c r="H13" i="6"/>
  <c r="N43" i="10"/>
  <c r="O43" i="10"/>
  <c r="O46" i="10" s="1"/>
  <c r="M43" i="10"/>
  <c r="M46" i="10" s="1"/>
  <c r="L43" i="10"/>
  <c r="L46" i="10" s="1"/>
  <c r="AB23" i="10"/>
  <c r="AB25" i="10" s="1"/>
  <c r="AB43" i="10" s="1"/>
  <c r="AB46" i="10" s="1"/>
  <c r="BN23" i="10"/>
  <c r="BN25" i="10" s="1"/>
  <c r="BN43" i="10" s="1"/>
  <c r="AK23" i="10"/>
  <c r="AK25" i="10" s="1"/>
  <c r="AK43" i="10" s="1"/>
  <c r="AK46" i="10" s="1"/>
  <c r="AG23" i="10"/>
  <c r="AG25" i="10" s="1"/>
  <c r="AG43" i="10" s="1"/>
  <c r="AG46" i="10" s="1"/>
  <c r="Z23" i="10"/>
  <c r="Z25" i="10" s="1"/>
  <c r="Z43" i="10" s="1"/>
  <c r="Z46" i="10" s="1"/>
  <c r="AV23" i="10"/>
  <c r="AV25" i="10" s="1"/>
  <c r="AV43" i="10" s="1"/>
  <c r="AV46" i="10" s="1"/>
  <c r="AF23" i="10"/>
  <c r="AF25" i="10" s="1"/>
  <c r="AF43" i="10" s="1"/>
  <c r="AF46" i="10" s="1"/>
  <c r="AC23" i="10"/>
  <c r="AC25" i="10" s="1"/>
  <c r="AC43" i="10" s="1"/>
  <c r="AC46" i="10" s="1"/>
  <c r="AP23" i="10"/>
  <c r="AP25" i="10" s="1"/>
  <c r="AP43" i="10" s="1"/>
  <c r="AP46" i="10" s="1"/>
  <c r="AD23" i="10"/>
  <c r="AD25" i="10" s="1"/>
  <c r="AD43" i="10" s="1"/>
  <c r="AD46" i="10" s="1"/>
  <c r="T23" i="10"/>
  <c r="T25" i="10" s="1"/>
  <c r="T43" i="10" s="1"/>
  <c r="T46" i="10" s="1"/>
  <c r="AU23" i="10"/>
  <c r="AU25" i="10" s="1"/>
  <c r="AU43" i="10" s="1"/>
  <c r="AU46" i="10" s="1"/>
  <c r="AI23" i="10"/>
  <c r="AI25" i="10" s="1"/>
  <c r="AI43" i="10" s="1"/>
  <c r="AI46" i="10" s="1"/>
  <c r="AQ23" i="10"/>
  <c r="AQ25" i="10" s="1"/>
  <c r="AQ43" i="10" s="1"/>
  <c r="AQ46" i="10" s="1"/>
  <c r="AW23" i="10"/>
  <c r="AW25" i="10" s="1"/>
  <c r="AW43" i="10" s="1"/>
  <c r="AW46" i="10" s="1"/>
  <c r="BI23" i="10"/>
  <c r="BI25" i="10" s="1"/>
  <c r="BI43" i="10" s="1"/>
  <c r="BI46" i="10" s="1"/>
  <c r="AA23" i="10"/>
  <c r="AA25" i="10" s="1"/>
  <c r="AA43" i="10" s="1"/>
  <c r="AA46" i="10" s="1"/>
  <c r="BG23" i="10"/>
  <c r="BG25" i="10" s="1"/>
  <c r="BG43" i="10" s="1"/>
  <c r="BG46" i="10" s="1"/>
  <c r="BC23" i="10"/>
  <c r="BC25" i="10" s="1"/>
  <c r="BC43" i="10" s="1"/>
  <c r="BC46" i="10" s="1"/>
  <c r="BF23" i="10"/>
  <c r="BF25" i="10" s="1"/>
  <c r="BF43" i="10" s="1"/>
  <c r="BF46" i="10" s="1"/>
  <c r="AE23" i="10"/>
  <c r="AE25" i="10" s="1"/>
  <c r="AE43" i="10" s="1"/>
  <c r="AE46" i="10" s="1"/>
  <c r="BA23" i="10"/>
  <c r="BA25" i="10" s="1"/>
  <c r="BA43" i="10" s="1"/>
  <c r="BA46" i="10" s="1"/>
  <c r="BL23" i="10"/>
  <c r="BL25" i="10" s="1"/>
  <c r="BL43" i="10" s="1"/>
  <c r="BL46" i="10" s="1"/>
  <c r="AO23" i="10"/>
  <c r="AO25" i="10" s="1"/>
  <c r="AO43" i="10" s="1"/>
  <c r="AO46" i="10" s="1"/>
  <c r="BK23" i="10"/>
  <c r="BK25" i="10" s="1"/>
  <c r="BK43" i="10" s="1"/>
  <c r="BK46" i="10" s="1"/>
  <c r="BD23" i="10"/>
  <c r="BD25" i="10" s="1"/>
  <c r="BD43" i="10" s="1"/>
  <c r="BD46" i="10" s="1"/>
  <c r="X23" i="10"/>
  <c r="X25" i="10" s="1"/>
  <c r="X43" i="10" s="1"/>
  <c r="X46" i="10" s="1"/>
  <c r="AT23" i="10"/>
  <c r="AT25" i="10" s="1"/>
  <c r="AT43" i="10" s="1"/>
  <c r="AT46" i="10" s="1"/>
  <c r="AY23" i="10"/>
  <c r="AY25" i="10" s="1"/>
  <c r="AY43" i="10" s="1"/>
  <c r="AY46" i="10" s="1"/>
  <c r="Q23" i="10"/>
  <c r="Q25" i="10" s="1"/>
  <c r="Q43" i="10" s="1"/>
  <c r="Q46" i="10" s="1"/>
  <c r="AM23" i="10"/>
  <c r="AM25" i="10" s="1"/>
  <c r="AM43" i="10" s="1"/>
  <c r="AM46" i="10" s="1"/>
  <c r="BB23" i="10"/>
  <c r="BB25" i="10" s="1"/>
  <c r="BB43" i="10" s="1"/>
  <c r="BB46" i="10" s="1"/>
  <c r="S23" i="10"/>
  <c r="S25" i="10" s="1"/>
  <c r="S43" i="10" s="1"/>
  <c r="S46" i="10" s="1"/>
  <c r="BJ23" i="10"/>
  <c r="BJ25" i="10" s="1"/>
  <c r="BJ43" i="10" s="1"/>
  <c r="BJ46" i="10" s="1"/>
  <c r="BH23" i="10"/>
  <c r="BH25" i="10" s="1"/>
  <c r="BH43" i="10" s="1"/>
  <c r="BH46" i="10" s="1"/>
  <c r="Y23" i="10"/>
  <c r="Y25" i="10" s="1"/>
  <c r="Y43" i="10" s="1"/>
  <c r="Y46" i="10" s="1"/>
  <c r="AS23" i="10"/>
  <c r="AS25" i="10" s="1"/>
  <c r="AS43" i="10" s="1"/>
  <c r="AS46" i="10" s="1"/>
  <c r="R23" i="10"/>
  <c r="R25" i="10" s="1"/>
  <c r="R43" i="10" s="1"/>
  <c r="R46" i="10" s="1"/>
  <c r="BM23" i="10"/>
  <c r="BM25" i="10" s="1"/>
  <c r="BM43" i="10" s="1"/>
  <c r="BM46" i="10" s="1"/>
  <c r="W23" i="10"/>
  <c r="W25" i="10" s="1"/>
  <c r="W43" i="10" s="1"/>
  <c r="W46" i="10" s="1"/>
  <c r="AN23" i="10"/>
  <c r="AN25" i="10" s="1"/>
  <c r="AN43" i="10" s="1"/>
  <c r="AN46" i="10" s="1"/>
  <c r="U23" i="10"/>
  <c r="U25" i="10" s="1"/>
  <c r="U43" i="10" s="1"/>
  <c r="U46" i="10" s="1"/>
  <c r="AR23" i="10"/>
  <c r="AR25" i="10" s="1"/>
  <c r="AR43" i="10" s="1"/>
  <c r="AR46" i="10" s="1"/>
  <c r="AX23" i="10"/>
  <c r="AX25" i="10" s="1"/>
  <c r="AX43" i="10" s="1"/>
  <c r="AX46" i="10" s="1"/>
  <c r="AZ23" i="10"/>
  <c r="AZ25" i="10" s="1"/>
  <c r="AZ43" i="10" s="1"/>
  <c r="AZ46" i="10" s="1"/>
  <c r="AH23" i="10"/>
  <c r="AH25" i="10" s="1"/>
  <c r="AH43" i="10" s="1"/>
  <c r="AH46" i="10" s="1"/>
  <c r="AJ23" i="10"/>
  <c r="AJ25" i="10" s="1"/>
  <c r="AJ43" i="10" s="1"/>
  <c r="AJ46" i="10" s="1"/>
  <c r="BE23" i="10"/>
  <c r="BE25" i="10" s="1"/>
  <c r="BE43" i="10" s="1"/>
  <c r="BE46" i="10" s="1"/>
  <c r="V23" i="10"/>
  <c r="V25" i="10" s="1"/>
  <c r="V43" i="10" s="1"/>
  <c r="V46" i="10" s="1"/>
  <c r="AL23" i="10"/>
  <c r="AL25" i="10" s="1"/>
  <c r="AL43" i="10" s="1"/>
  <c r="AL46" i="10" s="1"/>
  <c r="AE54" i="10"/>
  <c r="AE51" i="10" s="1"/>
  <c r="Q54" i="10"/>
  <c r="Q51" i="10" s="1"/>
  <c r="U54" i="10"/>
  <c r="U51" i="10" s="1"/>
  <c r="I13" i="6"/>
  <c r="BH54" i="10"/>
  <c r="BH51" i="10" s="1"/>
  <c r="BC54" i="10"/>
  <c r="BC51" i="10" s="1"/>
  <c r="BL54" i="10"/>
  <c r="BL51" i="10" s="1"/>
  <c r="AA54" i="10"/>
  <c r="AA51" i="10" s="1"/>
  <c r="P46" i="10"/>
  <c r="BB54" i="10"/>
  <c r="BB51" i="10" s="1"/>
  <c r="AB54" i="10"/>
  <c r="AB51" i="10" s="1"/>
  <c r="O54" i="10"/>
  <c r="O51" i="10" s="1"/>
  <c r="BG54" i="10"/>
  <c r="BG51" i="10" s="1"/>
  <c r="T54" i="10"/>
  <c r="T51" i="10" s="1"/>
  <c r="M54" i="10"/>
  <c r="M51" i="10" s="1"/>
  <c r="AZ54" i="10"/>
  <c r="AZ51" i="10" s="1"/>
  <c r="BE54" i="10"/>
  <c r="BE51" i="10" s="1"/>
  <c r="BF54" i="10"/>
  <c r="BF51" i="10" s="1"/>
  <c r="AY54" i="10"/>
  <c r="AY51" i="10" s="1"/>
  <c r="AF54" i="10"/>
  <c r="AF51" i="10" s="1"/>
  <c r="V54" i="10"/>
  <c r="V51" i="10" s="1"/>
  <c r="S54" i="10"/>
  <c r="S51" i="10" s="1"/>
  <c r="AS54" i="10"/>
  <c r="AS51" i="10" s="1"/>
  <c r="AG54" i="10"/>
  <c r="AG51" i="10" s="1"/>
  <c r="AL54" i="10"/>
  <c r="AL51" i="10" s="1"/>
  <c r="AC54" i="10"/>
  <c r="AC51" i="10" s="1"/>
  <c r="L54" i="10"/>
  <c r="L51" i="10" s="1"/>
  <c r="W54" i="10"/>
  <c r="W51" i="10" s="1"/>
  <c r="BJ54" i="10"/>
  <c r="BJ51" i="10" s="1"/>
  <c r="BM54" i="10"/>
  <c r="BM51" i="10" s="1"/>
  <c r="AN54" i="10"/>
  <c r="AN51" i="10" s="1"/>
  <c r="Z54" i="10"/>
  <c r="Z51" i="10" s="1"/>
  <c r="AD54" i="10"/>
  <c r="AD51" i="10" s="1"/>
  <c r="AQ54" i="10"/>
  <c r="AQ51" i="10" s="1"/>
  <c r="AV54" i="10"/>
  <c r="AV51" i="10" s="1"/>
  <c r="BK54" i="10"/>
  <c r="BK51" i="10" s="1"/>
  <c r="AJ54" i="10"/>
  <c r="AJ51" i="10" s="1"/>
  <c r="BA54" i="10"/>
  <c r="BA51" i="10" s="1"/>
  <c r="N46" i="10"/>
  <c r="N54" i="10"/>
  <c r="N51" i="10" s="1"/>
  <c r="AW54" i="10"/>
  <c r="AW51" i="10" s="1"/>
  <c r="AO54" i="10"/>
  <c r="AO51" i="10" s="1"/>
  <c r="Y54" i="10"/>
  <c r="Y51" i="10" s="1"/>
  <c r="R54" i="10"/>
  <c r="R51" i="10" s="1"/>
  <c r="AK54" i="10"/>
  <c r="AK51" i="10" s="1"/>
  <c r="AU54" i="10"/>
  <c r="AU51" i="10" s="1"/>
  <c r="AM54" i="10"/>
  <c r="AM51" i="10" s="1"/>
  <c r="BI54" i="10"/>
  <c r="BI51" i="10" s="1"/>
  <c r="AR54" i="10"/>
  <c r="AR51" i="10" s="1"/>
  <c r="BZ14" i="4"/>
  <c r="D25" i="6"/>
  <c r="D24" i="6"/>
  <c r="H4" i="6" s="1"/>
  <c r="BY44" i="4" a="1"/>
  <c r="BY44" i="4" s="1"/>
  <c r="BZ24" i="4" a="1"/>
  <c r="BZ24" i="4" s="1"/>
  <c r="BY33" i="4"/>
  <c r="BY40" i="4" s="1"/>
  <c r="CB6" i="4"/>
  <c r="CB11" i="4" a="1"/>
  <c r="CB11" i="4" s="1"/>
  <c r="CC5" i="4"/>
  <c r="CC18" i="4" s="1"/>
  <c r="CB16" i="4"/>
  <c r="CB17" i="4" a="1"/>
  <c r="CB17" i="4" s="1"/>
  <c r="CB15" i="4"/>
  <c r="CB13" i="4"/>
  <c r="CB12" i="4" a="1"/>
  <c r="CB12" i="4" s="1"/>
  <c r="CB14" i="4"/>
  <c r="CB4" i="4"/>
  <c r="F74" i="10" l="1"/>
  <c r="BZ31" i="4"/>
  <c r="BZ44" i="4" s="1" a="1"/>
  <c r="BZ44" i="4" s="1"/>
  <c r="BZ16" i="4"/>
  <c r="D23" i="6"/>
  <c r="G4" i="6" s="1"/>
  <c r="D26" i="6"/>
  <c r="CC12" i="4" a="1"/>
  <c r="CC12" i="4" s="1"/>
  <c r="CC13" i="4"/>
  <c r="CC4" i="4"/>
  <c r="CC14" i="4"/>
  <c r="CC11" i="4" a="1"/>
  <c r="CC11" i="4" s="1"/>
  <c r="CC6" i="4"/>
  <c r="CC16" i="4"/>
  <c r="CC17" i="4" a="1"/>
  <c r="CC17" i="4" s="1"/>
  <c r="CC15" i="4"/>
  <c r="CD5" i="4"/>
  <c r="CD18" i="4" s="1"/>
  <c r="F60" i="10" l="1"/>
  <c r="G15" i="6"/>
  <c r="I4" i="6"/>
  <c r="F53" i="10"/>
  <c r="F56" i="10" s="1"/>
  <c r="BZ18" i="4"/>
  <c r="CD11" i="4" a="1"/>
  <c r="CD11" i="4" s="1"/>
  <c r="CD4" i="4"/>
  <c r="CD14" i="4"/>
  <c r="CD12" i="4" a="1"/>
  <c r="CD12" i="4" s="1"/>
  <c r="CD6" i="4"/>
  <c r="CD15" i="4"/>
  <c r="CD13" i="4"/>
  <c r="CD16" i="4"/>
  <c r="CE5" i="4"/>
  <c r="CE18" i="4" s="1"/>
  <c r="CD17" i="4" a="1"/>
  <c r="CD17" i="4" s="1"/>
  <c r="I15" i="6" l="1"/>
  <c r="F51" i="10"/>
  <c r="F59" i="10"/>
  <c r="G52" i="10"/>
  <c r="BZ33" i="4"/>
  <c r="CE4" i="4"/>
  <c r="CF5" i="4"/>
  <c r="CF18" i="4" s="1"/>
  <c r="CE12" i="4" a="1"/>
  <c r="CE12" i="4" s="1"/>
  <c r="CE13" i="4"/>
  <c r="CE17" i="4" a="1"/>
  <c r="CE17" i="4" s="1"/>
  <c r="CE11" i="4" a="1"/>
  <c r="CE11" i="4" s="1"/>
  <c r="CE14" i="4"/>
  <c r="CE16" i="4"/>
  <c r="CE15" i="4"/>
  <c r="CE6" i="4"/>
  <c r="F61" i="10" l="1"/>
  <c r="F50" i="10" s="1"/>
  <c r="G56" i="10"/>
  <c r="H52" i="10" s="1"/>
  <c r="D16" i="6"/>
  <c r="D17" i="6" s="1"/>
  <c r="BZ40" i="4"/>
  <c r="CF11" i="4" a="1"/>
  <c r="CF11" i="4" s="1"/>
  <c r="CF6" i="4"/>
  <c r="CF17" i="4" a="1"/>
  <c r="CF17" i="4" s="1"/>
  <c r="CG5" i="4"/>
  <c r="CG18" i="4" s="1"/>
  <c r="CF12" i="4" a="1"/>
  <c r="CF12" i="4" s="1"/>
  <c r="CF4" i="4"/>
  <c r="CF15" i="4"/>
  <c r="CF13" i="4"/>
  <c r="CF14" i="4"/>
  <c r="CF16" i="4"/>
  <c r="F62" i="10" l="1"/>
  <c r="F63" i="10"/>
  <c r="G18" i="6" s="1"/>
  <c r="G19" i="6" s="1"/>
  <c r="G59" i="10"/>
  <c r="H56" i="10"/>
  <c r="I52" i="10" s="1"/>
  <c r="D18" i="6"/>
  <c r="BN45" i="10" s="1"/>
  <c r="BN46" i="10" s="1"/>
  <c r="CG12" i="4" a="1"/>
  <c r="CG12" i="4" s="1"/>
  <c r="CH5" i="4"/>
  <c r="CH18" i="4" s="1"/>
  <c r="CG14" i="4"/>
  <c r="CG16" i="4"/>
  <c r="CG17" i="4" a="1"/>
  <c r="CG17" i="4" s="1"/>
  <c r="CG4" i="4"/>
  <c r="CG11" i="4" a="1"/>
  <c r="CG11" i="4" s="1"/>
  <c r="CG15" i="4"/>
  <c r="CG6" i="4"/>
  <c r="CG13" i="4"/>
  <c r="G61" i="10" l="1"/>
  <c r="G50" i="10" s="1"/>
  <c r="G66" i="10"/>
  <c r="F64" i="10"/>
  <c r="G8" i="6"/>
  <c r="G62" i="10"/>
  <c r="G63" i="10"/>
  <c r="H59" i="10"/>
  <c r="I56" i="10"/>
  <c r="J52" i="10" s="1"/>
  <c r="F47" i="10"/>
  <c r="CH11" i="4" a="1"/>
  <c r="CH11" i="4" s="1"/>
  <c r="CH4" i="4"/>
  <c r="CH13" i="4"/>
  <c r="CI5" i="4"/>
  <c r="CI18" i="4" s="1"/>
  <c r="CH6" i="4"/>
  <c r="CH15" i="4"/>
  <c r="CH14" i="4"/>
  <c r="CH16" i="4"/>
  <c r="CH17" i="4" a="1"/>
  <c r="CH17" i="4" s="1"/>
  <c r="CH12" i="4" a="1"/>
  <c r="CH12" i="4" s="1"/>
  <c r="H61" i="10" l="1"/>
  <c r="H63" i="10" s="1"/>
  <c r="H66" i="10"/>
  <c r="G64" i="10"/>
  <c r="H62" i="10"/>
  <c r="H64" i="10" s="1"/>
  <c r="H50" i="10"/>
  <c r="J56" i="10"/>
  <c r="K52" i="10" s="1"/>
  <c r="I59" i="10"/>
  <c r="CI4" i="4"/>
  <c r="CJ5" i="4"/>
  <c r="CJ18" i="4" s="1"/>
  <c r="CI12" i="4" a="1"/>
  <c r="CI12" i="4" s="1"/>
  <c r="CI14" i="4"/>
  <c r="CI15" i="4"/>
  <c r="CI13" i="4"/>
  <c r="CI17" i="4" a="1"/>
  <c r="CI17" i="4" s="1"/>
  <c r="CI6" i="4"/>
  <c r="CI11" i="4" a="1"/>
  <c r="CI11" i="4" s="1"/>
  <c r="CI16" i="4"/>
  <c r="I61" i="10" l="1"/>
  <c r="I66" i="10"/>
  <c r="J59" i="10"/>
  <c r="I62" i="10"/>
  <c r="I63" i="10"/>
  <c r="I50" i="10"/>
  <c r="K56" i="10"/>
  <c r="L52" i="10" s="1"/>
  <c r="CJ6" i="4"/>
  <c r="CJ11" i="4" a="1"/>
  <c r="CJ11" i="4" s="1"/>
  <c r="CJ12" i="4" a="1"/>
  <c r="CJ12" i="4" s="1"/>
  <c r="CJ16" i="4"/>
  <c r="CJ17" i="4" a="1"/>
  <c r="CJ17" i="4" s="1"/>
  <c r="CJ13" i="4"/>
  <c r="CJ4" i="4"/>
  <c r="CK5" i="4"/>
  <c r="CK18" i="4" s="1"/>
  <c r="CJ14" i="4"/>
  <c r="CJ15" i="4"/>
  <c r="J61" i="10" l="1"/>
  <c r="J62" i="10" s="1"/>
  <c r="J66" i="10"/>
  <c r="J63" i="10"/>
  <c r="K59" i="10"/>
  <c r="I64" i="10"/>
  <c r="L56" i="10"/>
  <c r="M52" i="10" s="1"/>
  <c r="CK12" i="4" a="1"/>
  <c r="CK12" i="4" s="1"/>
  <c r="CK6" i="4"/>
  <c r="CK13" i="4"/>
  <c r="CK11" i="4" a="1"/>
  <c r="CK11" i="4" s="1"/>
  <c r="CK4" i="4"/>
  <c r="CL5" i="4"/>
  <c r="CL18" i="4" s="1"/>
  <c r="CK14" i="4"/>
  <c r="CK16" i="4"/>
  <c r="CK17" i="4" a="1"/>
  <c r="CK17" i="4" s="1"/>
  <c r="CK15" i="4"/>
  <c r="J64" i="10" l="1"/>
  <c r="J50" i="10"/>
  <c r="K61" i="10"/>
  <c r="K62" i="10" s="1"/>
  <c r="K66" i="10"/>
  <c r="K63" i="10"/>
  <c r="K64" i="10" s="1"/>
  <c r="M56" i="10"/>
  <c r="N52" i="10" s="1"/>
  <c r="L59" i="10"/>
  <c r="CL11" i="4" a="1"/>
  <c r="CL11" i="4" s="1"/>
  <c r="CM5" i="4"/>
  <c r="CM18" i="4" s="1"/>
  <c r="CL14" i="4"/>
  <c r="CL6" i="4"/>
  <c r="CL15" i="4"/>
  <c r="CL16" i="4"/>
  <c r="CL13" i="4"/>
  <c r="CL12" i="4" a="1"/>
  <c r="CL12" i="4" s="1"/>
  <c r="CL17" i="4" a="1"/>
  <c r="CL17" i="4" s="1"/>
  <c r="CL4" i="4"/>
  <c r="K50" i="10" l="1"/>
  <c r="L61" i="10"/>
  <c r="L66" i="10"/>
  <c r="N56" i="10"/>
  <c r="O52" i="10" s="1"/>
  <c r="L63" i="10"/>
  <c r="L50" i="10"/>
  <c r="L62" i="10"/>
  <c r="M59" i="10"/>
  <c r="CM4" i="4"/>
  <c r="CN5" i="4"/>
  <c r="CN18" i="4" s="1"/>
  <c r="CM12" i="4" a="1"/>
  <c r="CM12" i="4" s="1"/>
  <c r="CM14" i="4"/>
  <c r="CM15" i="4"/>
  <c r="CM16" i="4"/>
  <c r="CM6" i="4"/>
  <c r="CM13" i="4"/>
  <c r="CM17" i="4" a="1"/>
  <c r="CM17" i="4" s="1"/>
  <c r="CM11" i="4" a="1"/>
  <c r="CM11" i="4" s="1"/>
  <c r="M61" i="10" l="1"/>
  <c r="M66" i="10"/>
  <c r="L64" i="10"/>
  <c r="O56" i="10"/>
  <c r="P52" i="10" s="1"/>
  <c r="M63" i="10"/>
  <c r="M50" i="10"/>
  <c r="M62" i="10"/>
  <c r="N59" i="10"/>
  <c r="CN11" i="4" a="1"/>
  <c r="CN11" i="4" s="1"/>
  <c r="CN6" i="4"/>
  <c r="CO5" i="4"/>
  <c r="CO18" i="4" s="1"/>
  <c r="CN13" i="4"/>
  <c r="CN17" i="4" a="1"/>
  <c r="CN17" i="4" s="1"/>
  <c r="CN4" i="4"/>
  <c r="CN12" i="4" a="1"/>
  <c r="CN12" i="4" s="1"/>
  <c r="CN14" i="4"/>
  <c r="CN15" i="4"/>
  <c r="CN16" i="4"/>
  <c r="N61" i="10" l="1"/>
  <c r="N66" i="10"/>
  <c r="M64" i="10"/>
  <c r="N63" i="10"/>
  <c r="N62" i="10"/>
  <c r="N50" i="10"/>
  <c r="P56" i="10"/>
  <c r="Q52" i="10" s="1"/>
  <c r="O59" i="10"/>
  <c r="CO12" i="4" a="1"/>
  <c r="CO12" i="4" s="1"/>
  <c r="CO4" i="4"/>
  <c r="CO11" i="4" a="1"/>
  <c r="CO11" i="4" s="1"/>
  <c r="CO13" i="4"/>
  <c r="CO14" i="4"/>
  <c r="CO15" i="4"/>
  <c r="CO6" i="4"/>
  <c r="CO16" i="4"/>
  <c r="CO17" i="4" a="1"/>
  <c r="CO17" i="4" s="1"/>
  <c r="O61" i="10" l="1"/>
  <c r="O63" i="10" s="1"/>
  <c r="O66" i="10"/>
  <c r="P59" i="10"/>
  <c r="N64" i="10"/>
  <c r="Q56" i="10"/>
  <c r="R52" i="10" s="1"/>
  <c r="O50" i="10" l="1"/>
  <c r="O62" i="10"/>
  <c r="P61" i="10"/>
  <c r="P62" i="10" s="1"/>
  <c r="P66" i="10"/>
  <c r="P50" i="10"/>
  <c r="P63" i="10"/>
  <c r="P64" i="10" s="1"/>
  <c r="Q59" i="10"/>
  <c r="O64" i="10"/>
  <c r="R56" i="10"/>
  <c r="S52" i="10" s="1"/>
  <c r="Q61" i="10" l="1"/>
  <c r="Q62" i="10" s="1"/>
  <c r="Q66" i="10"/>
  <c r="Q63" i="10"/>
  <c r="Q64" i="10" s="1"/>
  <c r="Q50" i="10"/>
  <c r="R59" i="10"/>
  <c r="S56" i="10"/>
  <c r="T52" i="10" s="1"/>
  <c r="R61" i="10" l="1"/>
  <c r="R50" i="10" s="1"/>
  <c r="R66" i="10"/>
  <c r="R63" i="10"/>
  <c r="T56" i="10"/>
  <c r="U52" i="10" s="1"/>
  <c r="S59" i="10"/>
  <c r="R62" i="10" l="1"/>
  <c r="S61" i="10"/>
  <c r="S50" i="10" s="1"/>
  <c r="S66" i="10"/>
  <c r="R70" i="10"/>
  <c r="T59" i="10"/>
  <c r="R64" i="10"/>
  <c r="S62" i="10"/>
  <c r="S63" i="10"/>
  <c r="U56" i="10"/>
  <c r="V52" i="10" s="1"/>
  <c r="T61" i="10" l="1"/>
  <c r="T50" i="10" s="1"/>
  <c r="T66" i="10"/>
  <c r="T62" i="10"/>
  <c r="V56" i="10"/>
  <c r="W52" i="10" s="1"/>
  <c r="U59" i="10"/>
  <c r="S64" i="10"/>
  <c r="T63" i="10" l="1"/>
  <c r="U61" i="10"/>
  <c r="U66" i="10"/>
  <c r="T64" i="10"/>
  <c r="V59" i="10"/>
  <c r="U62" i="10"/>
  <c r="U63" i="10"/>
  <c r="U50" i="10"/>
  <c r="W56" i="10"/>
  <c r="X52" i="10" s="1"/>
  <c r="V61" i="10" l="1"/>
  <c r="V62" i="10" s="1"/>
  <c r="V66" i="10"/>
  <c r="V63" i="10"/>
  <c r="V64" i="10" s="1"/>
  <c r="X56" i="10"/>
  <c r="Y52" i="10" s="1"/>
  <c r="W59" i="10"/>
  <c r="U64" i="10"/>
  <c r="V50" i="10" l="1"/>
  <c r="W61" i="10"/>
  <c r="W66" i="10"/>
  <c r="W62" i="10"/>
  <c r="W50" i="10"/>
  <c r="W63" i="10"/>
  <c r="X59" i="10"/>
  <c r="Y56" i="10"/>
  <c r="Z52" i="10" s="1"/>
  <c r="X61" i="10" l="1"/>
  <c r="X62" i="10" s="1"/>
  <c r="X66" i="10"/>
  <c r="Z56" i="10"/>
  <c r="AA52" i="10" s="1"/>
  <c r="Y59" i="10"/>
  <c r="W64" i="10"/>
  <c r="X63" i="10" l="1"/>
  <c r="X50" i="10"/>
  <c r="Y61" i="10"/>
  <c r="Y50" i="10" s="1"/>
  <c r="Y66" i="10"/>
  <c r="Z59" i="10"/>
  <c r="X64" i="10"/>
  <c r="Y63" i="10"/>
  <c r="Y62" i="10"/>
  <c r="AA56" i="10"/>
  <c r="AB52" i="10" s="1"/>
  <c r="Z61" i="10" l="1"/>
  <c r="Z62" i="10" s="1"/>
  <c r="Z66" i="10"/>
  <c r="Y64" i="10"/>
  <c r="Z50" i="10"/>
  <c r="AA59" i="10"/>
  <c r="Z63" i="10"/>
  <c r="Z64" i="10" s="1"/>
  <c r="AB56" i="10"/>
  <c r="AC52" i="10" s="1"/>
  <c r="AA61" i="10" l="1"/>
  <c r="AA63" i="10" s="1"/>
  <c r="AA66" i="10"/>
  <c r="AA50" i="10"/>
  <c r="AA62" i="10"/>
  <c r="AA64" i="10" s="1"/>
  <c r="AB59" i="10"/>
  <c r="AC56" i="10"/>
  <c r="AD52" i="10" s="1"/>
  <c r="AB61" i="10" l="1"/>
  <c r="AB66" i="10"/>
  <c r="AC59" i="10"/>
  <c r="AD56" i="10"/>
  <c r="AE52" i="10" s="1"/>
  <c r="AB62" i="10"/>
  <c r="AB63" i="10"/>
  <c r="AB50" i="10"/>
  <c r="AC61" i="10" l="1"/>
  <c r="AC50" i="10" s="1"/>
  <c r="AC66" i="10"/>
  <c r="AC62" i="10"/>
  <c r="AB64" i="10"/>
  <c r="AE56" i="10"/>
  <c r="AF52" i="10" s="1"/>
  <c r="AD59" i="10"/>
  <c r="AC63" i="10" l="1"/>
  <c r="AD61" i="10"/>
  <c r="AD62" i="10" s="1"/>
  <c r="AD66" i="10"/>
  <c r="AC64" i="10"/>
  <c r="AD50" i="10"/>
  <c r="AD63" i="10"/>
  <c r="AF56" i="10"/>
  <c r="AG52" i="10" s="1"/>
  <c r="AE59" i="10"/>
  <c r="AE61" i="10" l="1"/>
  <c r="AE66" i="10"/>
  <c r="AD70" i="10"/>
  <c r="AF59" i="10"/>
  <c r="AE62" i="10"/>
  <c r="AE50" i="10"/>
  <c r="AE63" i="10"/>
  <c r="AG56" i="10"/>
  <c r="AH52" i="10" s="1"/>
  <c r="AD64" i="10"/>
  <c r="AF61" i="10" l="1"/>
  <c r="AF63" i="10" s="1"/>
  <c r="AF66" i="10"/>
  <c r="AF50" i="10"/>
  <c r="AF62" i="10"/>
  <c r="AF64" i="10" s="1"/>
  <c r="AH56" i="10"/>
  <c r="AI52" i="10" s="1"/>
  <c r="AG59" i="10"/>
  <c r="AE64" i="10"/>
  <c r="AG61" i="10" l="1"/>
  <c r="AG66" i="10"/>
  <c r="AH59" i="10"/>
  <c r="AG63" i="10"/>
  <c r="AG62" i="10"/>
  <c r="AG50" i="10"/>
  <c r="AI56" i="10"/>
  <c r="AJ52" i="10" s="1"/>
  <c r="AH61" i="10" l="1"/>
  <c r="AH63" i="10" s="1"/>
  <c r="AH66" i="10"/>
  <c r="AG64" i="10"/>
  <c r="AI59" i="10"/>
  <c r="AJ56" i="10"/>
  <c r="AK52" i="10" s="1"/>
  <c r="AH62" i="10" l="1"/>
  <c r="AH64" i="10" s="1"/>
  <c r="AH50" i="10"/>
  <c r="AI61" i="10"/>
  <c r="AI62" i="10" s="1"/>
  <c r="AI66" i="10"/>
  <c r="AK56" i="10"/>
  <c r="AL52" i="10" s="1"/>
  <c r="AJ59" i="10"/>
  <c r="AI50" i="10" l="1"/>
  <c r="AJ61" i="10"/>
  <c r="AJ50" i="10" s="1"/>
  <c r="AJ66" i="10"/>
  <c r="AI63" i="10"/>
  <c r="AI64" i="10" s="1"/>
  <c r="AK59" i="10"/>
  <c r="AJ63" i="10"/>
  <c r="AL56" i="10"/>
  <c r="AM52" i="10" s="1"/>
  <c r="AJ62" i="10" l="1"/>
  <c r="AK61" i="10"/>
  <c r="AK63" i="10" s="1"/>
  <c r="AK66" i="10"/>
  <c r="AK62" i="10"/>
  <c r="AK64" i="10" s="1"/>
  <c r="AJ64" i="10"/>
  <c r="AL59" i="10"/>
  <c r="AM56" i="10"/>
  <c r="AN52" i="10" s="1"/>
  <c r="AK50" i="10" l="1"/>
  <c r="AL61" i="10"/>
  <c r="AL63" i="10" s="1"/>
  <c r="AL66" i="10"/>
  <c r="AL50" i="10"/>
  <c r="AL62" i="10"/>
  <c r="AL64" i="10" s="1"/>
  <c r="AN56" i="10"/>
  <c r="AO52" i="10" s="1"/>
  <c r="AM59" i="10"/>
  <c r="AM61" i="10" l="1"/>
  <c r="AM66" i="10"/>
  <c r="AN59" i="10"/>
  <c r="AM62" i="10"/>
  <c r="AM63" i="10"/>
  <c r="AM50" i="10"/>
  <c r="AO56" i="10"/>
  <c r="AP52" i="10" s="1"/>
  <c r="AN61" i="10" l="1"/>
  <c r="AN63" i="10" s="1"/>
  <c r="AN66" i="10"/>
  <c r="AN50" i="10"/>
  <c r="AN62" i="10"/>
  <c r="AN64" i="10" s="1"/>
  <c r="AP56" i="10"/>
  <c r="AQ52" i="10" s="1"/>
  <c r="AO59" i="10"/>
  <c r="AM64" i="10"/>
  <c r="AO61" i="10" l="1"/>
  <c r="AO62" i="10" s="1"/>
  <c r="AO66" i="10"/>
  <c r="AO63" i="10"/>
  <c r="AO50" i="10"/>
  <c r="AQ56" i="10"/>
  <c r="AR52" i="10" s="1"/>
  <c r="AP59" i="10"/>
  <c r="AP61" i="10" l="1"/>
  <c r="AP66" i="10"/>
  <c r="AR56" i="10"/>
  <c r="AS52" i="10" s="1"/>
  <c r="AP50" i="10"/>
  <c r="AP63" i="10"/>
  <c r="AP62" i="10"/>
  <c r="AQ59" i="10"/>
  <c r="AO64" i="10"/>
  <c r="AQ61" i="10" l="1"/>
  <c r="AQ66" i="10"/>
  <c r="AP70" i="10"/>
  <c r="AR59" i="10"/>
  <c r="AP64" i="10"/>
  <c r="AQ63" i="10"/>
  <c r="AQ50" i="10"/>
  <c r="AQ62" i="10"/>
  <c r="AS56" i="10"/>
  <c r="AT52" i="10" s="1"/>
  <c r="AR61" i="10" l="1"/>
  <c r="AR50" i="10" s="1"/>
  <c r="AR66" i="10"/>
  <c r="AQ64" i="10"/>
  <c r="AR62" i="10"/>
  <c r="AS59" i="10"/>
  <c r="AT56" i="10"/>
  <c r="AU52" i="10" s="1"/>
  <c r="AR63" i="10" l="1"/>
  <c r="AS61" i="10"/>
  <c r="AS62" i="10" s="1"/>
  <c r="AS66" i="10"/>
  <c r="AR64" i="10"/>
  <c r="AS63" i="10"/>
  <c r="AS64" i="10" s="1"/>
  <c r="AT59" i="10"/>
  <c r="AU56" i="10"/>
  <c r="AV52" i="10" s="1"/>
  <c r="AS50" i="10" l="1"/>
  <c r="AT61" i="10"/>
  <c r="AT63" i="10" s="1"/>
  <c r="AT66" i="10"/>
  <c r="AT62" i="10"/>
  <c r="AT64" i="10" s="1"/>
  <c r="AT50" i="10"/>
  <c r="AU59" i="10"/>
  <c r="AV56" i="10"/>
  <c r="AW52" i="10" s="1"/>
  <c r="AU61" i="10" l="1"/>
  <c r="AU62" i="10" s="1"/>
  <c r="AU66" i="10"/>
  <c r="AV59" i="10"/>
  <c r="AU63" i="10"/>
  <c r="AU64" i="10" s="1"/>
  <c r="AW56" i="10"/>
  <c r="AX52" i="10" s="1"/>
  <c r="AU50" i="10" l="1"/>
  <c r="AV61" i="10"/>
  <c r="AV50" i="10" s="1"/>
  <c r="AV66" i="10"/>
  <c r="AV63" i="10"/>
  <c r="AW59" i="10"/>
  <c r="AX56" i="10"/>
  <c r="AY52" i="10" s="1"/>
  <c r="AV62" i="10" l="1"/>
  <c r="AW61" i="10"/>
  <c r="AW50" i="10" s="1"/>
  <c r="AW66" i="10"/>
  <c r="AV64" i="10"/>
  <c r="AX59" i="10"/>
  <c r="AY56" i="10"/>
  <c r="AZ52" i="10" s="1"/>
  <c r="AW63" i="10"/>
  <c r="AW62" i="10"/>
  <c r="AX61" i="10" l="1"/>
  <c r="AX50" i="10" s="1"/>
  <c r="AX66" i="10"/>
  <c r="AW64" i="10"/>
  <c r="AX63" i="10"/>
  <c r="AX62" i="10"/>
  <c r="AZ56" i="10"/>
  <c r="BA52" i="10" s="1"/>
  <c r="AY59" i="10"/>
  <c r="AY61" i="10" l="1"/>
  <c r="AY63" i="10" s="1"/>
  <c r="AY66" i="10"/>
  <c r="AX64" i="10"/>
  <c r="AZ59" i="10"/>
  <c r="BA56" i="10"/>
  <c r="BB52" i="10" s="1"/>
  <c r="AY50" i="10" l="1"/>
  <c r="AY62" i="10"/>
  <c r="AY64" i="10" s="1"/>
  <c r="AZ61" i="10"/>
  <c r="AZ50" i="10" s="1"/>
  <c r="AZ66" i="10"/>
  <c r="BA59" i="10"/>
  <c r="BB56" i="10"/>
  <c r="BC52" i="10" s="1"/>
  <c r="AZ62" i="10" l="1"/>
  <c r="AZ63" i="10"/>
  <c r="BA61" i="10"/>
  <c r="BA62" i="10" s="1"/>
  <c r="BA66" i="10"/>
  <c r="AZ64" i="10"/>
  <c r="BA63" i="10"/>
  <c r="BB59" i="10"/>
  <c r="BC56" i="10"/>
  <c r="BD52" i="10" s="1"/>
  <c r="BA64" i="10" l="1"/>
  <c r="BA50" i="10"/>
  <c r="BB61" i="10"/>
  <c r="BB50" i="10" s="1"/>
  <c r="BB66" i="10"/>
  <c r="BB63" i="10"/>
  <c r="BB62" i="10"/>
  <c r="BC59" i="10"/>
  <c r="BD56" i="10"/>
  <c r="BE52" i="10" s="1"/>
  <c r="BC61" i="10" l="1"/>
  <c r="BC66" i="10"/>
  <c r="BB64" i="10"/>
  <c r="BB70" i="10"/>
  <c r="BD59" i="10"/>
  <c r="BE56" i="10"/>
  <c r="BF52" i="10" s="1"/>
  <c r="BC63" i="10"/>
  <c r="BC50" i="10"/>
  <c r="BC62" i="10"/>
  <c r="BD61" i="10" l="1"/>
  <c r="BD63" i="10" s="1"/>
  <c r="BD66" i="10"/>
  <c r="BD62" i="10"/>
  <c r="BD64" i="10" s="1"/>
  <c r="BD50" i="10"/>
  <c r="BE59" i="10"/>
  <c r="BC64" i="10"/>
  <c r="BF56" i="10"/>
  <c r="BG52" i="10" s="1"/>
  <c r="BE61" i="10" l="1"/>
  <c r="BE62" i="10" s="1"/>
  <c r="BE66" i="10"/>
  <c r="BE50" i="10"/>
  <c r="BE63" i="10"/>
  <c r="BE64" i="10" s="1"/>
  <c r="BF59" i="10"/>
  <c r="BG56" i="10"/>
  <c r="BH52" i="10" s="1"/>
  <c r="BF61" i="10" l="1"/>
  <c r="BF62" i="10" s="1"/>
  <c r="BF66" i="10"/>
  <c r="BH56" i="10"/>
  <c r="BI52" i="10" s="1"/>
  <c r="BG59" i="10"/>
  <c r="BF63" i="10" l="1"/>
  <c r="BF50" i="10"/>
  <c r="BG61" i="10"/>
  <c r="BG66" i="10"/>
  <c r="BF64" i="10"/>
  <c r="BG50" i="10"/>
  <c r="BG62" i="10"/>
  <c r="BG63" i="10"/>
  <c r="BH59" i="10"/>
  <c r="BI56" i="10"/>
  <c r="BJ52" i="10" s="1"/>
  <c r="BH61" i="10" l="1"/>
  <c r="BH66" i="10"/>
  <c r="BI59" i="10"/>
  <c r="BG64" i="10"/>
  <c r="BJ56" i="10"/>
  <c r="BK52" i="10" s="1"/>
  <c r="BH62" i="10"/>
  <c r="BH50" i="10"/>
  <c r="BH63" i="10"/>
  <c r="BI61" i="10" l="1"/>
  <c r="BI62" i="10" s="1"/>
  <c r="BI66" i="10"/>
  <c r="BI63" i="10"/>
  <c r="BI64" i="10" s="1"/>
  <c r="BI50" i="10"/>
  <c r="BK56" i="10"/>
  <c r="BL52" i="10" s="1"/>
  <c r="BH64" i="10"/>
  <c r="BJ59" i="10"/>
  <c r="BJ61" i="10" l="1"/>
  <c r="BJ66" i="10"/>
  <c r="BK59" i="10"/>
  <c r="BJ63" i="10"/>
  <c r="BJ62" i="10"/>
  <c r="BJ50" i="10"/>
  <c r="BL56" i="10"/>
  <c r="BM52" i="10" s="1"/>
  <c r="BK61" i="10" l="1"/>
  <c r="BK63" i="10" s="1"/>
  <c r="BK66" i="10"/>
  <c r="BL59" i="10"/>
  <c r="BJ64" i="10"/>
  <c r="BM56" i="10"/>
  <c r="BN52" i="10" s="1"/>
  <c r="BK62" i="10" l="1"/>
  <c r="BK64" i="10" s="1"/>
  <c r="BK50" i="10"/>
  <c r="BL61" i="10"/>
  <c r="BL63" i="10" s="1"/>
  <c r="BL66" i="10"/>
  <c r="BN55" i="10"/>
  <c r="BM59" i="10"/>
  <c r="BL62" i="10" l="1"/>
  <c r="BL64" i="10" s="1"/>
  <c r="BL50" i="10"/>
  <c r="BM61" i="10"/>
  <c r="BM63" i="10" s="1"/>
  <c r="BM66" i="10"/>
  <c r="BN56" i="10"/>
  <c r="BM62" i="10" l="1"/>
  <c r="BM50" i="10"/>
  <c r="BM64" i="10"/>
  <c r="F75" i="10"/>
  <c r="BN59" i="10"/>
  <c r="BN61" i="10" s="1"/>
  <c r="BN63" i="10" l="1"/>
  <c r="H18" i="6" s="1"/>
  <c r="H19" i="6" s="1"/>
  <c r="BN62" i="10"/>
  <c r="BN70" i="10" s="1"/>
  <c r="BN50" i="10"/>
  <c r="H8" i="6" l="1"/>
  <c r="I8" i="6" s="1"/>
  <c r="I18" i="6"/>
  <c r="I19" i="6" s="1"/>
  <c r="BN64" i="10"/>
  <c r="F68" i="10" s="1"/>
  <c r="F69" i="10"/>
  <c r="G7" i="6"/>
  <c r="G6" i="6"/>
  <c r="G9" i="6" l="1"/>
  <c r="G20" i="6" s="1"/>
  <c r="H7" i="6"/>
  <c r="I7" i="6" s="1"/>
  <c r="H6" i="6"/>
  <c r="H9" i="6" l="1"/>
  <c r="H20" i="6" s="1"/>
  <c r="I6" i="6"/>
  <c r="I9" i="6" s="1"/>
  <c r="I2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Jihyeun Byeon</author>
  </authors>
  <commentList>
    <comment ref="G16" authorId="0" shapeId="0" xr:uid="{D8F4F545-3C41-2D4B-A0A7-96932EBF8A2F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Assumption: placeholder category added for sources &amp; uses flexibility | As-of: 2026-05-05 | Notes: update if reserve is required</t>
        </r>
      </text>
    </comment>
    <comment ref="H16" authorId="0" shapeId="0" xr:uid="{949945BE-6A8E-1843-96FC-46D5014A240F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Assumption: placeholder category added for sources &amp; uses flexibility | As-of: 2026-05-05 | Notes: update if reserve is required</t>
        </r>
      </text>
    </comment>
    <comment ref="G17" authorId="0" shapeId="0" xr:uid="{70CA62A8-6FCD-C749-856F-4C8E61B9EFCD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Assumption: placeholder category added for sources &amp; uses flexibility | As-of: 2026-05-05 | Notes: update if reserve is required</t>
        </r>
      </text>
    </comment>
    <comment ref="H17" authorId="0" shapeId="0" xr:uid="{C75EF129-E953-4247-B14A-9AD6B2FA243A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Assumption: placeholder category added for sources &amp; uses flexibility | As-of: 2026-05-05 | Notes: update if reserve is required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Jihyeun Byeon</author>
  </authors>
  <commentList>
    <comment ref="B24" authorId="0" shapeId="0" xr:uid="{54AE63D6-7DFD-6147-BBB2-6CA724455403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Shoulud be at 0% until reaching 100% occupancy, then apply 5% of potential base rent.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Jihyeun Byeon</author>
  </authors>
  <commentList>
    <comment ref="C17" authorId="0" shapeId="0" xr:uid="{21B9535A-2B88-F745-A238-359B0FCB3278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Shoulud be at 0% until reaching 100% occupancy, then apply 5% of potential base rent.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Jihyeun Byeon</author>
  </authors>
  <commentList>
    <comment ref="F6" authorId="0" shapeId="0" xr:uid="{45862F10-6AC2-9E42-8A62-227FE4823151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Assumption: Leasing commission rate applied to the first 60 months of new / renewal lease term.</t>
        </r>
      </text>
    </comment>
    <comment ref="H6" authorId="0" shapeId="0" xr:uid="{C0ABBAA8-AB63-944F-BDCF-5FED24F0D1FD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Assumption: Leasing commission rate applied to lease months after the first 60 months.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Jihyeun Byeon</author>
  </authors>
  <commentList>
    <comment ref="D14" authorId="0" shapeId="0" xr:uid="{8C80DF7E-93AF-2F4E-B97E-E11F9128D47C}">
      <text>
        <r>
          <rPr>
            <b/>
            <sz val="9"/>
            <color rgb="FF000000"/>
            <rFont val="Tahoma"/>
            <family val="2"/>
          </rPr>
          <t>Jihyeun Byeon: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Accurual basis but actual rent is $137k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<sst xmlns="http://schemas.openxmlformats.org/spreadsheetml/2006/main" count="911" uniqueCount="614">
  <si>
    <t>Rent Roll</t>
  </si>
  <si>
    <t>Unit</t>
  </si>
  <si>
    <t>Name</t>
  </si>
  <si>
    <t>Lease Start</t>
  </si>
  <si>
    <t>Lease End</t>
  </si>
  <si>
    <t>Term</t>
  </si>
  <si>
    <t>PSF Monthly</t>
  </si>
  <si>
    <t>PSF Annual</t>
  </si>
  <si>
    <t>Monthly Total</t>
  </si>
  <si>
    <t>Annual Total</t>
  </si>
  <si>
    <t>Occupancy</t>
  </si>
  <si>
    <t>SF</t>
  </si>
  <si>
    <t>Free Rent</t>
  </si>
  <si>
    <t>Tenant Improvements</t>
  </si>
  <si>
    <t>Leasing Commissions</t>
  </si>
  <si>
    <t>Rent</t>
  </si>
  <si>
    <t>Date</t>
  </si>
  <si>
    <t>A</t>
  </si>
  <si>
    <t>B</t>
  </si>
  <si>
    <t>INCOME (LOSS) STATEMENT</t>
  </si>
  <si>
    <t>NET OPERATING INCOME (LOSS)</t>
  </si>
  <si>
    <t>OPERATING REVENUE</t>
  </si>
  <si>
    <t xml:space="preserve">  Rent Revenue</t>
  </si>
  <si>
    <t xml:space="preserve">    Base Rent</t>
  </si>
  <si>
    <t xml:space="preserve">      Rent-Base</t>
  </si>
  <si>
    <t xml:space="preserve">      Rent-Abatement</t>
  </si>
  <si>
    <t xml:space="preserve">      Rent-Reduction</t>
  </si>
  <si>
    <t xml:space="preserve">      Rent-Percent</t>
  </si>
  <si>
    <t xml:space="preserve">    Total Base Rent</t>
  </si>
  <si>
    <t xml:space="preserve">  Total Rent Revenue</t>
  </si>
  <si>
    <t xml:space="preserve">  Tenant Recovery Revenue</t>
  </si>
  <si>
    <t xml:space="preserve">    T/R-Common Area Maintenance</t>
  </si>
  <si>
    <t xml:space="preserve">      T/R-Common Area Maintenance</t>
  </si>
  <si>
    <t xml:space="preserve">      T/R-Prior Year CAM</t>
  </si>
  <si>
    <t xml:space="preserve">      T/R-CAM Abatement</t>
  </si>
  <si>
    <t xml:space="preserve">    Total T/R-Common Area Maint</t>
  </si>
  <si>
    <t xml:space="preserve">    Direct Billable Revenue</t>
  </si>
  <si>
    <t xml:space="preserve">      Direct Bill Revenue-R&amp;M</t>
  </si>
  <si>
    <t xml:space="preserve">        Direct Bill Rev-Plumbing</t>
  </si>
  <si>
    <t xml:space="preserve">        Direct Bill Rev-Signage</t>
  </si>
  <si>
    <t xml:space="preserve">        Direct Bill Rev-HVAC</t>
  </si>
  <si>
    <t xml:space="preserve">        Direct Bill Rev-Janitorial</t>
  </si>
  <si>
    <t xml:space="preserve">      Total Direct Bill Revenue-R&amp;M</t>
  </si>
  <si>
    <t xml:space="preserve">      Direct Bill Revenue-Prof Service</t>
  </si>
  <si>
    <t xml:space="preserve">        Direct Bill Rev-Litigat&amp;Dispute</t>
  </si>
  <si>
    <t xml:space="preserve">        Direct Bill Abate-Litigat&amp;Dispute</t>
  </si>
  <si>
    <t xml:space="preserve">      Total Direct Bill Rev-Prof Svc</t>
  </si>
  <si>
    <t xml:space="preserve">    Total Direct Billable Revenue</t>
  </si>
  <si>
    <t xml:space="preserve">  Total Tenant Recovery Revenue</t>
  </si>
  <si>
    <t xml:space="preserve">  Other Operating Revenue</t>
  </si>
  <si>
    <t xml:space="preserve">    Other Tenant Revenue</t>
  </si>
  <si>
    <t xml:space="preserve">      Parking Revenue</t>
  </si>
  <si>
    <t xml:space="preserve">      Late Fee Revenue</t>
  </si>
  <si>
    <t xml:space="preserve">      NSF Fee Revenue</t>
  </si>
  <si>
    <t xml:space="preserve">      Forfeited Security Dep Revenue</t>
  </si>
  <si>
    <t xml:space="preserve">      Early Termination Fee Revenue</t>
  </si>
  <si>
    <t xml:space="preserve">      Other Tenant Revenue</t>
  </si>
  <si>
    <t xml:space="preserve">    Total Other Tenant Revenue</t>
  </si>
  <si>
    <t xml:space="preserve">  Total Other Operating Revenue</t>
  </si>
  <si>
    <t xml:space="preserve">  Total N/R-Interest Income</t>
  </si>
  <si>
    <t>TOTAL OPERATING REVENUE</t>
  </si>
  <si>
    <t>OPERATING EXPENSES</t>
  </si>
  <si>
    <t xml:space="preserve">  Cost of Real Estate Operations</t>
  </si>
  <si>
    <t xml:space="preserve">    Repair &amp; Maintenance Expense</t>
  </si>
  <si>
    <t xml:space="preserve">      R&amp;M-Building</t>
  </si>
  <si>
    <t xml:space="preserve">        R&amp;M-Building Engineer</t>
  </si>
  <si>
    <t xml:space="preserve">        R&amp;M-Structural</t>
  </si>
  <si>
    <t xml:space="preserve">        R&amp;M-Doors &amp; Windows</t>
  </si>
  <si>
    <t xml:space="preserve">        R&amp;M-Roof</t>
  </si>
  <si>
    <t xml:space="preserve">        R&amp;M-Painting</t>
  </si>
  <si>
    <t xml:space="preserve">        R&amp;M-Plumbing</t>
  </si>
  <si>
    <t xml:space="preserve">        R&amp;M-Interior</t>
  </si>
  <si>
    <t xml:space="preserve">        R&amp;M-Exterior</t>
  </si>
  <si>
    <t xml:space="preserve">        R&amp;M-Signage</t>
  </si>
  <si>
    <t xml:space="preserve">        R&amp;M-Locks &amp; Keys</t>
  </si>
  <si>
    <t xml:space="preserve">        R&amp;M-Tools &amp; Supplies</t>
  </si>
  <si>
    <t xml:space="preserve">      Total R&amp;M-Building</t>
  </si>
  <si>
    <t xml:space="preserve">      R&amp;M-Machinery</t>
  </si>
  <si>
    <t xml:space="preserve">        R&amp;M-Elec Supplies/Installation</t>
  </si>
  <si>
    <t xml:space="preserve">        R&amp;M-HVAC</t>
  </si>
  <si>
    <t xml:space="preserve">        R&amp;M-Security &amp; Alarm</t>
  </si>
  <si>
    <t xml:space="preserve">      Total R&amp;M-Machinery</t>
  </si>
  <si>
    <t xml:space="preserve">      R&amp;M-Landscape</t>
  </si>
  <si>
    <t xml:space="preserve">        R&amp;M-Landscape Contract</t>
  </si>
  <si>
    <t xml:space="preserve">        R&amp;M-Landscape Planting/Removal</t>
  </si>
  <si>
    <t xml:space="preserve">        R&amp;M-Irrigation/Drainage</t>
  </si>
  <si>
    <t xml:space="preserve">        R&amp;M-Water Feature</t>
  </si>
  <si>
    <t xml:space="preserve">      Total R&amp;M-Landscape</t>
  </si>
  <si>
    <t xml:space="preserve">      R&amp;M-Parking Lot</t>
  </si>
  <si>
    <t xml:space="preserve">        R&amp;M-Sweeping</t>
  </si>
  <si>
    <t xml:space="preserve">        R&amp;M-Concrete &amp; Asphalt</t>
  </si>
  <si>
    <t xml:space="preserve">        R&amp;M-Parking Mgmt and Maint</t>
  </si>
  <si>
    <t xml:space="preserve">      Total R&amp;M-Parking Lot</t>
  </si>
  <si>
    <t xml:space="preserve">      R&amp;M-Janitorial</t>
  </si>
  <si>
    <t xml:space="preserve">        R&amp;M-Janitorial</t>
  </si>
  <si>
    <t xml:space="preserve">        R&amp;M-Day Porter</t>
  </si>
  <si>
    <t xml:space="preserve">        R&amp;M-Window Washing</t>
  </si>
  <si>
    <t xml:space="preserve">        R&amp;M-Power Washing</t>
  </si>
  <si>
    <t xml:space="preserve">        R&amp;M-Pest Control</t>
  </si>
  <si>
    <t xml:space="preserve">        R&amp;M-Cleaning Supplies</t>
  </si>
  <si>
    <t xml:space="preserve">      Total R&amp;M-Janitorial</t>
  </si>
  <si>
    <t xml:space="preserve">    Total Repair &amp; Maintenance Exp</t>
  </si>
  <si>
    <t xml:space="preserve">    Utilities Expense</t>
  </si>
  <si>
    <t xml:space="preserve">      Utilities</t>
  </si>
  <si>
    <t xml:space="preserve">        Utilities-Electric</t>
  </si>
  <si>
    <t xml:space="preserve">        Utilities-Trash</t>
  </si>
  <si>
    <t xml:space="preserve">        Utilities-Water &amp; Sewer</t>
  </si>
  <si>
    <t xml:space="preserve">        Utilities-Fire Service Meter</t>
  </si>
  <si>
    <t xml:space="preserve">      Total Utilities</t>
  </si>
  <si>
    <t xml:space="preserve">    Total Utilities Expense</t>
  </si>
  <si>
    <t xml:space="preserve">    Property Tax Expense</t>
  </si>
  <si>
    <t xml:space="preserve">      Property Tax</t>
  </si>
  <si>
    <t xml:space="preserve">        Property Tax</t>
  </si>
  <si>
    <t xml:space="preserve">        Property Tax Refund</t>
  </si>
  <si>
    <t xml:space="preserve">        Property Tax Appeal</t>
  </si>
  <si>
    <t xml:space="preserve">      Total Property Tax</t>
  </si>
  <si>
    <t xml:space="preserve">      Business Tax &amp; License</t>
  </si>
  <si>
    <t xml:space="preserve">        State Franchise Tax</t>
  </si>
  <si>
    <t xml:space="preserve">        Business Tax</t>
  </si>
  <si>
    <t xml:space="preserve">        Statutory Compliance</t>
  </si>
  <si>
    <t xml:space="preserve">        License &amp; Permit</t>
  </si>
  <si>
    <t xml:space="preserve">      Total Business Tax &amp; License</t>
  </si>
  <si>
    <t xml:space="preserve">    Total Property Tax Expense</t>
  </si>
  <si>
    <t xml:space="preserve">    Property Insurance Expense</t>
  </si>
  <si>
    <t xml:space="preserve">      Property Insurance</t>
  </si>
  <si>
    <t xml:space="preserve">        Property Insurance</t>
  </si>
  <si>
    <t xml:space="preserve">        Environmental Insurance</t>
  </si>
  <si>
    <t xml:space="preserve">        Flood Insurance</t>
  </si>
  <si>
    <t xml:space="preserve">        Earthquake Insurance</t>
  </si>
  <si>
    <t xml:space="preserve">      Total Property Insurance</t>
  </si>
  <si>
    <t xml:space="preserve">    Total Property Insurance Exp</t>
  </si>
  <si>
    <t xml:space="preserve">    Property Management Expense</t>
  </si>
  <si>
    <t xml:space="preserve">      Prop Mgmt Salaries/Wages</t>
  </si>
  <si>
    <t xml:space="preserve">        Prop Mgmt Salaries/Wages</t>
  </si>
  <si>
    <t xml:space="preserve">        Prop Mgmt Other Costs</t>
  </si>
  <si>
    <t xml:space="preserve">      Total Prop Mgmt Salaries/Wages</t>
  </si>
  <si>
    <t xml:space="preserve">      Prop Mgmt Fees</t>
  </si>
  <si>
    <t xml:space="preserve">        Prop Mgmt Fees</t>
  </si>
  <si>
    <t xml:space="preserve">      Total Prop Mgmt Fees</t>
  </si>
  <si>
    <t xml:space="preserve">    Total Property Management Exp</t>
  </si>
  <si>
    <t xml:space="preserve">    Administrative Expense</t>
  </si>
  <si>
    <t xml:space="preserve">      Prop Mgmt Administrative</t>
  </si>
  <si>
    <t xml:space="preserve">        Office Supplies</t>
  </si>
  <si>
    <t xml:space="preserve">        Postage &amp; Delivery</t>
  </si>
  <si>
    <t xml:space="preserve">        Bank Fees</t>
  </si>
  <si>
    <t xml:space="preserve">        Technology Services</t>
  </si>
  <si>
    <t xml:space="preserve">      Total Prop Mgmt Administrative</t>
  </si>
  <si>
    <t xml:space="preserve">      Prop Mgmt Travel &amp; Meals</t>
  </si>
  <si>
    <t xml:space="preserve">        Ground Transportation</t>
  </si>
  <si>
    <t xml:space="preserve">        Travel Meals</t>
  </si>
  <si>
    <t xml:space="preserve">      Total Prop Mgmt Travel &amp; Meals</t>
  </si>
  <si>
    <t xml:space="preserve">      Bad Debt</t>
  </si>
  <si>
    <t xml:space="preserve">        Bad Debt Expense</t>
  </si>
  <si>
    <t xml:space="preserve">      Total Bad Debt</t>
  </si>
  <si>
    <t xml:space="preserve">    Total Administrative Expense</t>
  </si>
  <si>
    <t xml:space="preserve">      Advertising &amp; Marketing</t>
  </si>
  <si>
    <t xml:space="preserve">        Advertising</t>
  </si>
  <si>
    <t xml:space="preserve">        Promotional</t>
  </si>
  <si>
    <t xml:space="preserve">      Total Advertising &amp; Marketing</t>
  </si>
  <si>
    <t xml:space="preserve">    Total Lease &amp; Marketing Exp</t>
  </si>
  <si>
    <t xml:space="preserve">    Professional Service Expense</t>
  </si>
  <si>
    <t xml:space="preserve">      Legal Fees</t>
  </si>
  <si>
    <t xml:space="preserve">        Legal-Entity Formation</t>
  </si>
  <si>
    <t xml:space="preserve">        Legal-CC&amp;R/Owner Association</t>
  </si>
  <si>
    <t xml:space="preserve">        Legal-Easement/Right of Way</t>
  </si>
  <si>
    <t xml:space="preserve">        Legal-Litigation/Dispute</t>
  </si>
  <si>
    <t xml:space="preserve">        Legal-Land Planning/Zoning</t>
  </si>
  <si>
    <t xml:space="preserve">        Legal-Agreement/Contract Review</t>
  </si>
  <si>
    <t xml:space="preserve">      Total Legal Fees</t>
  </si>
  <si>
    <t xml:space="preserve">      Audit &amp; Tax Fees</t>
  </si>
  <si>
    <t xml:space="preserve">        Tax Compliance Fee</t>
  </si>
  <si>
    <t xml:space="preserve">        Tax Consulting Fee</t>
  </si>
  <si>
    <t xml:space="preserve">        Bookkeeping Fees</t>
  </si>
  <si>
    <t xml:space="preserve">      Total Audit &amp; Tax Fees</t>
  </si>
  <si>
    <t xml:space="preserve">      Other Professional Fees</t>
  </si>
  <si>
    <t xml:space="preserve">        Third-Party Consultant</t>
  </si>
  <si>
    <t xml:space="preserve">      Total Other Professional Fees</t>
  </si>
  <si>
    <t xml:space="preserve">    Total Professional Service Exp</t>
  </si>
  <si>
    <t xml:space="preserve">    Lessee Expense</t>
  </si>
  <si>
    <t xml:space="preserve">      Lessee Rent</t>
  </si>
  <si>
    <t xml:space="preserve">        Lessee Rent</t>
  </si>
  <si>
    <t xml:space="preserve">      Total Lessee Rent</t>
  </si>
  <si>
    <t xml:space="preserve">    Total Lessee Expense</t>
  </si>
  <si>
    <t xml:space="preserve">    Non-Capitalized Expenditure</t>
  </si>
  <si>
    <t xml:space="preserve">      NCAP-Building</t>
  </si>
  <si>
    <t xml:space="preserve">        NCAP-Architectural</t>
  </si>
  <si>
    <t xml:space="preserve">      Total NCAP-Building</t>
  </si>
  <si>
    <t xml:space="preserve">      NCAP-Machinery</t>
  </si>
  <si>
    <t xml:space="preserve">        NCAP-Elec Supplies/Installation</t>
  </si>
  <si>
    <t xml:space="preserve">      Total NCAP-Machinery</t>
  </si>
  <si>
    <t xml:space="preserve">      NCAP-Construction Mgmt Fee</t>
  </si>
  <si>
    <t xml:space="preserve">        NCAP-Construction Mgmt Fee</t>
  </si>
  <si>
    <t xml:space="preserve">      Total NCAP-Construct Mgmt Fee</t>
  </si>
  <si>
    <t xml:space="preserve">    Total Non-Cap Expenditure</t>
  </si>
  <si>
    <t xml:space="preserve">    Direct Billable Expense</t>
  </si>
  <si>
    <t xml:space="preserve">      Direct Billable-R&amp;M</t>
  </si>
  <si>
    <t xml:space="preserve">        Direct Bill-Plumbing</t>
  </si>
  <si>
    <t xml:space="preserve">        Direct Bill-Signage</t>
  </si>
  <si>
    <t xml:space="preserve">        Direct Bill-Locks &amp; Keys</t>
  </si>
  <si>
    <t xml:space="preserve">        Direct Bill-Tools &amp; Supplies</t>
  </si>
  <si>
    <t xml:space="preserve">        Direct Bill-Elec Suppl/Install</t>
  </si>
  <si>
    <t xml:space="preserve">        Direct Bill-HVAC</t>
  </si>
  <si>
    <t xml:space="preserve">        Direct Bill-Janitorial</t>
  </si>
  <si>
    <t xml:space="preserve">      Total Direct Billable-R&amp;M</t>
  </si>
  <si>
    <t xml:space="preserve">      Direct Billable-Prof Service</t>
  </si>
  <si>
    <t xml:space="preserve">        Direct Bill-Litigation&amp;Dispute</t>
  </si>
  <si>
    <t xml:space="preserve">      Total Direct Billable-Prof Svc</t>
  </si>
  <si>
    <t xml:space="preserve">    Total Direct Billable Expense</t>
  </si>
  <si>
    <t xml:space="preserve">  Total Cost of RE Operations</t>
  </si>
  <si>
    <t>TOTAL OPERATING EXPENSES</t>
  </si>
  <si>
    <t>NON-OPERATING INCOME (LOSS)</t>
  </si>
  <si>
    <t>NON-OPERATING REVENUE</t>
  </si>
  <si>
    <t xml:space="preserve">  Interest Income</t>
  </si>
  <si>
    <t xml:space="preserve">    Interest Income-Checking &amp; MM</t>
  </si>
  <si>
    <t xml:space="preserve">      Int Inc-Checking &amp; MM</t>
  </si>
  <si>
    <t xml:space="preserve">    Total Interest Inc-Checking&amp;MM</t>
  </si>
  <si>
    <t xml:space="preserve">  Total Interest Income</t>
  </si>
  <si>
    <t>TOTAL NON-OPERATING REVENUE</t>
  </si>
  <si>
    <t>NON-OPERATING EXPENSES</t>
  </si>
  <si>
    <t xml:space="preserve">  Interest Expense &amp; Finan Fees</t>
  </si>
  <si>
    <t xml:space="preserve">    Interest Expense-N/P &amp; LOC</t>
  </si>
  <si>
    <t xml:space="preserve">      Int Exp-N/P-Promissory</t>
  </si>
  <si>
    <t xml:space="preserve">    Total Interest Exp-N/P &amp; LOC</t>
  </si>
  <si>
    <t xml:space="preserve">    Loan Fee Amortization</t>
  </si>
  <si>
    <t xml:space="preserve">      Loan Fee Amort-N/P-Promissory</t>
  </si>
  <si>
    <t xml:space="preserve">    Total Loan Fee Amortization</t>
  </si>
  <si>
    <t xml:space="preserve">    Financing Fee Expense</t>
  </si>
  <si>
    <t xml:space="preserve">      Commitment Fee</t>
  </si>
  <si>
    <t xml:space="preserve">    Total Financing Fee Expense</t>
  </si>
  <si>
    <t xml:space="preserve">  Total Interest Exp &amp; Fin Fees</t>
  </si>
  <si>
    <t xml:space="preserve">  Hedging Instruments</t>
  </si>
  <si>
    <t xml:space="preserve">    Hedging Instruments</t>
  </si>
  <si>
    <t xml:space="preserve">      Rate Cap Valuation/Amort</t>
  </si>
  <si>
    <t xml:space="preserve">      Rate Swap Valuation</t>
  </si>
  <si>
    <t xml:space="preserve">    Total Hedging Instruments</t>
  </si>
  <si>
    <t xml:space="preserve">  Total Hedging Instruments</t>
  </si>
  <si>
    <t xml:space="preserve">    Unrealized Gain (Loss)-Property</t>
  </si>
  <si>
    <t xml:space="preserve">      Unrlzd Gain (Loss)-Operating Property</t>
  </si>
  <si>
    <t xml:space="preserve">      Unrealized Gain (Loss)-Fixed Assets</t>
  </si>
  <si>
    <t xml:space="preserve">    Total Unrealized Gain (Loss)-Property</t>
  </si>
  <si>
    <t xml:space="preserve">    Unrlzd Gain (Loss)-Nonco Partnr Invest</t>
  </si>
  <si>
    <t xml:space="preserve">      Unrlzd Gain (Loss)-Nonco Partner Invest</t>
  </si>
  <si>
    <t xml:space="preserve">    Total Unrlzd Gain (Loss)-Nonco Partnr Invest</t>
  </si>
  <si>
    <t xml:space="preserve">  Total Unrealized Gain (Loss)</t>
  </si>
  <si>
    <t>TOTAL NON-OPERATING EXPENSES</t>
  </si>
  <si>
    <t>TOTAL NON-OP INCOME (LOSS)</t>
  </si>
  <si>
    <t>NET INCOME (LOSS)</t>
  </si>
  <si>
    <t>Analysis Start</t>
  </si>
  <si>
    <t>Hold Period</t>
  </si>
  <si>
    <t>Month</t>
  </si>
  <si>
    <t>Year</t>
  </si>
  <si>
    <t>Suite</t>
  </si>
  <si>
    <t>PSF Rent</t>
  </si>
  <si>
    <t>Rent Reset</t>
  </si>
  <si>
    <t>Reset</t>
  </si>
  <si>
    <t>Renewal %</t>
  </si>
  <si>
    <t>Lease Up</t>
  </si>
  <si>
    <t>Escalation</t>
  </si>
  <si>
    <t>TI</t>
  </si>
  <si>
    <t>LC</t>
  </si>
  <si>
    <t>Total Rent</t>
  </si>
  <si>
    <t>6% for the first 5 year, 3% for the remaining lease term</t>
  </si>
  <si>
    <t>PSF MR Rent</t>
  </si>
  <si>
    <t>MR Lease Term</t>
  </si>
  <si>
    <t>TI (PSF)</t>
  </si>
  <si>
    <t>Total TI</t>
  </si>
  <si>
    <t>Total LC</t>
  </si>
  <si>
    <t>LC First 5 Years</t>
  </si>
  <si>
    <t>LC Thereafter</t>
  </si>
  <si>
    <t>DCF</t>
  </si>
  <si>
    <t>OPEX</t>
  </si>
  <si>
    <t>Source: T12 Column P totals; rows without P totals are linked to summed monthly T12 rows.</t>
  </si>
  <si>
    <t>T12 OPEX Summary</t>
  </si>
  <si>
    <t>Category</t>
  </si>
  <si>
    <t>T12 Total</t>
  </si>
  <si>
    <t>% of Total</t>
  </si>
  <si>
    <t>Repair &amp; Maintenance Expense</t>
  </si>
  <si>
    <t>Utilities Expense</t>
  </si>
  <si>
    <t>Property Tax Expense</t>
  </si>
  <si>
    <t>Property Insurance Expense</t>
  </si>
  <si>
    <t>Property Management Expense</t>
  </si>
  <si>
    <t>Administrative Expense</t>
  </si>
  <si>
    <t>Leasing &amp; Marketing Expense</t>
  </si>
  <si>
    <t>Professional Service Expense</t>
  </si>
  <si>
    <t>Non-Capitalized Expenditure</t>
  </si>
  <si>
    <t>Direct Billable Expense</t>
  </si>
  <si>
    <t>Total Operating Expenses</t>
  </si>
  <si>
    <t>DCF Monthly OPEX Forecast</t>
  </si>
  <si>
    <t>Monthly Run-Rate</t>
  </si>
  <si>
    <t>Annual Growth</t>
  </si>
  <si>
    <t>Annual Growth inputs default to 0.0% pending user guidance.</t>
  </si>
  <si>
    <t>ARGUS-Style Cash Flow</t>
  </si>
  <si>
    <t>REVENUE</t>
  </si>
  <si>
    <t>Scheduled Base Rent</t>
  </si>
  <si>
    <t>Potential Gross Revenue</t>
  </si>
  <si>
    <t>Effective Gross Revenue</t>
  </si>
  <si>
    <t>Net Operating Income</t>
  </si>
  <si>
    <t>LEASING &amp; CAPITAL COSTS</t>
  </si>
  <si>
    <t>Total Leasing &amp; Capital Costs</t>
  </si>
  <si>
    <t>SOURCE CHECKS</t>
  </si>
  <si>
    <t>Rent Check vs. Lease Roll Over</t>
  </si>
  <si>
    <t>OPEX Check vs. OPEX Tab</t>
  </si>
  <si>
    <t>TI Check vs. Lease Roll Over</t>
  </si>
  <si>
    <t>LC Check vs. Lease Roll Over</t>
  </si>
  <si>
    <t>Rental Revenue</t>
  </si>
  <si>
    <t>Other Tenant Revenue</t>
  </si>
  <si>
    <t>Vacancy &amp; Credit Loss</t>
  </si>
  <si>
    <t>Potential Base Rent</t>
  </si>
  <si>
    <t>Absorption &amp; Turnover Vacancy</t>
  </si>
  <si>
    <t>Net Cash Flow Before Debt Payment</t>
  </si>
  <si>
    <t>Occupancy Summary</t>
  </si>
  <si>
    <t>Potential Rent</t>
  </si>
  <si>
    <t>Occupied SF</t>
  </si>
  <si>
    <t>Vacant SF</t>
  </si>
  <si>
    <t>Total SF</t>
  </si>
  <si>
    <t>Project SF</t>
  </si>
  <si>
    <t>Exit Assumption</t>
  </si>
  <si>
    <t>Take out cap rate</t>
  </si>
  <si>
    <t>Forward NOI</t>
  </si>
  <si>
    <t>Exit Value</t>
  </si>
  <si>
    <t>Sales Cost</t>
  </si>
  <si>
    <t>Debt Assumption</t>
  </si>
  <si>
    <t>Initial Funding</t>
  </si>
  <si>
    <t>Future Funding</t>
  </si>
  <si>
    <t>Total Debt</t>
  </si>
  <si>
    <t>Fees</t>
  </si>
  <si>
    <t>Amortization</t>
  </si>
  <si>
    <t>Interest Rate Spread</t>
  </si>
  <si>
    <t>Index</t>
  </si>
  <si>
    <t>Sources and Uses</t>
  </si>
  <si>
    <t>Senior Loan</t>
  </si>
  <si>
    <t>Equity</t>
  </si>
  <si>
    <t>Total Sources</t>
  </si>
  <si>
    <t>Uses</t>
  </si>
  <si>
    <t>At Close</t>
  </si>
  <si>
    <t>Fully Funded</t>
  </si>
  <si>
    <t>Cap Rate</t>
  </si>
  <si>
    <t>NOI</t>
  </si>
  <si>
    <t>Purchase Price</t>
  </si>
  <si>
    <t>Lease Summary</t>
  </si>
  <si>
    <t>Unrealized Rent</t>
  </si>
  <si>
    <t>Unrealized Roll Over Rent</t>
  </si>
  <si>
    <t>Total Potential Rent</t>
  </si>
  <si>
    <t>LTV</t>
  </si>
  <si>
    <t>TI/LC</t>
  </si>
  <si>
    <t>Closing Cost</t>
  </si>
  <si>
    <t>Total Going in Basis</t>
  </si>
  <si>
    <t>I/O</t>
  </si>
  <si>
    <t>1st Extension</t>
  </si>
  <si>
    <t>2nd Extension</t>
  </si>
  <si>
    <t>SOFR</t>
  </si>
  <si>
    <t>Floor</t>
  </si>
  <si>
    <t>1M Term SOFR (As Of 3/31/2021)</t>
  </si>
  <si>
    <t>Reset Date</t>
  </si>
  <si>
    <t>*</t>
  </si>
  <si>
    <t>Proforma</t>
  </si>
  <si>
    <t>Debt and Equity</t>
  </si>
  <si>
    <t>Acquisition</t>
  </si>
  <si>
    <t>Disposition</t>
  </si>
  <si>
    <t>Debt pays TI and LC by the way</t>
  </si>
  <si>
    <t xml:space="preserve">Month </t>
  </si>
  <si>
    <t>Debt</t>
  </si>
  <si>
    <t>Unlevered Cash Flow</t>
  </si>
  <si>
    <t>Beginning Debt Balance</t>
  </si>
  <si>
    <t>Future Funding Draws</t>
  </si>
  <si>
    <t>Debt Payoff</t>
  </si>
  <si>
    <t>SOFR / Floor</t>
  </si>
  <si>
    <t>Interest Rate</t>
  </si>
  <si>
    <t>Financing Fees</t>
  </si>
  <si>
    <t>Cash Flow After Debt Service</t>
  </si>
  <si>
    <t>Equity Contributions</t>
  </si>
  <si>
    <t>Equity Distributions</t>
  </si>
  <si>
    <t>Levered Cash Flow</t>
  </si>
  <si>
    <t>Checks</t>
  </si>
  <si>
    <t>Future Funding Draws Tie-Out</t>
  </si>
  <si>
    <t>Ending Debt Payoff Check</t>
  </si>
  <si>
    <t>Annualized Unlevered IRR</t>
  </si>
  <si>
    <t>Annualized Levered IRR</t>
  </si>
  <si>
    <t>Interest Payment</t>
  </si>
  <si>
    <t>Debt Balance</t>
  </si>
  <si>
    <t>Equity Multiple</t>
  </si>
  <si>
    <t>Cash-on-Cash Return</t>
  </si>
  <si>
    <t>Closing Costs</t>
  </si>
  <si>
    <t>Loan / Financing Fees</t>
  </si>
  <si>
    <t>Capex / Interest Reserve</t>
  </si>
  <si>
    <t>Working Capital / Op Reserve</t>
  </si>
  <si>
    <t>Total Uses</t>
  </si>
  <si>
    <t>Sources / Uses Check</t>
  </si>
  <si>
    <t>LP Equity (90%)</t>
  </si>
  <si>
    <t>GP Equity (10%)</t>
  </si>
  <si>
    <t>CF from Operations / Sale</t>
  </si>
  <si>
    <t>Tenant Recovery</t>
  </si>
  <si>
    <t>Parking</t>
  </si>
  <si>
    <t>Actual</t>
  </si>
  <si>
    <t>Statement (12 months)</t>
  </si>
  <si>
    <t>Period = Jan 2021-Mar 2021</t>
  </si>
  <si>
    <t>Book = Accrual,External,FMV ; Tree = ysi_is</t>
  </si>
  <si>
    <t>Mar 2021</t>
  </si>
  <si>
    <t>Apr 2021</t>
  </si>
  <si>
    <t>May 2021</t>
  </si>
  <si>
    <t>Jun 2021</t>
  </si>
  <si>
    <t>Jul 2021</t>
  </si>
  <si>
    <t>Aug 2021</t>
  </si>
  <si>
    <t>Total</t>
  </si>
  <si>
    <t>40000-000</t>
  </si>
  <si>
    <t>40000-010</t>
  </si>
  <si>
    <t>40000-100</t>
  </si>
  <si>
    <t>40001-000</t>
  </si>
  <si>
    <t>40010-000</t>
  </si>
  <si>
    <t>PGR</t>
  </si>
  <si>
    <t>40011-000</t>
  </si>
  <si>
    <t>OtherRev</t>
  </si>
  <si>
    <t>40013-000</t>
  </si>
  <si>
    <t xml:space="preserve">      Rent-Additional</t>
  </si>
  <si>
    <t>Free</t>
  </si>
  <si>
    <t>40014-000</t>
  </si>
  <si>
    <t>40909-999</t>
  </si>
  <si>
    <t>40999-999</t>
  </si>
  <si>
    <t>41000-000</t>
  </si>
  <si>
    <t>41010-000</t>
  </si>
  <si>
    <t>41011-000</t>
  </si>
  <si>
    <t>41012-000</t>
  </si>
  <si>
    <t>41013-000</t>
  </si>
  <si>
    <t>41019-999</t>
  </si>
  <si>
    <t>41060-000</t>
  </si>
  <si>
    <t xml:space="preserve">    T/R-Administrative Expense</t>
  </si>
  <si>
    <t>41062-000</t>
  </si>
  <si>
    <t xml:space="preserve">      T/R-Other Recoveries</t>
  </si>
  <si>
    <t>41069-999</t>
  </si>
  <si>
    <t xml:space="preserve">    Total T/R-Administrative Exp</t>
  </si>
  <si>
    <t>41500-000</t>
  </si>
  <si>
    <t>41510-000</t>
  </si>
  <si>
    <t>41510-130</t>
  </si>
  <si>
    <t xml:space="preserve">        Direct Bill Rev-Roof</t>
  </si>
  <si>
    <t>41519-999</t>
  </si>
  <si>
    <t>41599-000</t>
  </si>
  <si>
    <t>ExpRec</t>
  </si>
  <si>
    <t>41999-999</t>
  </si>
  <si>
    <t>42000-000</t>
  </si>
  <si>
    <t>42010-000</t>
  </si>
  <si>
    <t>Park</t>
  </si>
  <si>
    <t>42011-000</t>
  </si>
  <si>
    <t>42023-000</t>
  </si>
  <si>
    <t>42029-999</t>
  </si>
  <si>
    <t>42099-999</t>
  </si>
  <si>
    <t>49999-999</t>
  </si>
  <si>
    <t>50000-000</t>
  </si>
  <si>
    <t>50001-000</t>
  </si>
  <si>
    <t>51000-000</t>
  </si>
  <si>
    <t>51010-000</t>
  </si>
  <si>
    <t>51013-000</t>
  </si>
  <si>
    <t>51014-000</t>
  </si>
  <si>
    <t>51015-000</t>
  </si>
  <si>
    <t>51016-000</t>
  </si>
  <si>
    <t>51017-000</t>
  </si>
  <si>
    <t>51018-000</t>
  </si>
  <si>
    <t>51019-000</t>
  </si>
  <si>
    <t>51019-999</t>
  </si>
  <si>
    <t>51020-000</t>
  </si>
  <si>
    <t>51021-000</t>
  </si>
  <si>
    <t>51023-000</t>
  </si>
  <si>
    <t xml:space="preserve">        R&amp;M-Elevator &amp; Escalator</t>
  </si>
  <si>
    <t>51025-000</t>
  </si>
  <si>
    <t>51029-999</t>
  </si>
  <si>
    <t>51030-000</t>
  </si>
  <si>
    <t>51031-500</t>
  </si>
  <si>
    <t>51033-000</t>
  </si>
  <si>
    <t xml:space="preserve">        R&amp;M-Tree &amp; Shrub</t>
  </si>
  <si>
    <t>51039-999</t>
  </si>
  <si>
    <t>51040-000</t>
  </si>
  <si>
    <t>51041-000</t>
  </si>
  <si>
    <t>51046-000</t>
  </si>
  <si>
    <t>51049-999</t>
  </si>
  <si>
    <t>51050-000</t>
  </si>
  <si>
    <t>51051-000</t>
  </si>
  <si>
    <t>51053-000</t>
  </si>
  <si>
    <t>51057-000</t>
  </si>
  <si>
    <t>51058-000</t>
  </si>
  <si>
    <t>51059-000</t>
  </si>
  <si>
    <t>51059-999</t>
  </si>
  <si>
    <t>51099-999</t>
  </si>
  <si>
    <t>52000-000</t>
  </si>
  <si>
    <t>52010-000</t>
  </si>
  <si>
    <t>52011-000</t>
  </si>
  <si>
    <t>52012-000</t>
  </si>
  <si>
    <t xml:space="preserve">        Utilities-Gas</t>
  </si>
  <si>
    <t>52013-000</t>
  </si>
  <si>
    <t>52014-000</t>
  </si>
  <si>
    <t xml:space="preserve">        Utilities-Telephone &amp; Data</t>
  </si>
  <si>
    <t>52016-000</t>
  </si>
  <si>
    <t>52019-000</t>
  </si>
  <si>
    <t>52019-999</t>
  </si>
  <si>
    <t>Util</t>
  </si>
  <si>
    <t>52099-999</t>
  </si>
  <si>
    <t>53000-000</t>
  </si>
  <si>
    <t>53010-000</t>
  </si>
  <si>
    <t>53011-000</t>
  </si>
  <si>
    <t>53019-999</t>
  </si>
  <si>
    <t>53020-000</t>
  </si>
  <si>
    <t>53021-000</t>
  </si>
  <si>
    <t>53022-000</t>
  </si>
  <si>
    <t>53026-000</t>
  </si>
  <si>
    <t>53029-900</t>
  </si>
  <si>
    <t>Tax</t>
  </si>
  <si>
    <t>53029-999</t>
  </si>
  <si>
    <t>53030-000</t>
  </si>
  <si>
    <t>53030-001</t>
  </si>
  <si>
    <t>53031-000</t>
  </si>
  <si>
    <t>53032-000</t>
  </si>
  <si>
    <t>53033-000</t>
  </si>
  <si>
    <t>53039-999</t>
  </si>
  <si>
    <t>Ins</t>
  </si>
  <si>
    <t>53099-999</t>
  </si>
  <si>
    <t>54000-000</t>
  </si>
  <si>
    <t>54020-000</t>
  </si>
  <si>
    <t>54021-000</t>
  </si>
  <si>
    <t>54029-999</t>
  </si>
  <si>
    <t>Mgmt</t>
  </si>
  <si>
    <t>54099-999</t>
  </si>
  <si>
    <t>55000-000</t>
  </si>
  <si>
    <t>55020-000</t>
  </si>
  <si>
    <t>55023-000</t>
  </si>
  <si>
    <t>55024-000</t>
  </si>
  <si>
    <t>55029-999</t>
  </si>
  <si>
    <t>55034-000</t>
  </si>
  <si>
    <t>55039-999</t>
  </si>
  <si>
    <t>55040-000</t>
  </si>
  <si>
    <t>55041-000</t>
  </si>
  <si>
    <t>55049-999</t>
  </si>
  <si>
    <t>G&amp;A</t>
  </si>
  <si>
    <t>55099-999</t>
  </si>
  <si>
    <t>56000-000</t>
  </si>
  <si>
    <t xml:space="preserve">    Lease &amp; Marketing Expense</t>
  </si>
  <si>
    <t>56020-000</t>
  </si>
  <si>
    <t>56021-000</t>
  </si>
  <si>
    <t>56022-000</t>
  </si>
  <si>
    <t>56029-999</t>
  </si>
  <si>
    <t>56099-999</t>
  </si>
  <si>
    <t>57000-000</t>
  </si>
  <si>
    <t>57010-000</t>
  </si>
  <si>
    <t>57019-000</t>
  </si>
  <si>
    <t>57019-999</t>
  </si>
  <si>
    <t>57020-000</t>
  </si>
  <si>
    <t>57024-000</t>
  </si>
  <si>
    <t>57029-999</t>
  </si>
  <si>
    <t>57030-000</t>
  </si>
  <si>
    <t>57031-000</t>
  </si>
  <si>
    <t>57039-999</t>
  </si>
  <si>
    <t>57099-999</t>
  </si>
  <si>
    <t>59000-000</t>
  </si>
  <si>
    <t>59060-000</t>
  </si>
  <si>
    <t>59061-000</t>
  </si>
  <si>
    <t>59069-999</t>
  </si>
  <si>
    <t>59099-999</t>
  </si>
  <si>
    <t>59599-999</t>
  </si>
  <si>
    <t>60000-000</t>
  </si>
  <si>
    <t xml:space="preserve">  General &amp; Administrative Exp</t>
  </si>
  <si>
    <t>67000-000</t>
  </si>
  <si>
    <t>67010-000</t>
  </si>
  <si>
    <t>67017-000</t>
  </si>
  <si>
    <t xml:space="preserve">        Legal-Notary Fees</t>
  </si>
  <si>
    <t>67019-999</t>
  </si>
  <si>
    <t>67099-999</t>
  </si>
  <si>
    <t>69999-999</t>
  </si>
  <si>
    <t xml:space="preserve">  Total General &amp; Admin Expense</t>
  </si>
  <si>
    <t>CAM</t>
  </si>
  <si>
    <t>79999-998</t>
  </si>
  <si>
    <t>79999-999</t>
  </si>
  <si>
    <t>80000-000</t>
  </si>
  <si>
    <t>81500-100</t>
  </si>
  <si>
    <t>81501-000</t>
  </si>
  <si>
    <t>81510-000</t>
  </si>
  <si>
    <t>81511-000</t>
  </si>
  <si>
    <t>Int</t>
  </si>
  <si>
    <t>81519-999</t>
  </si>
  <si>
    <t>81530-000</t>
  </si>
  <si>
    <t>81531-000</t>
  </si>
  <si>
    <t>LoanFee</t>
  </si>
  <si>
    <t>81539-999</t>
  </si>
  <si>
    <t>81599-999</t>
  </si>
  <si>
    <t>81900-000</t>
  </si>
  <si>
    <t>81900-100</t>
  </si>
  <si>
    <t>81901-000</t>
  </si>
  <si>
    <t>81909-900</t>
  </si>
  <si>
    <t>81909-999</t>
  </si>
  <si>
    <t>82501-000</t>
  </si>
  <si>
    <t xml:space="preserve">  Unrealized Gain (Loss)</t>
  </si>
  <si>
    <t>82520-000</t>
  </si>
  <si>
    <t>82524-000</t>
  </si>
  <si>
    <t>82529-999</t>
  </si>
  <si>
    <t>82539-999</t>
  </si>
  <si>
    <t>83519-999</t>
  </si>
  <si>
    <t>89999-990</t>
  </si>
  <si>
    <t>89999-999</t>
  </si>
  <si>
    <t>Forecast</t>
  </si>
  <si>
    <t>Start</t>
  </si>
  <si>
    <t>2022 Budget</t>
  </si>
  <si>
    <t>Budget Total</t>
  </si>
  <si>
    <t>Not updated</t>
  </si>
  <si>
    <t>Occupancy:</t>
  </si>
  <si>
    <t>Extension Fee</t>
  </si>
  <si>
    <t>DSCR</t>
  </si>
  <si>
    <t>Debt Yield</t>
  </si>
  <si>
    <t>DSCR Check</t>
  </si>
  <si>
    <t>CapEX / TI / LC</t>
  </si>
  <si>
    <t>C</t>
  </si>
  <si>
    <t>D</t>
  </si>
  <si>
    <t>E</t>
  </si>
  <si>
    <t>F</t>
  </si>
  <si>
    <t>G</t>
  </si>
  <si>
    <t>H</t>
  </si>
  <si>
    <t>I</t>
  </si>
  <si>
    <t>J</t>
  </si>
  <si>
    <t>As of Dec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</si>
</sst>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$&quot;* #,##0_);_(&quot;$&quot;* \(#,##0\);_(&quot;$&quot;* &quot;-&quot;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#,##0.00;[Red]\(#,##0.00\);\-"/>
    <numFmt numFmtId="167" formatCode="&quot;$&quot;#,##0"/>
    <numFmt numFmtId="168" formatCode="&quot;$&quot;#,##0.00"/>
    <numFmt numFmtId="169" formatCode="#,##0;[Red]\(#,##0\);\-"/>
    <numFmt numFmtId="170" formatCode="0.00\x"/>
  </numFmts>
  <fonts count="4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00000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8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0"/>
      <color indexed="12"/>
      <name val="Arial"/>
      <family val="2"/>
    </font>
    <font>
      <b/>
      <sz val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00B050"/>
      <name val="Calibri"/>
      <family val="2"/>
      <scheme val="minor"/>
    </font>
    <font>
      <sz val="10"/>
      <color rgb="FF50505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2"/>
      <color theme="0" tint="-0.34998626667073579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CCCCCC"/>
      </top>
      <bottom style="double">
        <color rgb="FFCCCCC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thick">
        <color rgb="FF1D2330"/>
      </top>
      <bottom/>
      <diagonal/>
    </border>
    <border>
      <left/>
      <right/>
      <top style="thick">
        <color rgb="FF1D2330"/>
      </top>
      <bottom style="thick">
        <color rgb="FF1D2330"/>
      </bottom>
      <diagonal/>
    </border>
    <border>
      <left/>
      <right/>
      <top style="thick">
        <color rgb="FF1D233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5" fillId="0" borderId="0"/>
  </cellStyleXfs>
  <cellXfs count="199">
    <xf numFmtId="0" fontId="0" fillId="0" borderId="0" xfId="0"/>
    <xf numFmtId="0" fontId="2" fillId="0" borderId="0" xfId="0" applyFont="1"/>
    <xf numFmtId="164" fontId="0" fillId="0" borderId="0" xfId="0" applyNumberFormat="1"/>
    <xf numFmtId="43" fontId="0" fillId="0" borderId="0" xfId="0" applyNumberFormat="1"/>
    <xf numFmtId="17" fontId="6" fillId="2" borderId="4" xfId="2" applyNumberFormat="1" applyFont="1" applyFill="1" applyBorder="1" applyAlignment="1">
      <alignment horizontal="center" vertical="center"/>
    </xf>
    <xf numFmtId="0" fontId="6" fillId="0" borderId="5" xfId="2" applyFont="1" applyBorder="1" applyAlignment="1">
      <alignment horizontal="right" vertical="center"/>
    </xf>
    <xf numFmtId="0" fontId="7" fillId="0" borderId="0" xfId="2" applyFont="1" applyAlignment="1">
      <alignment horizontal="center" vertical="center"/>
    </xf>
    <xf numFmtId="0" fontId="6" fillId="0" borderId="0" xfId="2" applyFont="1" applyAlignment="1">
      <alignment horizontal="right" vertical="center"/>
    </xf>
    <xf numFmtId="0" fontId="7" fillId="0" borderId="0" xfId="2" applyFont="1" applyAlignment="1">
      <alignment horizontal="right" vertical="center"/>
    </xf>
    <xf numFmtId="4" fontId="7" fillId="0" borderId="0" xfId="2" applyNumberFormat="1" applyFont="1" applyAlignment="1">
      <alignment horizontal="right" vertical="center"/>
    </xf>
    <xf numFmtId="4" fontId="7" fillId="0" borderId="5" xfId="2" applyNumberFormat="1" applyFont="1" applyBorder="1" applyAlignment="1">
      <alignment horizontal="right" vertical="center"/>
    </xf>
    <xf numFmtId="4" fontId="7" fillId="0" borderId="4" xfId="2" applyNumberFormat="1" applyFont="1" applyBorder="1" applyAlignment="1">
      <alignment horizontal="right" vertical="center"/>
    </xf>
    <xf numFmtId="4" fontId="7" fillId="0" borderId="6" xfId="2" applyNumberFormat="1" applyFont="1" applyBorder="1" applyAlignment="1">
      <alignment horizontal="right" vertical="center"/>
    </xf>
    <xf numFmtId="4" fontId="6" fillId="0" borderId="5" xfId="2" applyNumberFormat="1" applyFont="1" applyBorder="1" applyAlignment="1">
      <alignment horizontal="right" vertical="center"/>
    </xf>
    <xf numFmtId="4" fontId="6" fillId="0" borderId="6" xfId="2" applyNumberFormat="1" applyFont="1" applyBorder="1" applyAlignment="1">
      <alignment horizontal="right" vertical="center"/>
    </xf>
    <xf numFmtId="4" fontId="6" fillId="0" borderId="7" xfId="2" applyNumberFormat="1" applyFont="1" applyBorder="1" applyAlignment="1">
      <alignment horizontal="right" vertical="center"/>
    </xf>
    <xf numFmtId="4" fontId="6" fillId="0" borderId="8" xfId="2" applyNumberFormat="1" applyFont="1" applyBorder="1" applyAlignment="1">
      <alignment horizontal="right" vertical="center"/>
    </xf>
    <xf numFmtId="0" fontId="6" fillId="0" borderId="5" xfId="2" applyFont="1" applyBorder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4" fontId="0" fillId="0" borderId="0" xfId="0" applyNumberFormat="1"/>
    <xf numFmtId="4" fontId="0" fillId="0" borderId="9" xfId="0" applyNumberFormat="1" applyBorder="1"/>
    <xf numFmtId="14" fontId="6" fillId="2" borderId="4" xfId="2" applyNumberFormat="1" applyFont="1" applyFill="1" applyBorder="1" applyAlignment="1">
      <alignment horizontal="left" vertical="center"/>
    </xf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4" fontId="4" fillId="0" borderId="0" xfId="2" applyNumberFormat="1" applyFont="1" applyAlignment="1">
      <alignment horizontal="right" vertical="center" wrapText="1"/>
    </xf>
    <xf numFmtId="164" fontId="4" fillId="0" borderId="0" xfId="1" applyNumberFormat="1" applyFont="1" applyFill="1" applyAlignment="1">
      <alignment horizontal="right" vertical="center" wrapText="1"/>
    </xf>
    <xf numFmtId="43" fontId="4" fillId="0" borderId="0" xfId="2" applyNumberFormat="1" applyFont="1" applyAlignment="1">
      <alignment horizontal="right" vertical="center" wrapText="1"/>
    </xf>
    <xf numFmtId="164" fontId="4" fillId="0" borderId="0" xfId="1" applyNumberFormat="1" applyFont="1" applyFill="1" applyBorder="1" applyAlignment="1">
      <alignment horizontal="right" vertical="center" wrapText="1"/>
    </xf>
    <xf numFmtId="14" fontId="4" fillId="0" borderId="0" xfId="1" applyNumberFormat="1" applyFont="1" applyFill="1" applyBorder="1" applyAlignment="1">
      <alignment horizontal="right" vertical="center" wrapText="1"/>
    </xf>
    <xf numFmtId="43" fontId="4" fillId="0" borderId="0" xfId="1" applyFont="1" applyFill="1" applyBorder="1" applyAlignment="1">
      <alignment horizontal="right" vertical="center" wrapText="1"/>
    </xf>
    <xf numFmtId="0" fontId="0" fillId="0" borderId="1" xfId="0" applyBorder="1"/>
    <xf numFmtId="3" fontId="0" fillId="0" borderId="1" xfId="0" applyNumberFormat="1" applyBorder="1"/>
    <xf numFmtId="43" fontId="0" fillId="0" borderId="1" xfId="0" applyNumberFormat="1" applyBorder="1"/>
    <xf numFmtId="4" fontId="7" fillId="0" borderId="9" xfId="2" applyNumberFormat="1" applyFont="1" applyBorder="1" applyAlignment="1">
      <alignment horizontal="right" vertical="center"/>
    </xf>
    <xf numFmtId="4" fontId="2" fillId="0" borderId="0" xfId="0" applyNumberFormat="1" applyFont="1"/>
    <xf numFmtId="4" fontId="0" fillId="0" borderId="1" xfId="0" applyNumberFormat="1" applyBorder="1"/>
    <xf numFmtId="0" fontId="0" fillId="0" borderId="2" xfId="0" applyBorder="1"/>
    <xf numFmtId="14" fontId="0" fillId="0" borderId="0" xfId="0" applyNumberFormat="1"/>
    <xf numFmtId="9" fontId="0" fillId="0" borderId="0" xfId="0" applyNumberFormat="1"/>
    <xf numFmtId="43" fontId="2" fillId="0" borderId="0" xfId="0" applyNumberFormat="1" applyFont="1"/>
    <xf numFmtId="0" fontId="10" fillId="0" borderId="0" xfId="0" applyFont="1"/>
    <xf numFmtId="9" fontId="11" fillId="0" borderId="0" xfId="0" applyNumberFormat="1" applyFont="1"/>
    <xf numFmtId="0" fontId="12" fillId="0" borderId="0" xfId="0" applyFont="1"/>
    <xf numFmtId="0" fontId="13" fillId="0" borderId="0" xfId="0" applyFont="1"/>
    <xf numFmtId="0" fontId="14" fillId="4" borderId="0" xfId="0" applyFont="1" applyFill="1"/>
    <xf numFmtId="0" fontId="2" fillId="5" borderId="0" xfId="0" applyFont="1" applyFill="1"/>
    <xf numFmtId="4" fontId="15" fillId="0" borderId="0" xfId="0" applyNumberFormat="1" applyFont="1"/>
    <xf numFmtId="4" fontId="16" fillId="0" borderId="0" xfId="0" applyNumberFormat="1" applyFont="1"/>
    <xf numFmtId="4" fontId="17" fillId="0" borderId="0" xfId="0" applyNumberFormat="1" applyFont="1"/>
    <xf numFmtId="165" fontId="0" fillId="0" borderId="0" xfId="0" applyNumberFormat="1"/>
    <xf numFmtId="165" fontId="2" fillId="0" borderId="0" xfId="0" applyNumberFormat="1" applyFont="1"/>
    <xf numFmtId="165" fontId="11" fillId="6" borderId="0" xfId="0" applyNumberFormat="1" applyFont="1" applyFill="1"/>
    <xf numFmtId="17" fontId="2" fillId="5" borderId="0" xfId="0" applyNumberFormat="1" applyFont="1" applyFill="1"/>
    <xf numFmtId="0" fontId="18" fillId="4" borderId="0" xfId="0" applyFont="1" applyFill="1"/>
    <xf numFmtId="0" fontId="6" fillId="3" borderId="0" xfId="2" applyFont="1" applyFill="1" applyAlignment="1">
      <alignment horizontal="left" vertical="center"/>
    </xf>
    <xf numFmtId="4" fontId="7" fillId="3" borderId="0" xfId="2" applyNumberFormat="1" applyFont="1" applyFill="1" applyAlignment="1">
      <alignment horizontal="right" vertical="center"/>
    </xf>
    <xf numFmtId="4" fontId="2" fillId="3" borderId="0" xfId="0" applyNumberFormat="1" applyFont="1" applyFill="1"/>
    <xf numFmtId="0" fontId="7" fillId="3" borderId="0" xfId="2" applyFont="1" applyFill="1" applyAlignment="1">
      <alignment horizontal="left" vertical="center"/>
    </xf>
    <xf numFmtId="4" fontId="7" fillId="3" borderId="5" xfId="2" applyNumberFormat="1" applyFont="1" applyFill="1" applyBorder="1" applyAlignment="1">
      <alignment horizontal="right" vertical="center"/>
    </xf>
    <xf numFmtId="4" fontId="0" fillId="3" borderId="0" xfId="0" applyNumberFormat="1" applyFill="1"/>
    <xf numFmtId="4" fontId="0" fillId="3" borderId="9" xfId="0" applyNumberFormat="1" applyFill="1" applyBorder="1"/>
    <xf numFmtId="4" fontId="2" fillId="3" borderId="9" xfId="0" applyNumberFormat="1" applyFont="1" applyFill="1" applyBorder="1"/>
    <xf numFmtId="4" fontId="6" fillId="3" borderId="5" xfId="2" applyNumberFormat="1" applyFont="1" applyFill="1" applyBorder="1" applyAlignment="1">
      <alignment horizontal="right" vertical="center"/>
    </xf>
    <xf numFmtId="0" fontId="5" fillId="0" borderId="0" xfId="0" applyFont="1"/>
    <xf numFmtId="0" fontId="19" fillId="0" borderId="0" xfId="0" applyFont="1"/>
    <xf numFmtId="0" fontId="20" fillId="4" borderId="0" xfId="0" applyFont="1" applyFill="1"/>
    <xf numFmtId="0" fontId="21" fillId="0" borderId="0" xfId="0" applyFont="1"/>
    <xf numFmtId="0" fontId="21" fillId="0" borderId="1" xfId="0" applyFont="1" applyBorder="1"/>
    <xf numFmtId="0" fontId="21" fillId="0" borderId="10" xfId="0" applyFont="1" applyBorder="1"/>
    <xf numFmtId="166" fontId="5" fillId="0" borderId="0" xfId="0" applyNumberFormat="1" applyFont="1"/>
    <xf numFmtId="166" fontId="21" fillId="0" borderId="1" xfId="0" applyNumberFormat="1" applyFont="1" applyBorder="1"/>
    <xf numFmtId="166" fontId="20" fillId="4" borderId="0" xfId="0" applyNumberFormat="1" applyFont="1" applyFill="1"/>
    <xf numFmtId="166" fontId="21" fillId="0" borderId="10" xfId="0" applyNumberFormat="1" applyFont="1" applyBorder="1"/>
    <xf numFmtId="166" fontId="22" fillId="0" borderId="0" xfId="0" applyNumberFormat="1" applyFont="1"/>
    <xf numFmtId="166" fontId="23" fillId="0" borderId="1" xfId="0" applyNumberFormat="1" applyFont="1" applyBorder="1"/>
    <xf numFmtId="9" fontId="5" fillId="0" borderId="0" xfId="0" applyNumberFormat="1" applyFont="1"/>
    <xf numFmtId="9" fontId="24" fillId="0" borderId="0" xfId="0" applyNumberFormat="1" applyFont="1"/>
    <xf numFmtId="166" fontId="0" fillId="0" borderId="0" xfId="0" applyNumberFormat="1"/>
    <xf numFmtId="0" fontId="20" fillId="0" borderId="0" xfId="0" applyFont="1"/>
    <xf numFmtId="0" fontId="0" fillId="0" borderId="0" xfId="0" applyAlignment="1">
      <alignment horizontal="left" indent="1"/>
    </xf>
    <xf numFmtId="14" fontId="25" fillId="0" borderId="0" xfId="0" applyNumberFormat="1" applyFont="1"/>
    <xf numFmtId="0" fontId="25" fillId="0" borderId="0" xfId="0" applyFont="1"/>
    <xf numFmtId="9" fontId="25" fillId="0" borderId="0" xfId="0" applyNumberFormat="1" applyFont="1"/>
    <xf numFmtId="10" fontId="0" fillId="0" borderId="0" xfId="0" applyNumberFormat="1"/>
    <xf numFmtId="42" fontId="0" fillId="0" borderId="0" xfId="0" applyNumberFormat="1"/>
    <xf numFmtId="43" fontId="10" fillId="7" borderId="0" xfId="0" applyNumberFormat="1" applyFont="1" applyFill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7" fontId="10" fillId="0" borderId="0" xfId="0" applyNumberFormat="1" applyFont="1"/>
    <xf numFmtId="168" fontId="0" fillId="0" borderId="0" xfId="0" applyNumberFormat="1"/>
    <xf numFmtId="10" fontId="25" fillId="0" borderId="0" xfId="0" applyNumberFormat="1" applyFont="1"/>
    <xf numFmtId="0" fontId="25" fillId="0" borderId="0" xfId="0" applyFont="1" applyAlignment="1">
      <alignment horizontal="right"/>
    </xf>
    <xf numFmtId="0" fontId="21" fillId="0" borderId="0" xfId="0" applyFont="1" applyAlignment="1">
      <alignment horizontal="left" indent="1"/>
    </xf>
    <xf numFmtId="14" fontId="5" fillId="0" borderId="0" xfId="0" applyNumberFormat="1" applyFont="1"/>
    <xf numFmtId="1" fontId="26" fillId="0" borderId="0" xfId="0" applyNumberFormat="1" applyFont="1"/>
    <xf numFmtId="1" fontId="5" fillId="0" borderId="0" xfId="0" applyNumberFormat="1" applyFont="1"/>
    <xf numFmtId="169" fontId="5" fillId="0" borderId="0" xfId="0" applyNumberFormat="1" applyFont="1"/>
    <xf numFmtId="165" fontId="5" fillId="0" borderId="0" xfId="0" applyNumberFormat="1" applyFont="1"/>
    <xf numFmtId="169" fontId="20" fillId="4" borderId="0" xfId="0" applyNumberFormat="1" applyFont="1" applyFill="1"/>
    <xf numFmtId="0" fontId="21" fillId="0" borderId="11" xfId="0" applyFont="1" applyBorder="1"/>
    <xf numFmtId="169" fontId="21" fillId="0" borderId="11" xfId="0" applyNumberFormat="1" applyFont="1" applyBorder="1"/>
    <xf numFmtId="0" fontId="21" fillId="0" borderId="11" xfId="0" applyFont="1" applyBorder="1" applyAlignment="1">
      <alignment horizontal="left" indent="1"/>
    </xf>
    <xf numFmtId="165" fontId="21" fillId="0" borderId="10" xfId="0" applyNumberFormat="1" applyFont="1" applyBorder="1"/>
    <xf numFmtId="0" fontId="27" fillId="0" borderId="0" xfId="0" applyFont="1" applyAlignment="1">
      <alignment horizontal="left" indent="1"/>
    </xf>
    <xf numFmtId="170" fontId="28" fillId="0" borderId="12" xfId="0" applyNumberFormat="1" applyFont="1" applyBorder="1" applyAlignment="1">
      <alignment horizontal="left"/>
    </xf>
    <xf numFmtId="170" fontId="28" fillId="0" borderId="12" xfId="0" applyNumberFormat="1" applyFont="1" applyBorder="1" applyAlignment="1">
      <alignment horizontal="right"/>
    </xf>
    <xf numFmtId="165" fontId="28" fillId="7" borderId="3" xfId="0" applyNumberFormat="1" applyFont="1" applyFill="1" applyBorder="1" applyAlignment="1">
      <alignment horizontal="left"/>
    </xf>
    <xf numFmtId="0" fontId="14" fillId="4" borderId="14" xfId="0" applyFont="1" applyFill="1" applyBorder="1" applyAlignment="1">
      <alignment horizontal="left"/>
    </xf>
    <xf numFmtId="0" fontId="0" fillId="4" borderId="13" xfId="0" applyFill="1" applyBorder="1"/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/>
    <xf numFmtId="0" fontId="0" fillId="5" borderId="16" xfId="0" applyFill="1" applyBorder="1"/>
    <xf numFmtId="0" fontId="2" fillId="0" borderId="17" xfId="0" applyFont="1" applyBorder="1"/>
    <xf numFmtId="42" fontId="2" fillId="0" borderId="17" xfId="0" applyNumberFormat="1" applyFont="1" applyBorder="1"/>
    <xf numFmtId="42" fontId="11" fillId="0" borderId="0" xfId="0" applyNumberFormat="1" applyFont="1"/>
    <xf numFmtId="0" fontId="29" fillId="0" borderId="0" xfId="0" applyFont="1"/>
    <xf numFmtId="42" fontId="29" fillId="0" borderId="0" xfId="0" applyNumberFormat="1" applyFont="1"/>
    <xf numFmtId="0" fontId="10" fillId="7" borderId="17" xfId="0" applyFont="1" applyFill="1" applyBorder="1"/>
    <xf numFmtId="42" fontId="10" fillId="7" borderId="17" xfId="0" applyNumberFormat="1" applyFont="1" applyFill="1" applyBorder="1"/>
    <xf numFmtId="0" fontId="29" fillId="7" borderId="17" xfId="0" applyFont="1" applyFill="1" applyBorder="1"/>
    <xf numFmtId="42" fontId="29" fillId="7" borderId="17" xfId="0" applyNumberFormat="1" applyFont="1" applyFill="1" applyBorder="1"/>
    <xf numFmtId="0" fontId="21" fillId="0" borderId="9" xfId="0" applyFont="1" applyBorder="1"/>
    <xf numFmtId="169" fontId="21" fillId="0" borderId="9" xfId="0" applyNumberFormat="1" applyFont="1" applyBorder="1"/>
    <xf numFmtId="0" fontId="30" fillId="0" borderId="0" xfId="2" applyFont="1"/>
    <xf numFmtId="0" fontId="31" fillId="0" borderId="0" xfId="2" applyFont="1"/>
    <xf numFmtId="0" fontId="21" fillId="0" borderId="11" xfId="0" applyFont="1" applyBorder="1" applyAlignment="1">
      <alignment horizontal="left"/>
    </xf>
    <xf numFmtId="0" fontId="5" fillId="0" borderId="0" xfId="0" applyFont="1" applyAlignment="1">
      <alignment horizontal="left" indent="1"/>
    </xf>
    <xf numFmtId="0" fontId="34" fillId="0" borderId="0" xfId="0" applyFont="1"/>
    <xf numFmtId="0" fontId="26" fillId="0" borderId="0" xfId="0" applyFont="1" applyAlignment="1">
      <alignment horizontal="right"/>
    </xf>
    <xf numFmtId="169" fontId="21" fillId="0" borderId="0" xfId="0" applyNumberFormat="1" applyFont="1"/>
    <xf numFmtId="14" fontId="2" fillId="0" borderId="0" xfId="0" applyNumberFormat="1" applyFont="1" applyAlignment="1">
      <alignment horizontal="right"/>
    </xf>
    <xf numFmtId="0" fontId="31" fillId="9" borderId="0" xfId="2" applyFont="1" applyFill="1"/>
    <xf numFmtId="0" fontId="3" fillId="0" borderId="0" xfId="2"/>
    <xf numFmtId="0" fontId="35" fillId="0" borderId="0" xfId="2" applyFont="1" applyAlignment="1">
      <alignment vertical="center"/>
    </xf>
    <xf numFmtId="0" fontId="36" fillId="0" borderId="0" xfId="2" applyFont="1" applyAlignment="1">
      <alignment vertical="center"/>
    </xf>
    <xf numFmtId="0" fontId="36" fillId="2" borderId="4" xfId="2" applyFont="1" applyFill="1" applyBorder="1" applyAlignment="1">
      <alignment horizontal="center" vertical="center"/>
    </xf>
    <xf numFmtId="0" fontId="36" fillId="2" borderId="4" xfId="2" applyFont="1" applyFill="1" applyBorder="1" applyAlignment="1">
      <alignment horizontal="left" vertical="center"/>
    </xf>
    <xf numFmtId="0" fontId="36" fillId="2" borderId="4" xfId="0" applyFont="1" applyFill="1" applyBorder="1" applyAlignment="1">
      <alignment horizontal="center" vertical="center"/>
    </xf>
    <xf numFmtId="17" fontId="36" fillId="2" borderId="4" xfId="0" applyNumberFormat="1" applyFont="1" applyFill="1" applyBorder="1" applyAlignment="1">
      <alignment horizontal="center" vertical="center"/>
    </xf>
    <xf numFmtId="0" fontId="36" fillId="0" borderId="5" xfId="2" applyFont="1" applyBorder="1" applyAlignment="1">
      <alignment horizontal="center" vertical="center"/>
    </xf>
    <xf numFmtId="0" fontId="36" fillId="0" borderId="5" xfId="2" applyFont="1" applyBorder="1" applyAlignment="1">
      <alignment horizontal="left" vertical="center"/>
    </xf>
    <xf numFmtId="0" fontId="36" fillId="0" borderId="5" xfId="2" applyFont="1" applyBorder="1" applyAlignment="1">
      <alignment horizontal="right" vertical="center"/>
    </xf>
    <xf numFmtId="0" fontId="37" fillId="0" borderId="0" xfId="2" applyFont="1" applyAlignment="1">
      <alignment horizontal="center" vertical="center"/>
    </xf>
    <xf numFmtId="0" fontId="37" fillId="0" borderId="0" xfId="2" applyFont="1" applyAlignment="1">
      <alignment horizontal="left" vertical="center"/>
    </xf>
    <xf numFmtId="0" fontId="36" fillId="0" borderId="0" xfId="2" applyFont="1" applyAlignment="1">
      <alignment horizontal="center" vertical="center"/>
    </xf>
    <xf numFmtId="0" fontId="36" fillId="0" borderId="0" xfId="2" applyFont="1" applyAlignment="1">
      <alignment horizontal="left" vertical="center"/>
    </xf>
    <xf numFmtId="0" fontId="36" fillId="0" borderId="0" xfId="2" applyFont="1" applyAlignment="1">
      <alignment horizontal="right" vertical="center"/>
    </xf>
    <xf numFmtId="0" fontId="37" fillId="0" borderId="0" xfId="2" applyFont="1" applyAlignment="1">
      <alignment horizontal="right" vertical="center"/>
    </xf>
    <xf numFmtId="4" fontId="37" fillId="0" borderId="0" xfId="2" applyNumberFormat="1" applyFont="1" applyAlignment="1">
      <alignment horizontal="right" vertical="center"/>
    </xf>
    <xf numFmtId="4" fontId="37" fillId="0" borderId="0" xfId="0" applyNumberFormat="1" applyFont="1" applyAlignment="1">
      <alignment horizontal="right"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4" fontId="37" fillId="0" borderId="4" xfId="2" applyNumberFormat="1" applyFont="1" applyBorder="1" applyAlignment="1">
      <alignment horizontal="right" vertical="center"/>
    </xf>
    <xf numFmtId="4" fontId="37" fillId="0" borderId="4" xfId="0" applyNumberFormat="1" applyFont="1" applyBorder="1" applyAlignment="1">
      <alignment horizontal="right" vertical="center"/>
    </xf>
    <xf numFmtId="4" fontId="37" fillId="0" borderId="6" xfId="2" applyNumberFormat="1" applyFont="1" applyBorder="1" applyAlignment="1">
      <alignment horizontal="right" vertical="center"/>
    </xf>
    <xf numFmtId="4" fontId="37" fillId="0" borderId="6" xfId="0" applyNumberFormat="1" applyFont="1" applyBorder="1" applyAlignment="1">
      <alignment horizontal="right" vertical="center"/>
    </xf>
    <xf numFmtId="4" fontId="37" fillId="0" borderId="5" xfId="2" applyNumberFormat="1" applyFont="1" applyBorder="1" applyAlignment="1">
      <alignment horizontal="right" vertical="center"/>
    </xf>
    <xf numFmtId="4" fontId="37" fillId="0" borderId="5" xfId="0" applyNumberFormat="1" applyFont="1" applyBorder="1" applyAlignment="1">
      <alignment horizontal="right" vertical="center"/>
    </xf>
    <xf numFmtId="4" fontId="36" fillId="0" borderId="5" xfId="2" applyNumberFormat="1" applyFont="1" applyBorder="1" applyAlignment="1">
      <alignment horizontal="right" vertical="center"/>
    </xf>
    <xf numFmtId="4" fontId="36" fillId="0" borderId="5" xfId="0" applyNumberFormat="1" applyFont="1" applyBorder="1" applyAlignment="1">
      <alignment horizontal="right" vertical="center"/>
    </xf>
    <xf numFmtId="0" fontId="36" fillId="9" borderId="0" xfId="2" applyFont="1" applyFill="1" applyAlignment="1">
      <alignment horizontal="center" vertical="center"/>
    </xf>
    <xf numFmtId="0" fontId="36" fillId="9" borderId="0" xfId="2" applyFont="1" applyFill="1" applyAlignment="1">
      <alignment horizontal="left" vertical="center"/>
    </xf>
    <xf numFmtId="4" fontId="36" fillId="9" borderId="5" xfId="2" applyNumberFormat="1" applyFont="1" applyFill="1" applyBorder="1" applyAlignment="1">
      <alignment horizontal="right" vertical="center"/>
    </xf>
    <xf numFmtId="4" fontId="36" fillId="9" borderId="5" xfId="0" applyNumberFormat="1" applyFont="1" applyFill="1" applyBorder="1" applyAlignment="1">
      <alignment horizontal="right" vertical="center"/>
    </xf>
    <xf numFmtId="0" fontId="3" fillId="9" borderId="0" xfId="2" applyFill="1"/>
    <xf numFmtId="0" fontId="37" fillId="0" borderId="0" xfId="0" applyFont="1" applyAlignment="1">
      <alignment horizontal="right" vertical="center"/>
    </xf>
    <xf numFmtId="0" fontId="36" fillId="9" borderId="0" xfId="0" applyFont="1" applyFill="1" applyAlignment="1">
      <alignment horizontal="center" vertical="center"/>
    </xf>
    <xf numFmtId="0" fontId="36" fillId="9" borderId="0" xfId="0" applyFont="1" applyFill="1" applyAlignment="1">
      <alignment horizontal="left" vertical="center"/>
    </xf>
    <xf numFmtId="4" fontId="36" fillId="9" borderId="6" xfId="2" applyNumberFormat="1" applyFont="1" applyFill="1" applyBorder="1" applyAlignment="1">
      <alignment horizontal="right" vertical="center"/>
    </xf>
    <xf numFmtId="4" fontId="36" fillId="9" borderId="6" xfId="0" applyNumberFormat="1" applyFont="1" applyFill="1" applyBorder="1" applyAlignment="1">
      <alignment horizontal="right" vertical="center"/>
    </xf>
    <xf numFmtId="4" fontId="36" fillId="9" borderId="4" xfId="0" applyNumberFormat="1" applyFont="1" applyFill="1" applyBorder="1" applyAlignment="1">
      <alignment horizontal="right" vertic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4" fontId="36" fillId="0" borderId="6" xfId="0" applyNumberFormat="1" applyFont="1" applyBorder="1" applyAlignment="1">
      <alignment horizontal="right" vertical="center"/>
    </xf>
    <xf numFmtId="4" fontId="36" fillId="0" borderId="6" xfId="2" applyNumberFormat="1" applyFont="1" applyBorder="1" applyAlignment="1">
      <alignment horizontal="right" vertical="center"/>
    </xf>
    <xf numFmtId="4" fontId="36" fillId="8" borderId="5" xfId="2" applyNumberFormat="1" applyFont="1" applyFill="1" applyBorder="1" applyAlignment="1">
      <alignment horizontal="right" vertical="center"/>
    </xf>
    <xf numFmtId="0" fontId="3" fillId="8" borderId="0" xfId="2" applyFill="1"/>
    <xf numFmtId="0" fontId="36" fillId="8" borderId="0" xfId="2" applyFont="1" applyFill="1" applyAlignment="1">
      <alignment horizontal="center" vertical="center"/>
    </xf>
    <xf numFmtId="0" fontId="36" fillId="8" borderId="0" xfId="2" applyFont="1" applyFill="1" applyAlignment="1">
      <alignment horizontal="left" vertical="center"/>
    </xf>
    <xf numFmtId="4" fontId="36" fillId="0" borderId="7" xfId="2" applyNumberFormat="1" applyFont="1" applyBorder="1" applyAlignment="1">
      <alignment horizontal="right" vertical="center"/>
    </xf>
    <xf numFmtId="4" fontId="36" fillId="0" borderId="7" xfId="0" applyNumberFormat="1" applyFont="1" applyBorder="1" applyAlignment="1">
      <alignment horizontal="right" vertical="center"/>
    </xf>
    <xf numFmtId="4" fontId="36" fillId="0" borderId="8" xfId="2" applyNumberFormat="1" applyFont="1" applyBorder="1" applyAlignment="1">
      <alignment horizontal="right" vertical="center"/>
    </xf>
    <xf numFmtId="4" fontId="36" fillId="0" borderId="8" xfId="0" applyNumberFormat="1" applyFont="1" applyBorder="1" applyAlignment="1">
      <alignment horizontal="right" vertical="center"/>
    </xf>
    <xf numFmtId="0" fontId="37" fillId="0" borderId="1" xfId="2" applyFont="1" applyBorder="1" applyAlignment="1">
      <alignment horizontal="right" vertical="center"/>
    </xf>
    <xf numFmtId="4" fontId="37" fillId="9" borderId="0" xfId="0" applyNumberFormat="1" applyFont="1" applyFill="1" applyAlignment="1">
      <alignment horizontal="right" vertical="center"/>
    </xf>
    <xf numFmtId="0" fontId="3" fillId="0" borderId="1" xfId="2" applyBorder="1"/>
    <xf numFmtId="4" fontId="37" fillId="0" borderId="18" xfId="2" applyNumberFormat="1" applyFont="1" applyBorder="1" applyAlignment="1">
      <alignment horizontal="right" vertical="center"/>
    </xf>
    <xf numFmtId="4" fontId="3" fillId="0" borderId="0" xfId="2" applyNumberFormat="1"/>
    <xf numFmtId="4" fontId="31" fillId="9" borderId="0" xfId="2" applyNumberFormat="1" applyFont="1" applyFill="1"/>
    <xf numFmtId="4" fontId="38" fillId="10" borderId="0" xfId="0" applyNumberFormat="1" applyFont="1" applyFill="1"/>
    <xf numFmtId="166" fontId="39" fillId="4" borderId="0" xfId="0" applyNumberFormat="1" applyFont="1" applyFill="1" applyAlignment="1">
      <alignment horizontal="right"/>
    </xf>
    <xf numFmtId="0" fontId="40" fillId="4" borderId="0" xfId="0" applyFont="1" applyFill="1" applyAlignment="1">
      <alignment horizontal="right"/>
    </xf>
    <xf numFmtId="169" fontId="26" fillId="0" borderId="0" xfId="0" applyNumberFormat="1" applyFont="1"/>
    <xf numFmtId="0" fontId="27" fillId="0" borderId="0" xfId="0" applyFont="1"/>
    <xf numFmtId="170" fontId="21" fillId="0" borderId="0" xfId="0" applyNumberFormat="1" applyFont="1"/>
    <xf numFmtId="42" fontId="25" fillId="0" borderId="0" xfId="0" applyNumberFormat="1" applyFont="1"/>
    <xf numFmtId="165" fontId="2" fillId="0" borderId="0" xfId="0" applyNumberFormat="1" applyFont="1" applyAlignment="1">
      <alignment horizontal="right"/>
    </xf>
  </cellXfs>
  <cellStyles count="4">
    <cellStyle name="Comma" xfId="1" builtinId="3"/>
    <cellStyle name="Normal" xfId="0" builtinId="0"/>
    <cellStyle name="Normal 10 3 2" xfId="2" xr:uid="{6FC6CAB5-F137-7340-88CF-42E15C2D05BE}"/>
    <cellStyle name="Normal 2" xfId="3" xr:uid="{A24E9B5F-40FE-5D43-95EB-6CCCF83BB6C4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00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Id202" Type="http://schemas.microsoft.com/office/2017/10/relationships/person" Target="persons/person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T12 OPEX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OPEX!$C$5</c:f>
              <c:strCache>
                <c:ptCount val="1"/>
                <c:pt idx="0">
                  <c:v>T12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OPEX!$B$6:$B$15</c:f>
              <c:strCache>
                <c:ptCount val="10"/>
                <c:pt idx="0">
                  <c:v>Repair &amp; Maintenance Expense</c:v>
                </c:pt>
                <c:pt idx="1">
                  <c:v>Utilities Expense</c:v>
                </c:pt>
                <c:pt idx="2">
                  <c:v>Property Tax Expense</c:v>
                </c:pt>
                <c:pt idx="3">
                  <c:v>Property Insurance Expense</c:v>
                </c:pt>
                <c:pt idx="4">
                  <c:v>Property Management Expense</c:v>
                </c:pt>
                <c:pt idx="5">
                  <c:v>Administrative Expense</c:v>
                </c:pt>
                <c:pt idx="6">
                  <c:v>Leasing &amp; Marketing Expense</c:v>
                </c:pt>
                <c:pt idx="7">
                  <c:v>Professional Service Expense</c:v>
                </c:pt>
                <c:pt idx="8">
                  <c:v>Non-Capitalized Expenditure</c:v>
                </c:pt>
                <c:pt idx="9">
                  <c:v>Direct Billable Expense</c:v>
                </c:pt>
              </c:strCache>
            </c:strRef>
          </c:cat>
          <c:val>
            <c:numRef>
              <c:f>OPEX!$C$6:$C$15</c:f>
              <c:numCache>
                <c:formatCode>#,##0.00</c:formatCode>
                <c:ptCount val="10"/>
                <c:pt idx="0">
                  <c:v>365968.14</c:v>
                </c:pt>
                <c:pt idx="1">
                  <c:v>443598.17000000004</c:v>
                </c:pt>
                <c:pt idx="2">
                  <c:v>394068.68000000005</c:v>
                </c:pt>
                <c:pt idx="3">
                  <c:v>103069.25999999998</c:v>
                </c:pt>
                <c:pt idx="4">
                  <c:v>76718</c:v>
                </c:pt>
                <c:pt idx="5">
                  <c:v>19417.760000000002</c:v>
                </c:pt>
                <c:pt idx="6">
                  <c:v>4519.5800000000008</c:v>
                </c:pt>
                <c:pt idx="7">
                  <c:v>75550.17</c:v>
                </c:pt>
                <c:pt idx="8">
                  <c:v>0</c:v>
                </c:pt>
                <c:pt idx="9">
                  <c:v>2511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F-D047-90CA-A095D7468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9779392"/>
        <c:axId val="569782976"/>
      </c:barChart>
      <c:catAx>
        <c:axId val="569779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82976"/>
        <c:crosses val="autoZero"/>
        <c:auto val="1"/>
        <c:lblAlgn val="ctr"/>
        <c:lblOffset val="100"/>
        <c:noMultiLvlLbl val="0"/>
      </c:catAx>
      <c:valAx>
        <c:axId val="56978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7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139700</xdr:colOff>
      <xdr:row>1</xdr:row>
      <xdr:rowOff>25400</xdr:rowOff>
    </xdr:from>
    <xdr:to>
      <xdr:col>10</xdr:col>
      <xdr:colOff>228600</xdr:colOff>
      <xdr:row>17</xdr:row>
      <xdr:rowOff>0</xdr:rowOff>
    </xdr:to>
    <xdr:graphicFrame macro="">
      <xdr:nvGraphicFramePr>
        <xdr:cNvPr id="2" name="OPEX_T12_Category_Chart">
          <a:extLst>
            <a:ext uri="{FF2B5EF4-FFF2-40B4-BE49-F238E27FC236}">
              <a16:creationId xmlns:a16="http://schemas.microsoft.com/office/drawing/2014/main" id="{52DA07D2-79C4-785B-169F-E0108C776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4E2505-8565-FF45-A198-7DA7E1CC8D4F}">
  <we:reference id="wa200010215" version="1.0.0.0" store="en-US" storeType="OMEX"/>
  <we:alternateReferences>
    <we:reference id="wa200010215" version="1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83F2-B337-2245-830A-8258A322F6A9}">
  <dimension ref="B1:I37"/>
  <sheetViews>
    <sheetView workbookViewId="0">
      <selection activeCell="F14" sqref="F14"/>
    </sheetView>
  </sheetViews>
  <sheetFormatPr baseColWidth="10" defaultRowHeight="16" x14ac:dyDescent="0.2"/>
  <cols>
    <col min="1" max="1" width="6.1640625" customWidth="1"/>
    <col min="2" max="2" width="18.1640625" customWidth="1"/>
    <col min="3" max="3" width="8.1640625" customWidth="1"/>
    <col min="4" max="4" width="16.83203125" customWidth="1"/>
    <col min="6" max="6" width="27.5" customWidth="1"/>
    <col min="7" max="7" width="16.6640625" customWidth="1"/>
    <col min="8" max="9" width="18.33203125" customWidth="1"/>
  </cols>
  <sheetData>
    <row r="1" spans="2:9" ht="17" thickBot="1" x14ac:dyDescent="0.25"/>
    <row r="2" spans="2:9" ht="18" thickTop="1" thickBot="1" x14ac:dyDescent="0.25">
      <c r="B2" t="s">
        <v>315</v>
      </c>
      <c r="D2" s="23">
        <f>'Rent Roll'!D21</f>
        <v>39150</v>
      </c>
      <c r="F2" s="109" t="s">
        <v>329</v>
      </c>
      <c r="G2" s="110"/>
      <c r="H2" s="110"/>
      <c r="I2" s="110"/>
    </row>
    <row r="3" spans="2:9" ht="17" thickTop="1" x14ac:dyDescent="0.2">
      <c r="B3" t="s">
        <v>247</v>
      </c>
      <c r="D3" s="82">
        <v>44256</v>
      </c>
      <c r="G3" s="111" t="s">
        <v>334</v>
      </c>
      <c r="H3" s="111" t="s">
        <v>323</v>
      </c>
      <c r="I3" s="111" t="s">
        <v>335</v>
      </c>
    </row>
    <row r="4" spans="2:9" x14ac:dyDescent="0.2">
      <c r="B4" t="s">
        <v>248</v>
      </c>
      <c r="D4" s="83">
        <v>60</v>
      </c>
      <c r="F4" t="s">
        <v>330</v>
      </c>
      <c r="G4" s="86">
        <f>D23</f>
        <v>13978444.099988639</v>
      </c>
      <c r="H4" s="86">
        <f>D24</f>
        <v>4080225.0543762296</v>
      </c>
      <c r="I4" s="86">
        <f>SUM(G4:H4)</f>
        <v>18058669.154364869</v>
      </c>
    </row>
    <row r="5" spans="2:9" x14ac:dyDescent="0.2">
      <c r="F5" s="112" t="s">
        <v>331</v>
      </c>
      <c r="G5" s="113"/>
      <c r="H5" s="113"/>
      <c r="I5" s="113"/>
    </row>
    <row r="6" spans="2:9" x14ac:dyDescent="0.2">
      <c r="B6" s="1" t="s">
        <v>357</v>
      </c>
      <c r="F6" s="81" t="s">
        <v>388</v>
      </c>
      <c r="G6" s="86">
        <f>MAX(G19-G4-G8,0)*90%</f>
        <v>10997729.515008207</v>
      </c>
      <c r="H6" s="86">
        <f ca="1">MAX(H19-H4-H8,0)*90%</f>
        <v>1304389.0790308334</v>
      </c>
      <c r="I6" s="86">
        <f ca="1">SUM(G6:H6)</f>
        <v>12302118.594039042</v>
      </c>
    </row>
    <row r="7" spans="2:9" x14ac:dyDescent="0.2">
      <c r="B7" t="s">
        <v>337</v>
      </c>
      <c r="D7" s="197">
        <v>1466676.0000000002</v>
      </c>
      <c r="F7" s="81" t="s">
        <v>389</v>
      </c>
      <c r="G7" s="86">
        <f>MAX(G19-G4-G8,0)*10%</f>
        <v>1221969.946112023</v>
      </c>
      <c r="H7" s="86">
        <f ca="1">MAX(H19-H4-H8,0)*10%</f>
        <v>144932.11989231483</v>
      </c>
      <c r="I7" s="86">
        <f ca="1">SUM(G7:H7)</f>
        <v>1366902.0660043377</v>
      </c>
    </row>
    <row r="8" spans="2:9" ht="17" thickBot="1" x14ac:dyDescent="0.25">
      <c r="B8" t="s">
        <v>336</v>
      </c>
      <c r="D8" s="92">
        <v>5.7500000000000002E-2</v>
      </c>
      <c r="F8" t="s">
        <v>390</v>
      </c>
      <c r="G8" s="86">
        <f>G18</f>
        <v>0</v>
      </c>
      <c r="H8" s="86">
        <f ca="1">H18</f>
        <v>29554385.848735891</v>
      </c>
      <c r="I8" s="86">
        <f ca="1">SUM(G8:H8)</f>
        <v>29554385.848735891</v>
      </c>
    </row>
    <row r="9" spans="2:9" x14ac:dyDescent="0.2">
      <c r="B9" t="s">
        <v>338</v>
      </c>
      <c r="D9" s="197">
        <v>25507408.695652176</v>
      </c>
      <c r="F9" s="114" t="s">
        <v>332</v>
      </c>
      <c r="G9" s="115">
        <f>SUM(G4:G8)</f>
        <v>26198143.561108869</v>
      </c>
      <c r="H9" s="115">
        <f ca="1">SUM(H4:H8)</f>
        <v>35083932.102035269</v>
      </c>
      <c r="I9" s="115">
        <f ca="1">SUM(I4:I8)</f>
        <v>61282075.663144141</v>
      </c>
    </row>
    <row r="10" spans="2:9" x14ac:dyDescent="0.2">
      <c r="B10" t="s">
        <v>344</v>
      </c>
      <c r="D10" s="197">
        <v>4080225.0543762296</v>
      </c>
    </row>
    <row r="11" spans="2:9" x14ac:dyDescent="0.2">
      <c r="B11" t="s">
        <v>345</v>
      </c>
      <c r="C11" s="84">
        <v>0.02</v>
      </c>
      <c r="D11" s="197">
        <v>510148.17391304352</v>
      </c>
      <c r="F11" s="112" t="s">
        <v>333</v>
      </c>
      <c r="G11" s="113"/>
      <c r="H11" s="113"/>
      <c r="I11" s="113"/>
    </row>
    <row r="12" spans="2:9" x14ac:dyDescent="0.2">
      <c r="B12" t="s">
        <v>346</v>
      </c>
      <c r="D12" s="197">
        <v>30097781.923941448</v>
      </c>
      <c r="F12" t="s">
        <v>357</v>
      </c>
      <c r="G12" s="86">
        <f>D9</f>
        <v>25507408.695652176</v>
      </c>
      <c r="H12" s="86">
        <f>0</f>
        <v>0</v>
      </c>
      <c r="I12" s="86">
        <f t="shared" ref="I12:I18" si="0">SUM(G12:H12)</f>
        <v>25507408.695652176</v>
      </c>
    </row>
    <row r="13" spans="2:9" x14ac:dyDescent="0.2">
      <c r="F13" t="s">
        <v>604</v>
      </c>
      <c r="G13" s="86">
        <f>0</f>
        <v>0</v>
      </c>
      <c r="H13" s="86">
        <f>-SUM(Proforma!F13:BN13)</f>
        <v>5529546.2532993788</v>
      </c>
      <c r="I13" s="86">
        <f t="shared" si="0"/>
        <v>5529546.2532993788</v>
      </c>
    </row>
    <row r="14" spans="2:9" x14ac:dyDescent="0.2">
      <c r="B14" s="1" t="s">
        <v>316</v>
      </c>
      <c r="F14" t="s">
        <v>382</v>
      </c>
      <c r="G14" s="86">
        <f>D11</f>
        <v>510148.17391304352</v>
      </c>
      <c r="H14" s="86">
        <f>0</f>
        <v>0</v>
      </c>
      <c r="I14" s="86">
        <f t="shared" si="0"/>
        <v>510148.17391304352</v>
      </c>
    </row>
    <row r="15" spans="2:9" x14ac:dyDescent="0.2">
      <c r="B15" t="s">
        <v>317</v>
      </c>
      <c r="D15" s="84">
        <v>0.06</v>
      </c>
      <c r="F15" t="s">
        <v>383</v>
      </c>
      <c r="G15" s="86">
        <f>D26</f>
        <v>180586.69154364869</v>
      </c>
      <c r="H15" s="86">
        <f>0</f>
        <v>0</v>
      </c>
      <c r="I15" s="86">
        <f t="shared" si="0"/>
        <v>180586.69154364869</v>
      </c>
    </row>
    <row r="16" spans="2:9" x14ac:dyDescent="0.2">
      <c r="B16" t="s">
        <v>318</v>
      </c>
      <c r="D16" s="90">
        <f ca="1">SUM(OFFSET('Cash Flow'!$G$33,0,$D$4,1,12))</f>
        <v>2682760.374139403</v>
      </c>
      <c r="F16" t="s">
        <v>384</v>
      </c>
      <c r="G16" s="116">
        <v>0</v>
      </c>
      <c r="H16" s="116">
        <v>0</v>
      </c>
      <c r="I16" s="86">
        <f t="shared" si="0"/>
        <v>0</v>
      </c>
    </row>
    <row r="17" spans="2:9" ht="17" thickBot="1" x14ac:dyDescent="0.25">
      <c r="B17" t="s">
        <v>319</v>
      </c>
      <c r="D17" s="91">
        <f ca="1">D16/D15</f>
        <v>44712672.902323388</v>
      </c>
      <c r="F17" t="s">
        <v>385</v>
      </c>
      <c r="G17" s="116">
        <v>0</v>
      </c>
      <c r="H17" s="116">
        <v>0</v>
      </c>
      <c r="I17" s="86">
        <f t="shared" si="0"/>
        <v>0</v>
      </c>
    </row>
    <row r="18" spans="2:9" ht="17" thickBot="1" x14ac:dyDescent="0.25">
      <c r="B18" t="s">
        <v>320</v>
      </c>
      <c r="C18" s="84">
        <v>0.02</v>
      </c>
      <c r="D18" s="91">
        <f ca="1">D17*C18</f>
        <v>894253.45804646774</v>
      </c>
      <c r="F18" s="119" t="s">
        <v>371</v>
      </c>
      <c r="G18" s="120">
        <f>MAX(0,Proforma!F63)</f>
        <v>0</v>
      </c>
      <c r="H18" s="120">
        <f ca="1">SUM(Proforma!G63:BN63)</f>
        <v>29554385.848735891</v>
      </c>
      <c r="I18" s="120">
        <f t="shared" ca="1" si="0"/>
        <v>29554385.848735891</v>
      </c>
    </row>
    <row r="19" spans="2:9" x14ac:dyDescent="0.2">
      <c r="C19" s="40"/>
      <c r="F19" s="121" t="s">
        <v>386</v>
      </c>
      <c r="G19" s="122">
        <f>SUM(G12:G18)</f>
        <v>26198143.561108869</v>
      </c>
      <c r="H19" s="122">
        <f ca="1">SUM(H12:H18)</f>
        <v>35083932.102035269</v>
      </c>
      <c r="I19" s="122">
        <f ca="1">SUM(I12:I18)</f>
        <v>61282075.663144141</v>
      </c>
    </row>
    <row r="20" spans="2:9" x14ac:dyDescent="0.2">
      <c r="F20" s="117" t="s">
        <v>387</v>
      </c>
      <c r="G20" s="118">
        <f>G9-G19</f>
        <v>0</v>
      </c>
      <c r="H20" s="118">
        <f ca="1">H9-H19</f>
        <v>0</v>
      </c>
      <c r="I20" s="118">
        <f ca="1">I9-I19</f>
        <v>0</v>
      </c>
    </row>
    <row r="21" spans="2:9" x14ac:dyDescent="0.2">
      <c r="B21" s="1" t="s">
        <v>321</v>
      </c>
      <c r="D21" s="86"/>
    </row>
    <row r="22" spans="2:9" x14ac:dyDescent="0.2">
      <c r="B22" t="s">
        <v>343</v>
      </c>
      <c r="D22" s="40">
        <v>0.6</v>
      </c>
    </row>
    <row r="23" spans="2:9" x14ac:dyDescent="0.2">
      <c r="B23" t="s">
        <v>322</v>
      </c>
      <c r="D23" s="86">
        <f>D25-D24</f>
        <v>13978444.099988639</v>
      </c>
    </row>
    <row r="24" spans="2:9" x14ac:dyDescent="0.2">
      <c r="B24" t="s">
        <v>323</v>
      </c>
      <c r="D24" s="86">
        <f>D10</f>
        <v>4080225.0543762296</v>
      </c>
    </row>
    <row r="25" spans="2:9" x14ac:dyDescent="0.2">
      <c r="B25" t="s">
        <v>324</v>
      </c>
      <c r="D25" s="86">
        <f>D12*D22</f>
        <v>18058669.154364869</v>
      </c>
    </row>
    <row r="26" spans="2:9" x14ac:dyDescent="0.2">
      <c r="B26" t="s">
        <v>325</v>
      </c>
      <c r="C26" s="84">
        <v>0.01</v>
      </c>
      <c r="D26" s="86">
        <f>D25*C26</f>
        <v>180586.69154364869</v>
      </c>
    </row>
    <row r="27" spans="2:9" x14ac:dyDescent="0.2">
      <c r="B27" t="s">
        <v>326</v>
      </c>
      <c r="D27" s="93" t="s">
        <v>347</v>
      </c>
    </row>
    <row r="28" spans="2:9" x14ac:dyDescent="0.2">
      <c r="B28" t="s">
        <v>5</v>
      </c>
      <c r="D28">
        <v>36</v>
      </c>
    </row>
    <row r="29" spans="2:9" x14ac:dyDescent="0.2">
      <c r="B29" t="s">
        <v>348</v>
      </c>
      <c r="D29">
        <v>36</v>
      </c>
    </row>
    <row r="30" spans="2:9" x14ac:dyDescent="0.2">
      <c r="B30" t="s">
        <v>600</v>
      </c>
      <c r="D30" s="197">
        <v>75000</v>
      </c>
    </row>
    <row r="31" spans="2:9" x14ac:dyDescent="0.2">
      <c r="B31" t="s">
        <v>349</v>
      </c>
      <c r="D31">
        <v>48</v>
      </c>
    </row>
    <row r="32" spans="2:9" x14ac:dyDescent="0.2">
      <c r="B32" t="s">
        <v>600</v>
      </c>
      <c r="D32" s="197">
        <v>75000</v>
      </c>
    </row>
    <row r="33" spans="2:4" x14ac:dyDescent="0.2">
      <c r="B33" t="s">
        <v>601</v>
      </c>
      <c r="D33">
        <v>1.25</v>
      </c>
    </row>
    <row r="34" spans="2:4" x14ac:dyDescent="0.2">
      <c r="B34" t="s">
        <v>602</v>
      </c>
      <c r="D34">
        <v>8</v>
      </c>
    </row>
    <row r="35" spans="2:4" x14ac:dyDescent="0.2">
      <c r="B35" t="s">
        <v>327</v>
      </c>
      <c r="D35" s="92">
        <v>3.5000000000000003E-2</v>
      </c>
    </row>
    <row r="36" spans="2:4" x14ac:dyDescent="0.2">
      <c r="B36" t="s">
        <v>351</v>
      </c>
      <c r="D36" s="92">
        <v>3.7499999999999999E-2</v>
      </c>
    </row>
    <row r="37" spans="2:4" x14ac:dyDescent="0.2">
      <c r="B37" t="s">
        <v>328</v>
      </c>
      <c r="D37" s="24" t="s">
        <v>350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0940-8FD5-7247-A672-AF76027FCBBA}">
  <dimension ref="B2:BO75"/>
  <sheetViews>
    <sheetView workbookViewId="0">
      <pane xSplit="5" ySplit="6" topLeftCell="G8" activePane="bottomRight" state="frozen"/>
      <selection pane="topRight" activeCell="F1" sqref="F1"/>
      <selection pane="bottomLeft" activeCell="A7" sqref="A7"/>
      <selection pane="bottomRight" activeCell="G27" sqref="G27"/>
    </sheetView>
  </sheetViews>
  <sheetFormatPr baseColWidth="10" defaultRowHeight="16" x14ac:dyDescent="0.2"/>
  <cols>
    <col min="1" max="1" width="4.1640625" customWidth="1"/>
    <col min="2" max="2" width="25.33203125" bestFit="1" customWidth="1"/>
    <col min="3" max="3" width="24.5" bestFit="1" customWidth="1"/>
    <col min="6" max="6" width="11.1640625" bestFit="1" customWidth="1"/>
    <col min="7" max="65" width="10.1640625" bestFit="1" customWidth="1"/>
    <col min="66" max="66" width="11.1640625" bestFit="1" customWidth="1"/>
  </cols>
  <sheetData>
    <row r="2" spans="2:67" ht="19" x14ac:dyDescent="0.25">
      <c r="B2" s="66" t="s">
        <v>355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</row>
    <row r="3" spans="2:67" x14ac:dyDescent="0.2">
      <c r="B3" s="68"/>
      <c r="C3" s="65"/>
      <c r="D3" s="65"/>
      <c r="E3" s="65"/>
      <c r="F3" s="65"/>
      <c r="G3" s="130" t="s">
        <v>393</v>
      </c>
      <c r="H3" s="130" t="s">
        <v>393</v>
      </c>
      <c r="I3" s="130" t="s">
        <v>393</v>
      </c>
      <c r="J3" s="130" t="s">
        <v>393</v>
      </c>
      <c r="K3" s="130" t="s">
        <v>393</v>
      </c>
      <c r="L3" s="130" t="s">
        <v>393</v>
      </c>
      <c r="M3" s="130" t="s">
        <v>393</v>
      </c>
      <c r="N3" s="130" t="s">
        <v>393</v>
      </c>
      <c r="O3" s="130" t="s">
        <v>393</v>
      </c>
      <c r="P3" s="130" t="s">
        <v>393</v>
      </c>
      <c r="Q3" s="129" t="s">
        <v>594</v>
      </c>
      <c r="R3" s="129" t="s">
        <v>594</v>
      </c>
      <c r="S3" s="129" t="s">
        <v>594</v>
      </c>
      <c r="T3" s="129" t="s">
        <v>594</v>
      </c>
      <c r="U3" s="129" t="s">
        <v>594</v>
      </c>
      <c r="V3" s="129" t="s">
        <v>594</v>
      </c>
      <c r="W3" s="129" t="s">
        <v>594</v>
      </c>
      <c r="X3" s="129" t="s">
        <v>594</v>
      </c>
      <c r="Y3" s="129" t="s">
        <v>594</v>
      </c>
      <c r="Z3" s="129" t="s">
        <v>594</v>
      </c>
      <c r="AA3" s="129" t="s">
        <v>594</v>
      </c>
      <c r="AB3" s="129" t="s">
        <v>594</v>
      </c>
      <c r="AC3" s="129" t="s">
        <v>594</v>
      </c>
      <c r="AD3" s="129" t="s">
        <v>594</v>
      </c>
      <c r="AE3" s="129" t="s">
        <v>594</v>
      </c>
      <c r="AF3" s="129" t="s">
        <v>594</v>
      </c>
      <c r="AG3" s="129" t="s">
        <v>594</v>
      </c>
      <c r="AH3" s="129" t="s">
        <v>594</v>
      </c>
      <c r="AI3" s="129" t="s">
        <v>594</v>
      </c>
      <c r="AJ3" s="129" t="s">
        <v>594</v>
      </c>
      <c r="AK3" s="129" t="s">
        <v>594</v>
      </c>
      <c r="AL3" s="129" t="s">
        <v>594</v>
      </c>
      <c r="AM3" s="129" t="s">
        <v>594</v>
      </c>
      <c r="AN3" s="129" t="s">
        <v>594</v>
      </c>
      <c r="AO3" s="129" t="s">
        <v>594</v>
      </c>
      <c r="AP3" s="129" t="s">
        <v>594</v>
      </c>
      <c r="AQ3" s="129" t="s">
        <v>594</v>
      </c>
      <c r="AR3" s="129" t="s">
        <v>594</v>
      </c>
      <c r="AS3" s="129" t="s">
        <v>594</v>
      </c>
      <c r="AT3" s="129" t="s">
        <v>594</v>
      </c>
      <c r="AU3" s="129" t="s">
        <v>594</v>
      </c>
      <c r="AV3" s="129" t="s">
        <v>594</v>
      </c>
      <c r="AW3" s="129" t="s">
        <v>594</v>
      </c>
      <c r="AX3" s="129" t="s">
        <v>594</v>
      </c>
      <c r="AY3" s="129" t="s">
        <v>594</v>
      </c>
      <c r="AZ3" s="129" t="s">
        <v>594</v>
      </c>
      <c r="BA3" s="129" t="s">
        <v>594</v>
      </c>
      <c r="BB3" s="129" t="s">
        <v>594</v>
      </c>
      <c r="BC3" s="129" t="s">
        <v>594</v>
      </c>
      <c r="BD3" s="129" t="s">
        <v>594</v>
      </c>
      <c r="BE3" s="129" t="s">
        <v>594</v>
      </c>
      <c r="BF3" s="129" t="s">
        <v>594</v>
      </c>
      <c r="BG3" s="129" t="s">
        <v>594</v>
      </c>
      <c r="BH3" s="129" t="s">
        <v>594</v>
      </c>
      <c r="BI3" s="129" t="s">
        <v>594</v>
      </c>
      <c r="BJ3" s="129" t="s">
        <v>594</v>
      </c>
      <c r="BK3" s="129" t="s">
        <v>594</v>
      </c>
      <c r="BL3" s="129" t="s">
        <v>594</v>
      </c>
      <c r="BM3" s="129" t="s">
        <v>594</v>
      </c>
      <c r="BN3" s="129" t="s">
        <v>594</v>
      </c>
      <c r="BO3" t="s">
        <v>354</v>
      </c>
    </row>
    <row r="4" spans="2:67" x14ac:dyDescent="0.2">
      <c r="B4" s="68" t="s">
        <v>250</v>
      </c>
      <c r="C4" s="65"/>
      <c r="D4" s="65"/>
      <c r="E4" s="65"/>
      <c r="F4" s="96">
        <f t="shared" ref="F4:AK4" si="0">IF(F$5="","",ROUNDUP(F$5/12,0))</f>
        <v>0</v>
      </c>
      <c r="G4" s="97">
        <f t="shared" si="0"/>
        <v>1</v>
      </c>
      <c r="H4" s="97">
        <f t="shared" si="0"/>
        <v>1</v>
      </c>
      <c r="I4" s="97">
        <f t="shared" si="0"/>
        <v>1</v>
      </c>
      <c r="J4" s="97">
        <f t="shared" si="0"/>
        <v>1</v>
      </c>
      <c r="K4" s="97">
        <f t="shared" si="0"/>
        <v>1</v>
      </c>
      <c r="L4" s="97">
        <f t="shared" si="0"/>
        <v>1</v>
      </c>
      <c r="M4" s="97">
        <f t="shared" si="0"/>
        <v>1</v>
      </c>
      <c r="N4" s="97">
        <f t="shared" si="0"/>
        <v>1</v>
      </c>
      <c r="O4" s="97">
        <f t="shared" si="0"/>
        <v>1</v>
      </c>
      <c r="P4" s="97">
        <f t="shared" si="0"/>
        <v>1</v>
      </c>
      <c r="Q4" s="97">
        <f t="shared" si="0"/>
        <v>1</v>
      </c>
      <c r="R4" s="97">
        <f t="shared" si="0"/>
        <v>1</v>
      </c>
      <c r="S4" s="97">
        <f t="shared" si="0"/>
        <v>2</v>
      </c>
      <c r="T4" s="97">
        <f t="shared" si="0"/>
        <v>2</v>
      </c>
      <c r="U4" s="97">
        <f t="shared" si="0"/>
        <v>2</v>
      </c>
      <c r="V4" s="97">
        <f t="shared" si="0"/>
        <v>2</v>
      </c>
      <c r="W4" s="97">
        <f t="shared" si="0"/>
        <v>2</v>
      </c>
      <c r="X4" s="97">
        <f t="shared" si="0"/>
        <v>2</v>
      </c>
      <c r="Y4" s="97">
        <f t="shared" si="0"/>
        <v>2</v>
      </c>
      <c r="Z4" s="97">
        <f t="shared" si="0"/>
        <v>2</v>
      </c>
      <c r="AA4" s="97">
        <f t="shared" si="0"/>
        <v>2</v>
      </c>
      <c r="AB4" s="97">
        <f t="shared" si="0"/>
        <v>2</v>
      </c>
      <c r="AC4" s="97">
        <f t="shared" si="0"/>
        <v>2</v>
      </c>
      <c r="AD4" s="97">
        <f t="shared" si="0"/>
        <v>2</v>
      </c>
      <c r="AE4" s="97">
        <f t="shared" si="0"/>
        <v>3</v>
      </c>
      <c r="AF4" s="97">
        <f t="shared" si="0"/>
        <v>3</v>
      </c>
      <c r="AG4" s="97">
        <f t="shared" si="0"/>
        <v>3</v>
      </c>
      <c r="AH4" s="97">
        <f t="shared" si="0"/>
        <v>3</v>
      </c>
      <c r="AI4" s="97">
        <f t="shared" si="0"/>
        <v>3</v>
      </c>
      <c r="AJ4" s="97">
        <f t="shared" si="0"/>
        <v>3</v>
      </c>
      <c r="AK4" s="97">
        <f t="shared" si="0"/>
        <v>3</v>
      </c>
      <c r="AL4" s="97">
        <f t="shared" ref="AL4:BN4" si="1">IF(AL$5="","",ROUNDUP(AL$5/12,0))</f>
        <v>3</v>
      </c>
      <c r="AM4" s="97">
        <f t="shared" si="1"/>
        <v>3</v>
      </c>
      <c r="AN4" s="97">
        <f t="shared" si="1"/>
        <v>3</v>
      </c>
      <c r="AO4" s="97">
        <f t="shared" si="1"/>
        <v>3</v>
      </c>
      <c r="AP4" s="97">
        <f t="shared" si="1"/>
        <v>3</v>
      </c>
      <c r="AQ4" s="97">
        <f t="shared" si="1"/>
        <v>4</v>
      </c>
      <c r="AR4" s="97">
        <f t="shared" si="1"/>
        <v>4</v>
      </c>
      <c r="AS4" s="97">
        <f t="shared" si="1"/>
        <v>4</v>
      </c>
      <c r="AT4" s="97">
        <f t="shared" si="1"/>
        <v>4</v>
      </c>
      <c r="AU4" s="97">
        <f t="shared" si="1"/>
        <v>4</v>
      </c>
      <c r="AV4" s="97">
        <f t="shared" si="1"/>
        <v>4</v>
      </c>
      <c r="AW4" s="97">
        <f t="shared" si="1"/>
        <v>4</v>
      </c>
      <c r="AX4" s="97">
        <f t="shared" si="1"/>
        <v>4</v>
      </c>
      <c r="AY4" s="97">
        <f t="shared" si="1"/>
        <v>4</v>
      </c>
      <c r="AZ4" s="97">
        <f t="shared" si="1"/>
        <v>4</v>
      </c>
      <c r="BA4" s="97">
        <f t="shared" si="1"/>
        <v>4</v>
      </c>
      <c r="BB4" s="97">
        <f t="shared" si="1"/>
        <v>4</v>
      </c>
      <c r="BC4" s="97">
        <f t="shared" si="1"/>
        <v>5</v>
      </c>
      <c r="BD4" s="97">
        <f t="shared" si="1"/>
        <v>5</v>
      </c>
      <c r="BE4" s="97">
        <f t="shared" si="1"/>
        <v>5</v>
      </c>
      <c r="BF4" s="97">
        <f t="shared" si="1"/>
        <v>5</v>
      </c>
      <c r="BG4" s="97">
        <f t="shared" si="1"/>
        <v>5</v>
      </c>
      <c r="BH4" s="97">
        <f t="shared" si="1"/>
        <v>5</v>
      </c>
      <c r="BI4" s="97">
        <f t="shared" si="1"/>
        <v>5</v>
      </c>
      <c r="BJ4" s="97">
        <f t="shared" si="1"/>
        <v>5</v>
      </c>
      <c r="BK4" s="97">
        <f t="shared" si="1"/>
        <v>5</v>
      </c>
      <c r="BL4" s="97">
        <f t="shared" si="1"/>
        <v>5</v>
      </c>
      <c r="BM4" s="97">
        <f t="shared" si="1"/>
        <v>5</v>
      </c>
      <c r="BN4" s="97">
        <f t="shared" si="1"/>
        <v>5</v>
      </c>
    </row>
    <row r="5" spans="2:67" x14ac:dyDescent="0.2">
      <c r="B5" s="65" t="s">
        <v>360</v>
      </c>
      <c r="C5" s="65"/>
      <c r="D5" s="65"/>
      <c r="E5" s="65"/>
      <c r="F5" s="96">
        <v>0</v>
      </c>
      <c r="G5" s="97">
        <f>IF(F5&gt;=Assumption!$D$4,"",F5+1)</f>
        <v>1</v>
      </c>
      <c r="H5" s="97">
        <f>IF(G5&gt;=Assumption!$D$4,"",G5+1)</f>
        <v>2</v>
      </c>
      <c r="I5" s="97">
        <f>IF(H5&gt;=Assumption!$D$4,"",H5+1)</f>
        <v>3</v>
      </c>
      <c r="J5" s="97">
        <f>IF(I5&gt;=Assumption!$D$4,"",I5+1)</f>
        <v>4</v>
      </c>
      <c r="K5" s="97">
        <f>IF(J5&gt;=Assumption!$D$4,"",J5+1)</f>
        <v>5</v>
      </c>
      <c r="L5" s="97">
        <f>IF(K5&gt;=Assumption!$D$4,"",K5+1)</f>
        <v>6</v>
      </c>
      <c r="M5" s="97">
        <f>IF(L5&gt;=Assumption!$D$4,"",L5+1)</f>
        <v>7</v>
      </c>
      <c r="N5" s="97">
        <f>IF(M5&gt;=Assumption!$D$4,"",M5+1)</f>
        <v>8</v>
      </c>
      <c r="O5" s="97">
        <f>IF(N5&gt;=Assumption!$D$4,"",N5+1)</f>
        <v>9</v>
      </c>
      <c r="P5" s="97">
        <f>IF(O5&gt;=Assumption!$D$4,"",O5+1)</f>
        <v>10</v>
      </c>
      <c r="Q5" s="97">
        <f>IF(P5&gt;=Assumption!$D$4,"",P5+1)</f>
        <v>11</v>
      </c>
      <c r="R5" s="97">
        <f>IF(Q5&gt;=Assumption!$D$4,"",Q5+1)</f>
        <v>12</v>
      </c>
      <c r="S5" s="97">
        <f>IF(R5&gt;=Assumption!$D$4,"",R5+1)</f>
        <v>13</v>
      </c>
      <c r="T5" s="97">
        <f>IF(S5&gt;=Assumption!$D$4,"",S5+1)</f>
        <v>14</v>
      </c>
      <c r="U5" s="97">
        <f>IF(T5&gt;=Assumption!$D$4,"",T5+1)</f>
        <v>15</v>
      </c>
      <c r="V5" s="97">
        <f>IF(U5&gt;=Assumption!$D$4,"",U5+1)</f>
        <v>16</v>
      </c>
      <c r="W5" s="97">
        <f>IF(V5&gt;=Assumption!$D$4,"",V5+1)</f>
        <v>17</v>
      </c>
      <c r="X5" s="97">
        <f>IF(W5&gt;=Assumption!$D$4,"",W5+1)</f>
        <v>18</v>
      </c>
      <c r="Y5" s="97">
        <f>IF(X5&gt;=Assumption!$D$4,"",X5+1)</f>
        <v>19</v>
      </c>
      <c r="Z5" s="97">
        <f>IF(Y5&gt;=Assumption!$D$4,"",Y5+1)</f>
        <v>20</v>
      </c>
      <c r="AA5" s="97">
        <f>IF(Z5&gt;=Assumption!$D$4,"",Z5+1)</f>
        <v>21</v>
      </c>
      <c r="AB5" s="97">
        <f>IF(AA5&gt;=Assumption!$D$4,"",AA5+1)</f>
        <v>22</v>
      </c>
      <c r="AC5" s="97">
        <f>IF(AB5&gt;=Assumption!$D$4,"",AB5+1)</f>
        <v>23</v>
      </c>
      <c r="AD5" s="97">
        <f>IF(AC5&gt;=Assumption!$D$4,"",AC5+1)</f>
        <v>24</v>
      </c>
      <c r="AE5" s="97">
        <f>IF(AD5&gt;=Assumption!$D$4,"",AD5+1)</f>
        <v>25</v>
      </c>
      <c r="AF5" s="97">
        <f>IF(AE5&gt;=Assumption!$D$4,"",AE5+1)</f>
        <v>26</v>
      </c>
      <c r="AG5" s="97">
        <f>IF(AF5&gt;=Assumption!$D$4,"",AF5+1)</f>
        <v>27</v>
      </c>
      <c r="AH5" s="97">
        <f>IF(AG5&gt;=Assumption!$D$4,"",AG5+1)</f>
        <v>28</v>
      </c>
      <c r="AI5" s="97">
        <f>IF(AH5&gt;=Assumption!$D$4,"",AH5+1)</f>
        <v>29</v>
      </c>
      <c r="AJ5" s="97">
        <f>IF(AI5&gt;=Assumption!$D$4,"",AI5+1)</f>
        <v>30</v>
      </c>
      <c r="AK5" s="97">
        <f>IF(AJ5&gt;=Assumption!$D$4,"",AJ5+1)</f>
        <v>31</v>
      </c>
      <c r="AL5" s="97">
        <f>IF(AK5&gt;=Assumption!$D$4,"",AK5+1)</f>
        <v>32</v>
      </c>
      <c r="AM5" s="97">
        <f>IF(AL5&gt;=Assumption!$D$4,"",AL5+1)</f>
        <v>33</v>
      </c>
      <c r="AN5" s="97">
        <f>IF(AM5&gt;=Assumption!$D$4,"",AM5+1)</f>
        <v>34</v>
      </c>
      <c r="AO5" s="97">
        <f>IF(AN5&gt;=Assumption!$D$4,"",AN5+1)</f>
        <v>35</v>
      </c>
      <c r="AP5" s="97">
        <f>IF(AO5&gt;=Assumption!$D$4,"",AO5+1)</f>
        <v>36</v>
      </c>
      <c r="AQ5" s="97">
        <f>IF(AP5&gt;=Assumption!$D$4,"",AP5+1)</f>
        <v>37</v>
      </c>
      <c r="AR5" s="97">
        <f>IF(AQ5&gt;=Assumption!$D$4,"",AQ5+1)</f>
        <v>38</v>
      </c>
      <c r="AS5" s="97">
        <f>IF(AR5&gt;=Assumption!$D$4,"",AR5+1)</f>
        <v>39</v>
      </c>
      <c r="AT5" s="97">
        <f>IF(AS5&gt;=Assumption!$D$4,"",AS5+1)</f>
        <v>40</v>
      </c>
      <c r="AU5" s="97">
        <f>IF(AT5&gt;=Assumption!$D$4,"",AT5+1)</f>
        <v>41</v>
      </c>
      <c r="AV5" s="97">
        <f>IF(AU5&gt;=Assumption!$D$4,"",AU5+1)</f>
        <v>42</v>
      </c>
      <c r="AW5" s="97">
        <f>IF(AV5&gt;=Assumption!$D$4,"",AV5+1)</f>
        <v>43</v>
      </c>
      <c r="AX5" s="97">
        <f>IF(AW5&gt;=Assumption!$D$4,"",AW5+1)</f>
        <v>44</v>
      </c>
      <c r="AY5" s="97">
        <f>IF(AX5&gt;=Assumption!$D$4,"",AX5+1)</f>
        <v>45</v>
      </c>
      <c r="AZ5" s="97">
        <f>IF(AY5&gt;=Assumption!$D$4,"",AY5+1)</f>
        <v>46</v>
      </c>
      <c r="BA5" s="97">
        <f>IF(AZ5&gt;=Assumption!$D$4,"",AZ5+1)</f>
        <v>47</v>
      </c>
      <c r="BB5" s="97">
        <f>IF(BA5&gt;=Assumption!$D$4,"",BA5+1)</f>
        <v>48</v>
      </c>
      <c r="BC5" s="97">
        <f>IF(BB5&gt;=Assumption!$D$4,"",BB5+1)</f>
        <v>49</v>
      </c>
      <c r="BD5" s="97">
        <f>IF(BC5&gt;=Assumption!$D$4,"",BC5+1)</f>
        <v>50</v>
      </c>
      <c r="BE5" s="97">
        <f>IF(BD5&gt;=Assumption!$D$4,"",BD5+1)</f>
        <v>51</v>
      </c>
      <c r="BF5" s="97">
        <f>IF(BE5&gt;=Assumption!$D$4,"",BE5+1)</f>
        <v>52</v>
      </c>
      <c r="BG5" s="97">
        <f>IF(BF5&gt;=Assumption!$D$4,"",BF5+1)</f>
        <v>53</v>
      </c>
      <c r="BH5" s="97">
        <f>IF(BG5&gt;=Assumption!$D$4,"",BG5+1)</f>
        <v>54</v>
      </c>
      <c r="BI5" s="97">
        <f>IF(BH5&gt;=Assumption!$D$4,"",BH5+1)</f>
        <v>55</v>
      </c>
      <c r="BJ5" s="97">
        <f>IF(BI5&gt;=Assumption!$D$4,"",BI5+1)</f>
        <v>56</v>
      </c>
      <c r="BK5" s="97">
        <f>IF(BJ5&gt;=Assumption!$D$4,"",BJ5+1)</f>
        <v>57</v>
      </c>
      <c r="BL5" s="97">
        <f>IF(BK5&gt;=Assumption!$D$4,"",BK5+1)</f>
        <v>58</v>
      </c>
      <c r="BM5" s="97">
        <f>IF(BL5&gt;=Assumption!$D$4,"",BL5+1)</f>
        <v>59</v>
      </c>
      <c r="BN5" s="97">
        <f>IF(BM5&gt;=Assumption!$D$4,"",BM5+1)</f>
        <v>60</v>
      </c>
    </row>
    <row r="6" spans="2:67" x14ac:dyDescent="0.2">
      <c r="B6" s="68" t="s">
        <v>16</v>
      </c>
      <c r="C6" s="65"/>
      <c r="D6" s="65"/>
      <c r="E6" s="65"/>
      <c r="F6" s="95">
        <f>Assumption!$D$3</f>
        <v>44256</v>
      </c>
      <c r="G6" s="95">
        <f t="shared" ref="G6:AL6" si="2">IF(G$5="","",EOMONTH($F$6,G$5-1))</f>
        <v>44286</v>
      </c>
      <c r="H6" s="95">
        <f t="shared" si="2"/>
        <v>44316</v>
      </c>
      <c r="I6" s="95">
        <f t="shared" si="2"/>
        <v>44347</v>
      </c>
      <c r="J6" s="95">
        <f t="shared" si="2"/>
        <v>44377</v>
      </c>
      <c r="K6" s="95">
        <f t="shared" si="2"/>
        <v>44408</v>
      </c>
      <c r="L6" s="95">
        <f t="shared" si="2"/>
        <v>44439</v>
      </c>
      <c r="M6" s="95">
        <f t="shared" si="2"/>
        <v>44469</v>
      </c>
      <c r="N6" s="95">
        <f t="shared" si="2"/>
        <v>44500</v>
      </c>
      <c r="O6" s="95">
        <f t="shared" si="2"/>
        <v>44530</v>
      </c>
      <c r="P6" s="95">
        <f t="shared" si="2"/>
        <v>44561</v>
      </c>
      <c r="Q6" s="95">
        <f t="shared" si="2"/>
        <v>44592</v>
      </c>
      <c r="R6" s="95">
        <f t="shared" si="2"/>
        <v>44620</v>
      </c>
      <c r="S6" s="95">
        <f t="shared" si="2"/>
        <v>44651</v>
      </c>
      <c r="T6" s="95">
        <f t="shared" si="2"/>
        <v>44681</v>
      </c>
      <c r="U6" s="95">
        <f t="shared" si="2"/>
        <v>44712</v>
      </c>
      <c r="V6" s="95">
        <f t="shared" si="2"/>
        <v>44742</v>
      </c>
      <c r="W6" s="95">
        <f t="shared" si="2"/>
        <v>44773</v>
      </c>
      <c r="X6" s="95">
        <f t="shared" si="2"/>
        <v>44804</v>
      </c>
      <c r="Y6" s="95">
        <f t="shared" si="2"/>
        <v>44834</v>
      </c>
      <c r="Z6" s="95">
        <f t="shared" si="2"/>
        <v>44865</v>
      </c>
      <c r="AA6" s="95">
        <f t="shared" si="2"/>
        <v>44895</v>
      </c>
      <c r="AB6" s="95">
        <f t="shared" si="2"/>
        <v>44926</v>
      </c>
      <c r="AC6" s="95">
        <f t="shared" si="2"/>
        <v>44957</v>
      </c>
      <c r="AD6" s="95">
        <f t="shared" si="2"/>
        <v>44985</v>
      </c>
      <c r="AE6" s="95">
        <f t="shared" si="2"/>
        <v>45016</v>
      </c>
      <c r="AF6" s="95">
        <f t="shared" si="2"/>
        <v>45046</v>
      </c>
      <c r="AG6" s="95">
        <f t="shared" si="2"/>
        <v>45077</v>
      </c>
      <c r="AH6" s="95">
        <f t="shared" si="2"/>
        <v>45107</v>
      </c>
      <c r="AI6" s="95">
        <f t="shared" si="2"/>
        <v>45138</v>
      </c>
      <c r="AJ6" s="95">
        <f t="shared" si="2"/>
        <v>45169</v>
      </c>
      <c r="AK6" s="95">
        <f t="shared" si="2"/>
        <v>45199</v>
      </c>
      <c r="AL6" s="95">
        <f t="shared" si="2"/>
        <v>45230</v>
      </c>
      <c r="AM6" s="95">
        <f t="shared" ref="AM6:BN6" si="3">IF(AM$5="","",EOMONTH($F$6,AM$5-1))</f>
        <v>45260</v>
      </c>
      <c r="AN6" s="95">
        <f t="shared" si="3"/>
        <v>45291</v>
      </c>
      <c r="AO6" s="95">
        <f t="shared" si="3"/>
        <v>45322</v>
      </c>
      <c r="AP6" s="95">
        <f t="shared" si="3"/>
        <v>45351</v>
      </c>
      <c r="AQ6" s="95">
        <f t="shared" si="3"/>
        <v>45382</v>
      </c>
      <c r="AR6" s="95">
        <f t="shared" si="3"/>
        <v>45412</v>
      </c>
      <c r="AS6" s="95">
        <f t="shared" si="3"/>
        <v>45443</v>
      </c>
      <c r="AT6" s="95">
        <f t="shared" si="3"/>
        <v>45473</v>
      </c>
      <c r="AU6" s="95">
        <f t="shared" si="3"/>
        <v>45504</v>
      </c>
      <c r="AV6" s="95">
        <f t="shared" si="3"/>
        <v>45535</v>
      </c>
      <c r="AW6" s="95">
        <f t="shared" si="3"/>
        <v>45565</v>
      </c>
      <c r="AX6" s="95">
        <f t="shared" si="3"/>
        <v>45596</v>
      </c>
      <c r="AY6" s="95">
        <f t="shared" si="3"/>
        <v>45626</v>
      </c>
      <c r="AZ6" s="95">
        <f t="shared" si="3"/>
        <v>45657</v>
      </c>
      <c r="BA6" s="95">
        <f t="shared" si="3"/>
        <v>45688</v>
      </c>
      <c r="BB6" s="95">
        <f t="shared" si="3"/>
        <v>45716</v>
      </c>
      <c r="BC6" s="95">
        <f t="shared" si="3"/>
        <v>45747</v>
      </c>
      <c r="BD6" s="95">
        <f t="shared" si="3"/>
        <v>45777</v>
      </c>
      <c r="BE6" s="95">
        <f t="shared" si="3"/>
        <v>45808</v>
      </c>
      <c r="BF6" s="95">
        <f t="shared" si="3"/>
        <v>45838</v>
      </c>
      <c r="BG6" s="95">
        <f t="shared" si="3"/>
        <v>45869</v>
      </c>
      <c r="BH6" s="95">
        <f t="shared" si="3"/>
        <v>45900</v>
      </c>
      <c r="BI6" s="95">
        <f t="shared" si="3"/>
        <v>45930</v>
      </c>
      <c r="BJ6" s="95">
        <f t="shared" si="3"/>
        <v>45961</v>
      </c>
      <c r="BK6" s="95">
        <f t="shared" si="3"/>
        <v>45991</v>
      </c>
      <c r="BL6" s="95">
        <f t="shared" si="3"/>
        <v>46022</v>
      </c>
      <c r="BM6" s="95">
        <f t="shared" si="3"/>
        <v>46053</v>
      </c>
      <c r="BN6" s="95">
        <f t="shared" si="3"/>
        <v>46081</v>
      </c>
    </row>
    <row r="7" spans="2:67" x14ac:dyDescent="0.2"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</row>
    <row r="8" spans="2:67" x14ac:dyDescent="0.2">
      <c r="B8" s="68" t="s">
        <v>357</v>
      </c>
      <c r="C8" s="65"/>
      <c r="D8" s="65"/>
      <c r="E8" s="65"/>
      <c r="F8" s="98">
        <f>-Assumption!$D$9</f>
        <v>-25507408.695652176</v>
      </c>
      <c r="G8" s="98">
        <f t="shared" ref="G8:AL8" si="4">IF(G$5="","",0)</f>
        <v>0</v>
      </c>
      <c r="H8" s="98">
        <f t="shared" si="4"/>
        <v>0</v>
      </c>
      <c r="I8" s="98">
        <f t="shared" si="4"/>
        <v>0</v>
      </c>
      <c r="J8" s="98">
        <f t="shared" si="4"/>
        <v>0</v>
      </c>
      <c r="K8" s="98">
        <f t="shared" si="4"/>
        <v>0</v>
      </c>
      <c r="L8" s="98">
        <f t="shared" si="4"/>
        <v>0</v>
      </c>
      <c r="M8" s="98">
        <f t="shared" si="4"/>
        <v>0</v>
      </c>
      <c r="N8" s="98">
        <f t="shared" si="4"/>
        <v>0</v>
      </c>
      <c r="O8" s="98">
        <f t="shared" si="4"/>
        <v>0</v>
      </c>
      <c r="P8" s="98">
        <f t="shared" si="4"/>
        <v>0</v>
      </c>
      <c r="Q8" s="98">
        <f t="shared" si="4"/>
        <v>0</v>
      </c>
      <c r="R8" s="98">
        <f t="shared" si="4"/>
        <v>0</v>
      </c>
      <c r="S8" s="98">
        <f t="shared" si="4"/>
        <v>0</v>
      </c>
      <c r="T8" s="98">
        <f t="shared" si="4"/>
        <v>0</v>
      </c>
      <c r="U8" s="98">
        <f t="shared" si="4"/>
        <v>0</v>
      </c>
      <c r="V8" s="98">
        <f t="shared" si="4"/>
        <v>0</v>
      </c>
      <c r="W8" s="98">
        <f t="shared" si="4"/>
        <v>0</v>
      </c>
      <c r="X8" s="98">
        <f t="shared" si="4"/>
        <v>0</v>
      </c>
      <c r="Y8" s="98">
        <f t="shared" si="4"/>
        <v>0</v>
      </c>
      <c r="Z8" s="98">
        <f t="shared" si="4"/>
        <v>0</v>
      </c>
      <c r="AA8" s="98">
        <f t="shared" si="4"/>
        <v>0</v>
      </c>
      <c r="AB8" s="98">
        <f t="shared" si="4"/>
        <v>0</v>
      </c>
      <c r="AC8" s="98">
        <f t="shared" si="4"/>
        <v>0</v>
      </c>
      <c r="AD8" s="98">
        <f t="shared" si="4"/>
        <v>0</v>
      </c>
      <c r="AE8" s="98">
        <f t="shared" si="4"/>
        <v>0</v>
      </c>
      <c r="AF8" s="98">
        <f t="shared" si="4"/>
        <v>0</v>
      </c>
      <c r="AG8" s="98">
        <f t="shared" si="4"/>
        <v>0</v>
      </c>
      <c r="AH8" s="98">
        <f t="shared" si="4"/>
        <v>0</v>
      </c>
      <c r="AI8" s="98">
        <f t="shared" si="4"/>
        <v>0</v>
      </c>
      <c r="AJ8" s="98">
        <f t="shared" si="4"/>
        <v>0</v>
      </c>
      <c r="AK8" s="98">
        <f t="shared" si="4"/>
        <v>0</v>
      </c>
      <c r="AL8" s="98">
        <f t="shared" si="4"/>
        <v>0</v>
      </c>
      <c r="AM8" s="98">
        <f t="shared" ref="AM8:BN8" si="5">IF(AM$5="","",0)</f>
        <v>0</v>
      </c>
      <c r="AN8" s="98">
        <f t="shared" si="5"/>
        <v>0</v>
      </c>
      <c r="AO8" s="98">
        <f t="shared" si="5"/>
        <v>0</v>
      </c>
      <c r="AP8" s="98">
        <f t="shared" si="5"/>
        <v>0</v>
      </c>
      <c r="AQ8" s="98">
        <f t="shared" si="5"/>
        <v>0</v>
      </c>
      <c r="AR8" s="98">
        <f t="shared" si="5"/>
        <v>0</v>
      </c>
      <c r="AS8" s="98">
        <f t="shared" si="5"/>
        <v>0</v>
      </c>
      <c r="AT8" s="98">
        <f t="shared" si="5"/>
        <v>0</v>
      </c>
      <c r="AU8" s="98">
        <f t="shared" si="5"/>
        <v>0</v>
      </c>
      <c r="AV8" s="98">
        <f t="shared" si="5"/>
        <v>0</v>
      </c>
      <c r="AW8" s="98">
        <f t="shared" si="5"/>
        <v>0</v>
      </c>
      <c r="AX8" s="98">
        <f t="shared" si="5"/>
        <v>0</v>
      </c>
      <c r="AY8" s="98">
        <f t="shared" si="5"/>
        <v>0</v>
      </c>
      <c r="AZ8" s="98">
        <f t="shared" si="5"/>
        <v>0</v>
      </c>
      <c r="BA8" s="98">
        <f t="shared" si="5"/>
        <v>0</v>
      </c>
      <c r="BB8" s="98">
        <f t="shared" si="5"/>
        <v>0</v>
      </c>
      <c r="BC8" s="98">
        <f t="shared" si="5"/>
        <v>0</v>
      </c>
      <c r="BD8" s="98">
        <f t="shared" si="5"/>
        <v>0</v>
      </c>
      <c r="BE8" s="98">
        <f t="shared" si="5"/>
        <v>0</v>
      </c>
      <c r="BF8" s="98">
        <f t="shared" si="5"/>
        <v>0</v>
      </c>
      <c r="BG8" s="98">
        <f t="shared" si="5"/>
        <v>0</v>
      </c>
      <c r="BH8" s="98">
        <f t="shared" si="5"/>
        <v>0</v>
      </c>
      <c r="BI8" s="98">
        <f t="shared" si="5"/>
        <v>0</v>
      </c>
      <c r="BJ8" s="98">
        <f t="shared" si="5"/>
        <v>0</v>
      </c>
      <c r="BK8" s="98">
        <f t="shared" si="5"/>
        <v>0</v>
      </c>
      <c r="BL8" s="98">
        <f t="shared" si="5"/>
        <v>0</v>
      </c>
      <c r="BM8" s="98">
        <f t="shared" si="5"/>
        <v>0</v>
      </c>
      <c r="BN8" s="98">
        <f t="shared" si="5"/>
        <v>0</v>
      </c>
    </row>
    <row r="9" spans="2:67" x14ac:dyDescent="0.2">
      <c r="B9" s="65"/>
      <c r="C9" s="65"/>
      <c r="D9" s="65"/>
      <c r="E9" s="65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</row>
    <row r="10" spans="2:67" x14ac:dyDescent="0.2">
      <c r="B10" s="67" t="s">
        <v>297</v>
      </c>
      <c r="C10" s="67"/>
      <c r="D10" s="67"/>
      <c r="E10" s="67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</row>
    <row r="11" spans="2:67" x14ac:dyDescent="0.2">
      <c r="B11" s="65" t="s">
        <v>13</v>
      </c>
      <c r="C11" s="65"/>
      <c r="D11" s="65"/>
      <c r="E11" s="65"/>
      <c r="F11" s="98">
        <f>IF(F$5="","",INDEX('Cash Flow'!$F$36:$BZ$36,1,MATCH(F$5,'Cash Flow'!$F$5:$BZ$5,0)))</f>
        <v>0</v>
      </c>
      <c r="G11" s="98">
        <f>IF(G$5="","",INDEX('Cash Flow'!$F$36:$BZ$36,1,MATCH(G$5,'Cash Flow'!$F$5:$BZ$5,0)))</f>
        <v>0</v>
      </c>
      <c r="H11" s="98">
        <f>IF(H$5="","",INDEX('Cash Flow'!$F$36:$BZ$36,1,MATCH(H$5,'Cash Flow'!$F$5:$BZ$5,0)))</f>
        <v>0</v>
      </c>
      <c r="I11" s="98">
        <f>IF(I$5="","",INDEX('Cash Flow'!$F$36:$BZ$36,1,MATCH(I$5,'Cash Flow'!$F$5:$BZ$5,0)))</f>
        <v>0</v>
      </c>
      <c r="J11" s="98">
        <f>IF(J$5="","",INDEX('Cash Flow'!$F$36:$BZ$36,1,MATCH(J$5,'Cash Flow'!$F$5:$BZ$5,0)))</f>
        <v>0</v>
      </c>
      <c r="K11" s="98">
        <f>IF(K$5="","",INDEX('Cash Flow'!$F$36:$BZ$36,1,MATCH(K$5,'Cash Flow'!$F$5:$BZ$5,0)))</f>
        <v>0</v>
      </c>
      <c r="L11" s="98">
        <f>IF(L$5="","",INDEX('Cash Flow'!$F$36:$BZ$36,1,MATCH(L$5,'Cash Flow'!$F$5:$BZ$5,0)))</f>
        <v>0</v>
      </c>
      <c r="M11" s="98">
        <f>IF(M$5="","",INDEX('Cash Flow'!$F$36:$BZ$36,1,MATCH(M$5,'Cash Flow'!$F$5:$BZ$5,0)))</f>
        <v>0</v>
      </c>
      <c r="N11" s="98">
        <f>IF(N$5="","",INDEX('Cash Flow'!$F$36:$BZ$36,1,MATCH(N$5,'Cash Flow'!$F$5:$BZ$5,0)))</f>
        <v>0</v>
      </c>
      <c r="O11" s="98">
        <f>IF(O$5="","",INDEX('Cash Flow'!$F$36:$BZ$36,1,MATCH(O$5,'Cash Flow'!$F$5:$BZ$5,0)))</f>
        <v>-192000</v>
      </c>
      <c r="P11" s="98">
        <f>IF(P$5="","",INDEX('Cash Flow'!$F$36:$BZ$36,1,MATCH(P$5,'Cash Flow'!$F$5:$BZ$5,0)))</f>
        <v>-241500</v>
      </c>
      <c r="Q11" s="98">
        <f>IF(Q$5="","",INDEX('Cash Flow'!$F$36:$BZ$36,1,MATCH(Q$5,'Cash Flow'!$F$5:$BZ$5,0)))</f>
        <v>0</v>
      </c>
      <c r="R11" s="98">
        <f>IF(R$5="","",INDEX('Cash Flow'!$F$36:$BZ$36,1,MATCH(R$5,'Cash Flow'!$F$5:$BZ$5,0)))</f>
        <v>-247500</v>
      </c>
      <c r="S11" s="98">
        <f>IF(S$5="","",INDEX('Cash Flow'!$F$36:$BZ$36,1,MATCH(S$5,'Cash Flow'!$F$5:$BZ$5,0)))</f>
        <v>0</v>
      </c>
      <c r="T11" s="98">
        <f>IF(T$5="","",INDEX('Cash Flow'!$F$36:$BZ$36,1,MATCH(T$5,'Cash Flow'!$F$5:$BZ$5,0)))</f>
        <v>0</v>
      </c>
      <c r="U11" s="98">
        <f>IF(U$5="","",INDEX('Cash Flow'!$F$36:$BZ$36,1,MATCH(U$5,'Cash Flow'!$F$5:$BZ$5,0)))</f>
        <v>-60000</v>
      </c>
      <c r="V11" s="98">
        <f>IF(V$5="","",INDEX('Cash Flow'!$F$36:$BZ$36,1,MATCH(V$5,'Cash Flow'!$F$5:$BZ$5,0)))</f>
        <v>0</v>
      </c>
      <c r="W11" s="98">
        <f>IF(W$5="","",INDEX('Cash Flow'!$F$36:$BZ$36,1,MATCH(W$5,'Cash Flow'!$F$5:$BZ$5,0)))</f>
        <v>0</v>
      </c>
      <c r="X11" s="98">
        <f>IF(X$5="","",INDEX('Cash Flow'!$F$36:$BZ$36,1,MATCH(X$5,'Cash Flow'!$F$5:$BZ$5,0)))</f>
        <v>-288000</v>
      </c>
      <c r="Y11" s="98">
        <f>IF(Y$5="","",INDEX('Cash Flow'!$F$36:$BZ$36,1,MATCH(Y$5,'Cash Flow'!$F$5:$BZ$5,0)))</f>
        <v>-795000</v>
      </c>
      <c r="Z11" s="98">
        <f>IF(Z$5="","",INDEX('Cash Flow'!$F$36:$BZ$36,1,MATCH(Z$5,'Cash Flow'!$F$5:$BZ$5,0)))</f>
        <v>-105000</v>
      </c>
      <c r="AA11" s="98">
        <f>IF(AA$5="","",INDEX('Cash Flow'!$F$36:$BZ$36,1,MATCH(AA$5,'Cash Flow'!$F$5:$BZ$5,0)))</f>
        <v>-735000</v>
      </c>
      <c r="AB11" s="98">
        <f>IF(AB$5="","",INDEX('Cash Flow'!$F$36:$BZ$36,1,MATCH(AB$5,'Cash Flow'!$F$5:$BZ$5,0)))</f>
        <v>0</v>
      </c>
      <c r="AC11" s="98">
        <f>IF(AC$5="","",INDEX('Cash Flow'!$F$36:$BZ$36,1,MATCH(AC$5,'Cash Flow'!$F$5:$BZ$5,0)))</f>
        <v>0</v>
      </c>
      <c r="AD11" s="98">
        <f>IF(AD$5="","",INDEX('Cash Flow'!$F$36:$BZ$36,1,MATCH(AD$5,'Cash Flow'!$F$5:$BZ$5,0)))</f>
        <v>-90000</v>
      </c>
      <c r="AE11" s="98">
        <f>IF(AE$5="","",INDEX('Cash Flow'!$F$36:$BZ$36,1,MATCH(AE$5,'Cash Flow'!$F$5:$BZ$5,0)))</f>
        <v>-150000</v>
      </c>
      <c r="AF11" s="98">
        <f>IF(AF$5="","",INDEX('Cash Flow'!$F$36:$BZ$36,1,MATCH(AF$5,'Cash Flow'!$F$5:$BZ$5,0)))</f>
        <v>0</v>
      </c>
      <c r="AG11" s="98">
        <f>IF(AG$5="","",INDEX('Cash Flow'!$F$36:$BZ$36,1,MATCH(AG$5,'Cash Flow'!$F$5:$BZ$5,0)))</f>
        <v>0</v>
      </c>
      <c r="AH11" s="98">
        <f>IF(AH$5="","",INDEX('Cash Flow'!$F$36:$BZ$36,1,MATCH(AH$5,'Cash Flow'!$F$5:$BZ$5,0)))</f>
        <v>0</v>
      </c>
      <c r="AI11" s="98">
        <f>IF(AI$5="","",INDEX('Cash Flow'!$F$36:$BZ$36,1,MATCH(AI$5,'Cash Flow'!$F$5:$BZ$5,0)))</f>
        <v>-325500</v>
      </c>
      <c r="AJ11" s="98">
        <f>IF(AJ$5="","",INDEX('Cash Flow'!$F$36:$BZ$36,1,MATCH(AJ$5,'Cash Flow'!$F$5:$BZ$5,0)))</f>
        <v>-258000</v>
      </c>
      <c r="AK11" s="98">
        <f>IF(AK$5="","",INDEX('Cash Flow'!$F$36:$BZ$36,1,MATCH(AK$5,'Cash Flow'!$F$5:$BZ$5,0)))</f>
        <v>0</v>
      </c>
      <c r="AL11" s="98">
        <f>IF(AL$5="","",INDEX('Cash Flow'!$F$36:$BZ$36,1,MATCH(AL$5,'Cash Flow'!$F$5:$BZ$5,0)))</f>
        <v>0</v>
      </c>
      <c r="AM11" s="98">
        <f>IF(AM$5="","",INDEX('Cash Flow'!$F$36:$BZ$36,1,MATCH(AM$5,'Cash Flow'!$F$5:$BZ$5,0)))</f>
        <v>0</v>
      </c>
      <c r="AN11" s="98">
        <f>IF(AN$5="","",INDEX('Cash Flow'!$F$36:$BZ$36,1,MATCH(AN$5,'Cash Flow'!$F$5:$BZ$5,0)))</f>
        <v>-225000</v>
      </c>
      <c r="AO11" s="98">
        <f>IF(AO$5="","",INDEX('Cash Flow'!$F$36:$BZ$36,1,MATCH(AO$5,'Cash Flow'!$F$5:$BZ$5,0)))</f>
        <v>-180000</v>
      </c>
      <c r="AP11" s="98">
        <f>IF(AP$5="","",INDEX('Cash Flow'!$F$36:$BZ$36,1,MATCH(AP$5,'Cash Flow'!$F$5:$BZ$5,0)))</f>
        <v>0</v>
      </c>
      <c r="AQ11" s="98">
        <f>IF(AQ$5="","",INDEX('Cash Flow'!$F$36:$BZ$36,1,MATCH(AQ$5,'Cash Flow'!$F$5:$BZ$5,0)))</f>
        <v>0</v>
      </c>
      <c r="AR11" s="98">
        <f>IF(AR$5="","",INDEX('Cash Flow'!$F$36:$BZ$36,1,MATCH(AR$5,'Cash Flow'!$F$5:$BZ$5,0)))</f>
        <v>-252000</v>
      </c>
      <c r="AS11" s="98">
        <f>IF(AS$5="","",INDEX('Cash Flow'!$F$36:$BZ$36,1,MATCH(AS$5,'Cash Flow'!$F$5:$BZ$5,0)))</f>
        <v>-387000</v>
      </c>
      <c r="AT11" s="98">
        <f>IF(AT$5="","",INDEX('Cash Flow'!$F$36:$BZ$36,1,MATCH(AT$5,'Cash Flow'!$F$5:$BZ$5,0)))</f>
        <v>0</v>
      </c>
      <c r="AU11" s="98">
        <f>IF(AU$5="","",INDEX('Cash Flow'!$F$36:$BZ$36,1,MATCH(AU$5,'Cash Flow'!$F$5:$BZ$5,0)))</f>
        <v>0</v>
      </c>
      <c r="AV11" s="98">
        <f>IF(AV$5="","",INDEX('Cash Flow'!$F$36:$BZ$36,1,MATCH(AV$5,'Cash Flow'!$F$5:$BZ$5,0)))</f>
        <v>0</v>
      </c>
      <c r="AW11" s="98">
        <f>IF(AW$5="","",INDEX('Cash Flow'!$F$36:$BZ$36,1,MATCH(AW$5,'Cash Flow'!$F$5:$BZ$5,0)))</f>
        <v>0</v>
      </c>
      <c r="AX11" s="98">
        <f>IF(AX$5="","",INDEX('Cash Flow'!$F$36:$BZ$36,1,MATCH(AX$5,'Cash Flow'!$F$5:$BZ$5,0)))</f>
        <v>-270000</v>
      </c>
      <c r="AY11" s="98">
        <f>IF(AY$5="","",INDEX('Cash Flow'!$F$36:$BZ$36,1,MATCH(AY$5,'Cash Flow'!$F$5:$BZ$5,0)))</f>
        <v>0</v>
      </c>
      <c r="AZ11" s="98">
        <f>IF(AZ$5="","",INDEX('Cash Flow'!$F$36:$BZ$36,1,MATCH(AZ$5,'Cash Flow'!$F$5:$BZ$5,0)))</f>
        <v>0</v>
      </c>
      <c r="BA11" s="98">
        <f>IF(BA$5="","",INDEX('Cash Flow'!$F$36:$BZ$36,1,MATCH(BA$5,'Cash Flow'!$F$5:$BZ$5,0)))</f>
        <v>0</v>
      </c>
      <c r="BB11" s="98">
        <f>IF(BB$5="","",INDEX('Cash Flow'!$F$36:$BZ$36,1,MATCH(BB$5,'Cash Flow'!$F$5:$BZ$5,0)))</f>
        <v>0</v>
      </c>
      <c r="BC11" s="98">
        <f>IF(BC$5="","",INDEX('Cash Flow'!$F$36:$BZ$36,1,MATCH(BC$5,'Cash Flow'!$F$5:$BZ$5,0)))</f>
        <v>0</v>
      </c>
      <c r="BD11" s="98">
        <f>IF(BD$5="","",INDEX('Cash Flow'!$F$36:$BZ$36,1,MATCH(BD$5,'Cash Flow'!$F$5:$BZ$5,0)))</f>
        <v>0</v>
      </c>
      <c r="BE11" s="98">
        <f>IF(BE$5="","",INDEX('Cash Flow'!$F$36:$BZ$36,1,MATCH(BE$5,'Cash Flow'!$F$5:$BZ$5,0)))</f>
        <v>0</v>
      </c>
      <c r="BF11" s="98">
        <f>IF(BF$5="","",INDEX('Cash Flow'!$F$36:$BZ$36,1,MATCH(BF$5,'Cash Flow'!$F$5:$BZ$5,0)))</f>
        <v>0</v>
      </c>
      <c r="BG11" s="98">
        <f>IF(BG$5="","",INDEX('Cash Flow'!$F$36:$BZ$36,1,MATCH(BG$5,'Cash Flow'!$F$5:$BZ$5,0)))</f>
        <v>0</v>
      </c>
      <c r="BH11" s="98">
        <f>IF(BH$5="","",INDEX('Cash Flow'!$F$36:$BZ$36,1,MATCH(BH$5,'Cash Flow'!$F$5:$BZ$5,0)))</f>
        <v>0</v>
      </c>
      <c r="BI11" s="98">
        <f>IF(BI$5="","",INDEX('Cash Flow'!$F$36:$BZ$36,1,MATCH(BI$5,'Cash Flow'!$F$5:$BZ$5,0)))</f>
        <v>0</v>
      </c>
      <c r="BJ11" s="98">
        <f>IF(BJ$5="","",INDEX('Cash Flow'!$F$36:$BZ$36,1,MATCH(BJ$5,'Cash Flow'!$F$5:$BZ$5,0)))</f>
        <v>0</v>
      </c>
      <c r="BK11" s="98">
        <f>IF(BK$5="","",INDEX('Cash Flow'!$F$36:$BZ$36,1,MATCH(BK$5,'Cash Flow'!$F$5:$BZ$5,0)))</f>
        <v>0</v>
      </c>
      <c r="BL11" s="98">
        <f>IF(BL$5="","",INDEX('Cash Flow'!$F$36:$BZ$36,1,MATCH(BL$5,'Cash Flow'!$F$5:$BZ$5,0)))</f>
        <v>0</v>
      </c>
      <c r="BM11" s="98">
        <f>IF(BM$5="","",INDEX('Cash Flow'!$F$36:$BZ$36,1,MATCH(BM$5,'Cash Flow'!$F$5:$BZ$5,0)))</f>
        <v>0</v>
      </c>
      <c r="BN11" s="98">
        <f>IF(BN$5="","",INDEX('Cash Flow'!$F$36:$BZ$36,1,MATCH(BN$5,'Cash Flow'!$F$5:$BZ$5,0)))</f>
        <v>0</v>
      </c>
    </row>
    <row r="12" spans="2:67" ht="17" thickBot="1" x14ac:dyDescent="0.25">
      <c r="B12" s="65" t="s">
        <v>14</v>
      </c>
      <c r="C12" s="65"/>
      <c r="D12" s="65"/>
      <c r="E12" s="65"/>
      <c r="F12" s="98">
        <f>IF(F$5="","",INDEX('Cash Flow'!$F$37:$BZ$37,1,MATCH(F$5,'Cash Flow'!$F$5:$BZ$5,0)))</f>
        <v>0</v>
      </c>
      <c r="G12" s="98">
        <f>IF(G$5="","",INDEX('Cash Flow'!$F$37:$BZ$37,1,MATCH(G$5,'Cash Flow'!$F$5:$BZ$5,0)))</f>
        <v>0</v>
      </c>
      <c r="H12" s="98">
        <f>IF(H$5="","",INDEX('Cash Flow'!$F$37:$BZ$37,1,MATCH(H$5,'Cash Flow'!$F$5:$BZ$5,0)))</f>
        <v>0</v>
      </c>
      <c r="I12" s="98">
        <f>IF(I$5="","",INDEX('Cash Flow'!$F$37:$BZ$37,1,MATCH(I$5,'Cash Flow'!$F$5:$BZ$5,0)))</f>
        <v>0</v>
      </c>
      <c r="J12" s="98">
        <f>IF(J$5="","",INDEX('Cash Flow'!$F$37:$BZ$37,1,MATCH(J$5,'Cash Flow'!$F$5:$BZ$5,0)))</f>
        <v>0</v>
      </c>
      <c r="K12" s="98">
        <f>IF(K$5="","",INDEX('Cash Flow'!$F$37:$BZ$37,1,MATCH(K$5,'Cash Flow'!$F$5:$BZ$5,0)))</f>
        <v>0</v>
      </c>
      <c r="L12" s="98">
        <f>IF(L$5="","",INDEX('Cash Flow'!$F$37:$BZ$37,1,MATCH(L$5,'Cash Flow'!$F$5:$BZ$5,0)))</f>
        <v>0</v>
      </c>
      <c r="M12" s="98">
        <f>IF(M$5="","",INDEX('Cash Flow'!$F$37:$BZ$37,1,MATCH(M$5,'Cash Flow'!$F$5:$BZ$5,0)))</f>
        <v>0</v>
      </c>
      <c r="N12" s="98">
        <f>IF(N$5="","",INDEX('Cash Flow'!$F$37:$BZ$37,1,MATCH(N$5,'Cash Flow'!$F$5:$BZ$5,0)))</f>
        <v>0</v>
      </c>
      <c r="O12" s="98">
        <f>IF(O$5="","",INDEX('Cash Flow'!$F$37:$BZ$37,1,MATCH(O$5,'Cash Flow'!$F$5:$BZ$5,0)))</f>
        <v>-29112.752396851211</v>
      </c>
      <c r="P12" s="98">
        <f>IF(P$5="","",INDEX('Cash Flow'!$F$37:$BZ$37,1,MATCH(P$5,'Cash Flow'!$F$5:$BZ$5,0)))</f>
        <v>-36618.383874164414</v>
      </c>
      <c r="Q12" s="98">
        <f>IF(Q$5="","",INDEX('Cash Flow'!$F$37:$BZ$37,1,MATCH(Q$5,'Cash Flow'!$F$5:$BZ$5,0)))</f>
        <v>0</v>
      </c>
      <c r="R12" s="98">
        <f>IF(R$5="","",INDEX('Cash Flow'!$F$37:$BZ$37,1,MATCH(R$5,'Cash Flow'!$F$5:$BZ$5,0)))</f>
        <v>-37528.15738656601</v>
      </c>
      <c r="S12" s="98">
        <f>IF(S$5="","",INDEX('Cash Flow'!$F$37:$BZ$37,1,MATCH(S$5,'Cash Flow'!$F$5:$BZ$5,0)))</f>
        <v>0</v>
      </c>
      <c r="T12" s="98">
        <f>IF(T$5="","",INDEX('Cash Flow'!$F$37:$BZ$37,1,MATCH(T$5,'Cash Flow'!$F$5:$BZ$5,0)))</f>
        <v>0</v>
      </c>
      <c r="U12" s="98">
        <f>IF(U$5="","",INDEX('Cash Flow'!$F$37:$BZ$37,1,MATCH(U$5,'Cash Flow'!$F$5:$BZ$5,0)))</f>
        <v>-9097.7351240160042</v>
      </c>
      <c r="V12" s="98">
        <f>IF(V$5="","",INDEX('Cash Flow'!$F$37:$BZ$37,1,MATCH(V$5,'Cash Flow'!$F$5:$BZ$5,0)))</f>
        <v>0</v>
      </c>
      <c r="W12" s="98">
        <f>IF(W$5="","",INDEX('Cash Flow'!$F$37:$BZ$37,1,MATCH(W$5,'Cash Flow'!$F$5:$BZ$5,0)))</f>
        <v>0</v>
      </c>
      <c r="X12" s="98">
        <f>IF(X$5="","",INDEX('Cash Flow'!$F$37:$BZ$37,1,MATCH(X$5,'Cash Flow'!$F$5:$BZ$5,0)))</f>
        <v>-43669.128595276808</v>
      </c>
      <c r="Y12" s="98">
        <f>IF(Y$5="","",INDEX('Cash Flow'!$F$37:$BZ$37,1,MATCH(Y$5,'Cash Flow'!$F$5:$BZ$5,0)))</f>
        <v>-120544.99039321205</v>
      </c>
      <c r="Z12" s="98">
        <f>IF(Z$5="","",INDEX('Cash Flow'!$F$37:$BZ$37,1,MATCH(Z$5,'Cash Flow'!$F$5:$BZ$5,0)))</f>
        <v>-15921.036467028005</v>
      </c>
      <c r="AA12" s="98">
        <f>IF(AA$5="","",INDEX('Cash Flow'!$F$37:$BZ$37,1,MATCH(AA$5,'Cash Flow'!$F$5:$BZ$5,0)))</f>
        <v>-111447.25526919604</v>
      </c>
      <c r="AB12" s="98">
        <f>IF(AB$5="","",INDEX('Cash Flow'!$F$37:$BZ$37,1,MATCH(AB$5,'Cash Flow'!$F$5:$BZ$5,0)))</f>
        <v>0</v>
      </c>
      <c r="AC12" s="98">
        <f>IF(AC$5="","",INDEX('Cash Flow'!$F$37:$BZ$37,1,MATCH(AC$5,'Cash Flow'!$F$5:$BZ$5,0)))</f>
        <v>0</v>
      </c>
      <c r="AD12" s="98">
        <f>IF(AD$5="","",INDEX('Cash Flow'!$F$37:$BZ$37,1,MATCH(AD$5,'Cash Flow'!$F$5:$BZ$5,0)))</f>
        <v>-13646.602686024004</v>
      </c>
      <c r="AE12" s="98">
        <f>IF(AE$5="","",INDEX('Cash Flow'!$F$37:$BZ$37,1,MATCH(AE$5,'Cash Flow'!$F$5:$BZ$5,0)))</f>
        <v>-22744.337810040011</v>
      </c>
      <c r="AF12" s="98">
        <f>IF(AF$5="","",INDEX('Cash Flow'!$F$37:$BZ$37,1,MATCH(AF$5,'Cash Flow'!$F$5:$BZ$5,0)))</f>
        <v>0</v>
      </c>
      <c r="AG12" s="98">
        <f>IF(AG$5="","",INDEX('Cash Flow'!$F$37:$BZ$37,1,MATCH(AG$5,'Cash Flow'!$F$5:$BZ$5,0)))</f>
        <v>0</v>
      </c>
      <c r="AH12" s="98">
        <f>IF(AH$5="","",INDEX('Cash Flow'!$F$37:$BZ$37,1,MATCH(AH$5,'Cash Flow'!$F$5:$BZ$5,0)))</f>
        <v>0</v>
      </c>
      <c r="AI12" s="98">
        <f>IF(AI$5="","",INDEX('Cash Flow'!$F$37:$BZ$37,1,MATCH(AI$5,'Cash Flow'!$F$5:$BZ$5,0)))</f>
        <v>-49355.21304778682</v>
      </c>
      <c r="AJ12" s="98">
        <f>IF(AJ$5="","",INDEX('Cash Flow'!$F$37:$BZ$37,1,MATCH(AJ$5,'Cash Flow'!$F$5:$BZ$5,0)))</f>
        <v>-39120.261033268813</v>
      </c>
      <c r="AK12" s="98">
        <f>IF(AK$5="","",INDEX('Cash Flow'!$F$37:$BZ$37,1,MATCH(AK$5,'Cash Flow'!$F$5:$BZ$5,0)))</f>
        <v>0</v>
      </c>
      <c r="AL12" s="98">
        <f>IF(AL$5="","",INDEX('Cash Flow'!$F$37:$BZ$37,1,MATCH(AL$5,'Cash Flow'!$F$5:$BZ$5,0)))</f>
        <v>0</v>
      </c>
      <c r="AM12" s="98">
        <f>IF(AM$5="","",INDEX('Cash Flow'!$F$37:$BZ$37,1,MATCH(AM$5,'Cash Flow'!$F$5:$BZ$5,0)))</f>
        <v>0</v>
      </c>
      <c r="AN12" s="98">
        <f>IF(AN$5="","",INDEX('Cash Flow'!$F$37:$BZ$37,1,MATCH(AN$5,'Cash Flow'!$F$5:$BZ$5,0)))</f>
        <v>-34116.506715060015</v>
      </c>
      <c r="AO12" s="98">
        <f>IF(AO$5="","",INDEX('Cash Flow'!$F$37:$BZ$37,1,MATCH(AO$5,'Cash Flow'!$F$5:$BZ$5,0)))</f>
        <v>-27293.205372048014</v>
      </c>
      <c r="AP12" s="98">
        <f>IF(AP$5="","",INDEX('Cash Flow'!$F$37:$BZ$37,1,MATCH(AP$5,'Cash Flow'!$F$5:$BZ$5,0)))</f>
        <v>0</v>
      </c>
      <c r="AQ12" s="98">
        <f>IF(AQ$5="","",INDEX('Cash Flow'!$F$37:$BZ$37,1,MATCH(AQ$5,'Cash Flow'!$F$5:$BZ$5,0)))</f>
        <v>0</v>
      </c>
      <c r="AR12" s="98">
        <f>IF(AR$5="","",INDEX('Cash Flow'!$F$37:$BZ$37,1,MATCH(AR$5,'Cash Flow'!$F$5:$BZ$5,0)))</f>
        <v>-38210.487520867209</v>
      </c>
      <c r="AS12" s="98">
        <f>IF(AS$5="","",INDEX('Cash Flow'!$F$37:$BZ$37,1,MATCH(AS$5,'Cash Flow'!$F$5:$BZ$5,0)))</f>
        <v>-58680.391549903223</v>
      </c>
      <c r="AT12" s="98">
        <f>IF(AT$5="","",INDEX('Cash Flow'!$F$37:$BZ$37,1,MATCH(AT$5,'Cash Flow'!$F$5:$BZ$5,0)))</f>
        <v>0</v>
      </c>
      <c r="AU12" s="98">
        <f>IF(AU$5="","",INDEX('Cash Flow'!$F$37:$BZ$37,1,MATCH(AU$5,'Cash Flow'!$F$5:$BZ$5,0)))</f>
        <v>0</v>
      </c>
      <c r="AV12" s="98">
        <f>IF(AV$5="","",INDEX('Cash Flow'!$F$37:$BZ$37,1,MATCH(AV$5,'Cash Flow'!$F$5:$BZ$5,0)))</f>
        <v>0</v>
      </c>
      <c r="AW12" s="98">
        <f>IF(AW$5="","",INDEX('Cash Flow'!$F$37:$BZ$37,1,MATCH(AW$5,'Cash Flow'!$F$5:$BZ$5,0)))</f>
        <v>0</v>
      </c>
      <c r="AX12" s="98">
        <f>IF(AX$5="","",INDEX('Cash Flow'!$F$37:$BZ$37,1,MATCH(AX$5,'Cash Flow'!$F$5:$BZ$5,0)))</f>
        <v>-40939.80805807202</v>
      </c>
      <c r="AY12" s="98">
        <f>IF(AY$5="","",INDEX('Cash Flow'!$F$37:$BZ$37,1,MATCH(AY$5,'Cash Flow'!$F$5:$BZ$5,0)))</f>
        <v>0</v>
      </c>
      <c r="AZ12" s="98">
        <f>IF(AZ$5="","",INDEX('Cash Flow'!$F$37:$BZ$37,1,MATCH(AZ$5,'Cash Flow'!$F$5:$BZ$5,0)))</f>
        <v>0</v>
      </c>
      <c r="BA12" s="98">
        <f>IF(BA$5="","",INDEX('Cash Flow'!$F$37:$BZ$37,1,MATCH(BA$5,'Cash Flow'!$F$5:$BZ$5,0)))</f>
        <v>0</v>
      </c>
      <c r="BB12" s="98">
        <f>IF(BB$5="","",INDEX('Cash Flow'!$F$37:$BZ$37,1,MATCH(BB$5,'Cash Flow'!$F$5:$BZ$5,0)))</f>
        <v>0</v>
      </c>
      <c r="BC12" s="98">
        <f>IF(BC$5="","",INDEX('Cash Flow'!$F$37:$BZ$37,1,MATCH(BC$5,'Cash Flow'!$F$5:$BZ$5,0)))</f>
        <v>0</v>
      </c>
      <c r="BD12" s="98">
        <f>IF(BD$5="","",INDEX('Cash Flow'!$F$37:$BZ$37,1,MATCH(BD$5,'Cash Flow'!$F$5:$BZ$5,0)))</f>
        <v>0</v>
      </c>
      <c r="BE12" s="98">
        <f>IF(BE$5="","",INDEX('Cash Flow'!$F$37:$BZ$37,1,MATCH(BE$5,'Cash Flow'!$F$5:$BZ$5,0)))</f>
        <v>0</v>
      </c>
      <c r="BF12" s="98">
        <f>IF(BF$5="","",INDEX('Cash Flow'!$F$37:$BZ$37,1,MATCH(BF$5,'Cash Flow'!$F$5:$BZ$5,0)))</f>
        <v>0</v>
      </c>
      <c r="BG12" s="98">
        <f>IF(BG$5="","",INDEX('Cash Flow'!$F$37:$BZ$37,1,MATCH(BG$5,'Cash Flow'!$F$5:$BZ$5,0)))</f>
        <v>0</v>
      </c>
      <c r="BH12" s="98">
        <f>IF(BH$5="","",INDEX('Cash Flow'!$F$37:$BZ$37,1,MATCH(BH$5,'Cash Flow'!$F$5:$BZ$5,0)))</f>
        <v>0</v>
      </c>
      <c r="BI12" s="98">
        <f>IF(BI$5="","",INDEX('Cash Flow'!$F$37:$BZ$37,1,MATCH(BI$5,'Cash Flow'!$F$5:$BZ$5,0)))</f>
        <v>0</v>
      </c>
      <c r="BJ12" s="98">
        <f>IF(BJ$5="","",INDEX('Cash Flow'!$F$37:$BZ$37,1,MATCH(BJ$5,'Cash Flow'!$F$5:$BZ$5,0)))</f>
        <v>0</v>
      </c>
      <c r="BK12" s="98">
        <f>IF(BK$5="","",INDEX('Cash Flow'!$F$37:$BZ$37,1,MATCH(BK$5,'Cash Flow'!$F$5:$BZ$5,0)))</f>
        <v>0</v>
      </c>
      <c r="BL12" s="98">
        <f>IF(BL$5="","",INDEX('Cash Flow'!$F$37:$BZ$37,1,MATCH(BL$5,'Cash Flow'!$F$5:$BZ$5,0)))</f>
        <v>0</v>
      </c>
      <c r="BM12" s="98">
        <f>IF(BM$5="","",INDEX('Cash Flow'!$F$37:$BZ$37,1,MATCH(BM$5,'Cash Flow'!$F$5:$BZ$5,0)))</f>
        <v>0</v>
      </c>
      <c r="BN12" s="98">
        <f>IF(BN$5="","",INDEX('Cash Flow'!$F$37:$BZ$37,1,MATCH(BN$5,'Cash Flow'!$F$5:$BZ$5,0)))</f>
        <v>0</v>
      </c>
    </row>
    <row r="13" spans="2:67" x14ac:dyDescent="0.2">
      <c r="B13" s="101" t="s">
        <v>298</v>
      </c>
      <c r="C13" s="101"/>
      <c r="D13" s="101"/>
      <c r="E13" s="101"/>
      <c r="F13" s="102">
        <f t="shared" ref="F13:AK13" si="6">IF(F$5="","",SUM(F11:F12))</f>
        <v>0</v>
      </c>
      <c r="G13" s="102">
        <f t="shared" si="6"/>
        <v>0</v>
      </c>
      <c r="H13" s="102">
        <f t="shared" si="6"/>
        <v>0</v>
      </c>
      <c r="I13" s="102">
        <f t="shared" si="6"/>
        <v>0</v>
      </c>
      <c r="J13" s="102">
        <f t="shared" si="6"/>
        <v>0</v>
      </c>
      <c r="K13" s="102">
        <f t="shared" si="6"/>
        <v>0</v>
      </c>
      <c r="L13" s="102">
        <f t="shared" si="6"/>
        <v>0</v>
      </c>
      <c r="M13" s="102">
        <f t="shared" si="6"/>
        <v>0</v>
      </c>
      <c r="N13" s="102">
        <f t="shared" si="6"/>
        <v>0</v>
      </c>
      <c r="O13" s="102">
        <f t="shared" si="6"/>
        <v>-221112.7523968512</v>
      </c>
      <c r="P13" s="102">
        <f t="shared" si="6"/>
        <v>-278118.38387416443</v>
      </c>
      <c r="Q13" s="102">
        <f t="shared" si="6"/>
        <v>0</v>
      </c>
      <c r="R13" s="102">
        <f t="shared" si="6"/>
        <v>-285028.15738656599</v>
      </c>
      <c r="S13" s="102">
        <f t="shared" si="6"/>
        <v>0</v>
      </c>
      <c r="T13" s="102">
        <f t="shared" si="6"/>
        <v>0</v>
      </c>
      <c r="U13" s="102">
        <f t="shared" si="6"/>
        <v>-69097.735124016006</v>
      </c>
      <c r="V13" s="102">
        <f t="shared" si="6"/>
        <v>0</v>
      </c>
      <c r="W13" s="102">
        <f t="shared" si="6"/>
        <v>0</v>
      </c>
      <c r="X13" s="102">
        <f t="shared" si="6"/>
        <v>-331669.12859527679</v>
      </c>
      <c r="Y13" s="102">
        <f t="shared" si="6"/>
        <v>-915544.99039321207</v>
      </c>
      <c r="Z13" s="102">
        <f t="shared" si="6"/>
        <v>-120921.03646702801</v>
      </c>
      <c r="AA13" s="102">
        <f t="shared" si="6"/>
        <v>-846447.255269196</v>
      </c>
      <c r="AB13" s="102">
        <f t="shared" si="6"/>
        <v>0</v>
      </c>
      <c r="AC13" s="102">
        <f t="shared" si="6"/>
        <v>0</v>
      </c>
      <c r="AD13" s="102">
        <f t="shared" si="6"/>
        <v>-103646.60268602401</v>
      </c>
      <c r="AE13" s="102">
        <f t="shared" si="6"/>
        <v>-172744.33781004002</v>
      </c>
      <c r="AF13" s="102">
        <f t="shared" si="6"/>
        <v>0</v>
      </c>
      <c r="AG13" s="102">
        <f t="shared" si="6"/>
        <v>0</v>
      </c>
      <c r="AH13" s="102">
        <f t="shared" si="6"/>
        <v>0</v>
      </c>
      <c r="AI13" s="102">
        <f t="shared" si="6"/>
        <v>-374855.21304778685</v>
      </c>
      <c r="AJ13" s="102">
        <f t="shared" si="6"/>
        <v>-297120.26103326882</v>
      </c>
      <c r="AK13" s="102">
        <f t="shared" si="6"/>
        <v>0</v>
      </c>
      <c r="AL13" s="102">
        <f t="shared" ref="AL13:BN13" si="7">IF(AL$5="","",SUM(AL11:AL12))</f>
        <v>0</v>
      </c>
      <c r="AM13" s="102">
        <f t="shared" si="7"/>
        <v>0</v>
      </c>
      <c r="AN13" s="102">
        <f t="shared" si="7"/>
        <v>-259116.50671506001</v>
      </c>
      <c r="AO13" s="102">
        <f t="shared" si="7"/>
        <v>-207293.20537204802</v>
      </c>
      <c r="AP13" s="102">
        <f t="shared" si="7"/>
        <v>0</v>
      </c>
      <c r="AQ13" s="102">
        <f t="shared" si="7"/>
        <v>0</v>
      </c>
      <c r="AR13" s="102">
        <f t="shared" si="7"/>
        <v>-290210.4875208672</v>
      </c>
      <c r="AS13" s="102">
        <f t="shared" si="7"/>
        <v>-445680.3915499032</v>
      </c>
      <c r="AT13" s="102">
        <f t="shared" si="7"/>
        <v>0</v>
      </c>
      <c r="AU13" s="102">
        <f t="shared" si="7"/>
        <v>0</v>
      </c>
      <c r="AV13" s="102">
        <f t="shared" si="7"/>
        <v>0</v>
      </c>
      <c r="AW13" s="102">
        <f t="shared" si="7"/>
        <v>0</v>
      </c>
      <c r="AX13" s="102">
        <f t="shared" si="7"/>
        <v>-310939.808058072</v>
      </c>
      <c r="AY13" s="102">
        <f t="shared" si="7"/>
        <v>0</v>
      </c>
      <c r="AZ13" s="102">
        <f t="shared" si="7"/>
        <v>0</v>
      </c>
      <c r="BA13" s="102">
        <f t="shared" si="7"/>
        <v>0</v>
      </c>
      <c r="BB13" s="102">
        <f t="shared" si="7"/>
        <v>0</v>
      </c>
      <c r="BC13" s="102">
        <f t="shared" si="7"/>
        <v>0</v>
      </c>
      <c r="BD13" s="102">
        <f t="shared" si="7"/>
        <v>0</v>
      </c>
      <c r="BE13" s="102">
        <f t="shared" si="7"/>
        <v>0</v>
      </c>
      <c r="BF13" s="102">
        <f t="shared" si="7"/>
        <v>0</v>
      </c>
      <c r="BG13" s="102">
        <f t="shared" si="7"/>
        <v>0</v>
      </c>
      <c r="BH13" s="102">
        <f t="shared" si="7"/>
        <v>0</v>
      </c>
      <c r="BI13" s="102">
        <f t="shared" si="7"/>
        <v>0</v>
      </c>
      <c r="BJ13" s="102">
        <f t="shared" si="7"/>
        <v>0</v>
      </c>
      <c r="BK13" s="102">
        <f t="shared" si="7"/>
        <v>0</v>
      </c>
      <c r="BL13" s="102">
        <f t="shared" si="7"/>
        <v>0</v>
      </c>
      <c r="BM13" s="102">
        <f t="shared" si="7"/>
        <v>0</v>
      </c>
      <c r="BN13" s="102">
        <f t="shared" si="7"/>
        <v>0</v>
      </c>
    </row>
    <row r="14" spans="2:67" x14ac:dyDescent="0.2">
      <c r="B14" s="65"/>
      <c r="C14" s="65"/>
      <c r="D14" s="65"/>
      <c r="E14" s="65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</row>
    <row r="15" spans="2:67" x14ac:dyDescent="0.2">
      <c r="B15" s="67" t="s">
        <v>292</v>
      </c>
      <c r="C15" s="67"/>
      <c r="D15" s="67"/>
      <c r="E15" s="67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</row>
    <row r="16" spans="2:67" x14ac:dyDescent="0.2">
      <c r="B16" s="68" t="s">
        <v>304</v>
      </c>
      <c r="C16" s="65"/>
      <c r="D16" s="65"/>
      <c r="E16" s="65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</row>
    <row r="17" spans="2:66" x14ac:dyDescent="0.2">
      <c r="B17" s="65" t="s">
        <v>307</v>
      </c>
      <c r="C17" s="65"/>
      <c r="D17" s="65"/>
      <c r="E17" s="65"/>
      <c r="F17" s="98">
        <f>IF(F$5="","",INDEX('Cash Flow'!$F$11:$BZ$11,1,MATCH(F$5,'Cash Flow'!$F$5:$BZ$5,0)))</f>
        <v>0</v>
      </c>
      <c r="G17" s="98">
        <f>'2021 T12'!D18</f>
        <v>72601.66</v>
      </c>
      <c r="H17" s="98">
        <f>'2021 T12'!E18</f>
        <v>137332.62</v>
      </c>
      <c r="I17" s="98">
        <f>'2021 T12'!F18</f>
        <v>140150.41</v>
      </c>
      <c r="J17" s="98">
        <f>'2021 T12'!G18</f>
        <v>142734.21</v>
      </c>
      <c r="K17" s="98">
        <f>'2021 T12'!H18</f>
        <v>142734.21</v>
      </c>
      <c r="L17" s="98">
        <f>'2021 T12'!I18</f>
        <v>143822.45000000001</v>
      </c>
      <c r="M17" s="98">
        <f>'2021 T12'!J18</f>
        <v>146373.79</v>
      </c>
      <c r="N17" s="98">
        <f>'2021 T12'!K18</f>
        <v>155702.13</v>
      </c>
      <c r="O17" s="98">
        <f>'2021 T12'!L18</f>
        <v>155702.13</v>
      </c>
      <c r="P17" s="98">
        <f>'2021 T12'!M18</f>
        <v>160210.45000000001</v>
      </c>
      <c r="Q17" s="98">
        <f>IF(Q$5="","",INDEX('Cash Flow'!$F$11:$BZ$11,1,MATCH(Q$5,'Cash Flow'!$F$5:$BZ$5,0)))</f>
        <v>231413.54</v>
      </c>
      <c r="R17" s="98">
        <f>IF(R$5="","",INDEX('Cash Flow'!$F$11:$BZ$11,1,MATCH(R$5,'Cash Flow'!$F$5:$BZ$5,0)))</f>
        <v>230176.04</v>
      </c>
      <c r="S17" s="98">
        <f>IF(S$5="","",INDEX('Cash Flow'!$F$11:$BZ$11,1,MATCH(S$5,'Cash Flow'!$F$5:$BZ$5,0)))</f>
        <v>232454.24</v>
      </c>
      <c r="T17" s="98">
        <f>IF(T$5="","",INDEX('Cash Flow'!$F$11:$BZ$11,1,MATCH(T$5,'Cash Flow'!$F$5:$BZ$5,0)))</f>
        <v>232454.24</v>
      </c>
      <c r="U17" s="98">
        <f>IF(U$5="","",INDEX('Cash Flow'!$F$11:$BZ$11,1,MATCH(U$5,'Cash Flow'!$F$5:$BZ$5,0)))</f>
        <v>232193.34</v>
      </c>
      <c r="V17" s="98">
        <f>IF(V$5="","",INDEX('Cash Flow'!$F$11:$BZ$11,1,MATCH(V$5,'Cash Flow'!$F$5:$BZ$5,0)))</f>
        <v>232917.48149999997</v>
      </c>
      <c r="W17" s="98">
        <f>IF(W$5="","",INDEX('Cash Flow'!$F$11:$BZ$11,1,MATCH(W$5,'Cash Flow'!$F$5:$BZ$5,0)))</f>
        <v>233184.82829999996</v>
      </c>
      <c r="X17" s="98">
        <f>IF(X$5="","",INDEX('Cash Flow'!$F$11:$BZ$11,1,MATCH(X$5,'Cash Flow'!$F$5:$BZ$5,0)))</f>
        <v>234057.78419999997</v>
      </c>
      <c r="Y17" s="98">
        <f>IF(Y$5="","",INDEX('Cash Flow'!$F$11:$BZ$11,1,MATCH(Y$5,'Cash Flow'!$F$5:$BZ$5,0)))</f>
        <v>233111.73419999998</v>
      </c>
      <c r="Z17" s="98">
        <f>IF(Z$5="","",INDEX('Cash Flow'!$F$11:$BZ$11,1,MATCH(Z$5,'Cash Flow'!$F$5:$BZ$5,0)))</f>
        <v>230942.78419999999</v>
      </c>
      <c r="AA17" s="98">
        <f>IF(AA$5="","",INDEX('Cash Flow'!$F$11:$BZ$11,1,MATCH(AA$5,'Cash Flow'!$F$5:$BZ$5,0)))</f>
        <v>230296.61420000001</v>
      </c>
      <c r="AB17" s="98">
        <f>IF(AB$5="","",INDEX('Cash Flow'!$F$11:$BZ$11,1,MATCH(AB$5,'Cash Flow'!$F$5:$BZ$5,0)))</f>
        <v>230492.96420000002</v>
      </c>
      <c r="AC17" s="98">
        <f>IF(AC$5="","",INDEX('Cash Flow'!$F$11:$BZ$11,1,MATCH(AC$5,'Cash Flow'!$F$5:$BZ$5,0)))</f>
        <v>231317.5307</v>
      </c>
      <c r="AD17" s="98">
        <f>IF(AD$5="","",INDEX('Cash Flow'!$F$11:$BZ$11,1,MATCH(AD$5,'Cash Flow'!$F$5:$BZ$5,0)))</f>
        <v>231771.2807</v>
      </c>
      <c r="AE17" s="98">
        <f>IF(AE$5="","",INDEX('Cash Flow'!$F$11:$BZ$11,1,MATCH(AE$5,'Cash Flow'!$F$5:$BZ$5,0)))</f>
        <v>230938.7807</v>
      </c>
      <c r="AF17" s="98">
        <f>IF(AF$5="","",INDEX('Cash Flow'!$F$11:$BZ$11,1,MATCH(AF$5,'Cash Flow'!$F$5:$BZ$5,0)))</f>
        <v>230938.7807</v>
      </c>
      <c r="AG17" s="98">
        <f>IF(AG$5="","",INDEX('Cash Flow'!$F$11:$BZ$11,1,MATCH(AG$5,'Cash Flow'!$F$5:$BZ$5,0)))</f>
        <v>231010.1807</v>
      </c>
      <c r="AH17" s="98">
        <f>IF(AH$5="","",INDEX('Cash Flow'!$F$11:$BZ$11,1,MATCH(AH$5,'Cash Flow'!$F$5:$BZ$5,0)))</f>
        <v>231756.04644500001</v>
      </c>
      <c r="AI17" s="98">
        <f>IF(AI$5="","",INDEX('Cash Flow'!$F$11:$BZ$11,1,MATCH(AI$5,'Cash Flow'!$F$5:$BZ$5,0)))</f>
        <v>239237.13964500002</v>
      </c>
      <c r="AJ17" s="98">
        <f>IF(AJ$5="","",INDEX('Cash Flow'!$F$11:$BZ$11,1,MATCH(AJ$5,'Cash Flow'!$F$5:$BZ$5,0)))</f>
        <v>235193.37374500002</v>
      </c>
      <c r="AK17" s="98">
        <f>IF(AK$5="","",INDEX('Cash Flow'!$F$11:$BZ$11,1,MATCH(AK$5,'Cash Flow'!$F$5:$BZ$5,0)))</f>
        <v>236139.42374500001</v>
      </c>
      <c r="AL17" s="98">
        <f>IF(AL$5="","",INDEX('Cash Flow'!$F$11:$BZ$11,1,MATCH(AL$5,'Cash Flow'!$F$5:$BZ$5,0)))</f>
        <v>236264.37374499999</v>
      </c>
      <c r="AM17" s="98">
        <f>IF(AM$5="","",INDEX('Cash Flow'!$F$11:$BZ$11,1,MATCH(AM$5,'Cash Flow'!$F$5:$BZ$5,0)))</f>
        <v>237374.35814499998</v>
      </c>
      <c r="AN17" s="98">
        <f>IF(AN$5="","",INDEX('Cash Flow'!$F$11:$BZ$11,1,MATCH(AN$5,'Cash Flow'!$F$5:$BZ$5,0)))</f>
        <v>237729.59864499999</v>
      </c>
      <c r="AO17" s="98">
        <f>IF(AO$5="","",INDEX('Cash Flow'!$F$11:$BZ$11,1,MATCH(AO$5,'Cash Flow'!$F$5:$BZ$5,0)))</f>
        <v>237022.07061999998</v>
      </c>
      <c r="AP17" s="98">
        <f>IF(AP$5="","",INDEX('Cash Flow'!$F$11:$BZ$11,1,MATCH(AP$5,'Cash Flow'!$F$5:$BZ$5,0)))</f>
        <v>237596.53311999998</v>
      </c>
      <c r="AQ17" s="98">
        <f>IF(AQ$5="","",INDEX('Cash Flow'!$F$11:$BZ$11,1,MATCH(AQ$5,'Cash Flow'!$F$5:$BZ$5,0)))</f>
        <v>237775.03311999998</v>
      </c>
      <c r="AR17" s="98">
        <f>IF(AR$5="","",INDEX('Cash Flow'!$F$11:$BZ$11,1,MATCH(AR$5,'Cash Flow'!$F$5:$BZ$5,0)))</f>
        <v>237775.03311999998</v>
      </c>
      <c r="AS17" s="98">
        <f>IF(AS$5="","",INDEX('Cash Flow'!$F$11:$BZ$11,1,MATCH(AS$5,'Cash Flow'!$F$5:$BZ$5,0)))</f>
        <v>237848.57511999996</v>
      </c>
      <c r="AT17" s="98">
        <f>IF(AT$5="","",INDEX('Cash Flow'!$F$11:$BZ$11,1,MATCH(AT$5,'Cash Flow'!$F$5:$BZ$5,0)))</f>
        <v>238616.81683734996</v>
      </c>
      <c r="AU17" s="98">
        <f>IF(AU$5="","",INDEX('Cash Flow'!$F$11:$BZ$11,1,MATCH(AU$5,'Cash Flow'!$F$5:$BZ$5,0)))</f>
        <v>239004.16183734997</v>
      </c>
      <c r="AV17" s="98">
        <f>IF(AV$5="","",INDEX('Cash Flow'!$F$11:$BZ$11,1,MATCH(AV$5,'Cash Flow'!$F$5:$BZ$5,0)))</f>
        <v>239664.18343734997</v>
      </c>
      <c r="AW17" s="98">
        <f>IF(AW$5="","",INDEX('Cash Flow'!$F$11:$BZ$11,1,MATCH(AW$5,'Cash Flow'!$F$5:$BZ$5,0)))</f>
        <v>240638.61493734998</v>
      </c>
      <c r="AX17" s="98">
        <f>IF(AX$5="","",INDEX('Cash Flow'!$F$11:$BZ$11,1,MATCH(AX$5,'Cash Flow'!$F$5:$BZ$5,0)))</f>
        <v>240767.31343734995</v>
      </c>
      <c r="AY17" s="98">
        <f>IF(AY$5="","",INDEX('Cash Flow'!$F$11:$BZ$11,1,MATCH(AY$5,'Cash Flow'!$F$5:$BZ$5,0)))</f>
        <v>241910.59736934997</v>
      </c>
      <c r="AZ17" s="98">
        <f>IF(AZ$5="","",INDEX('Cash Flow'!$F$11:$BZ$11,1,MATCH(AZ$5,'Cash Flow'!$F$5:$BZ$5,0)))</f>
        <v>242544.24508434994</v>
      </c>
      <c r="BA17" s="98">
        <f>IF(BA$5="","",INDEX('Cash Flow'!$F$11:$BZ$11,1,MATCH(BA$5,'Cash Flow'!$F$5:$BZ$5,0)))</f>
        <v>243051.02273859998</v>
      </c>
      <c r="BB17" s="98">
        <f>IF(BB$5="","",INDEX('Cash Flow'!$F$11:$BZ$11,1,MATCH(BB$5,'Cash Flow'!$F$5:$BZ$5,0)))</f>
        <v>243642.71911359997</v>
      </c>
      <c r="BC17" s="98">
        <f>IF(BC$5="","",INDEX('Cash Flow'!$F$11:$BZ$11,1,MATCH(BC$5,'Cash Flow'!$F$5:$BZ$5,0)))</f>
        <v>243826.57411359996</v>
      </c>
      <c r="BD17" s="98">
        <f>IF(BD$5="","",INDEX('Cash Flow'!$F$11:$BZ$11,1,MATCH(BD$5,'Cash Flow'!$F$5:$BZ$5,0)))</f>
        <v>244126.45411359996</v>
      </c>
      <c r="BE17" s="98">
        <f>IF(BE$5="","",INDEX('Cash Flow'!$F$11:$BZ$11,1,MATCH(BE$5,'Cash Flow'!$F$5:$BZ$5,0)))</f>
        <v>244662.73237359995</v>
      </c>
      <c r="BF17" s="98">
        <f>IF(BF$5="","",INDEX('Cash Flow'!$F$11:$BZ$11,1,MATCH(BF$5,'Cash Flow'!$F$5:$BZ$5,0)))</f>
        <v>245454.02134247049</v>
      </c>
      <c r="BG17" s="98">
        <f>IF(BG$5="","",INDEX('Cash Flow'!$F$11:$BZ$11,1,MATCH(BG$5,'Cash Flow'!$F$5:$BZ$5,0)))</f>
        <v>245852.98669247044</v>
      </c>
      <c r="BH17" s="98">
        <f>IF(BH$5="","",INDEX('Cash Flow'!$F$11:$BZ$11,1,MATCH(BH$5,'Cash Flow'!$F$5:$BZ$5,0)))</f>
        <v>246532.80894047045</v>
      </c>
      <c r="BI17" s="98">
        <f>IF(BI$5="","",INDEX('Cash Flow'!$F$11:$BZ$11,1,MATCH(BI$5,'Cash Flow'!$F$5:$BZ$5,0)))</f>
        <v>247536.47338547045</v>
      </c>
      <c r="BJ17" s="98">
        <f>IF(BJ$5="","",INDEX('Cash Flow'!$F$11:$BZ$11,1,MATCH(BJ$5,'Cash Flow'!$F$5:$BZ$5,0)))</f>
        <v>247990.33284047048</v>
      </c>
      <c r="BK17" s="98">
        <f>IF(BK$5="","",INDEX('Cash Flow'!$F$11:$BZ$11,1,MATCH(BK$5,'Cash Flow'!$F$5:$BZ$5,0)))</f>
        <v>249167.91529043048</v>
      </c>
      <c r="BL17" s="98">
        <f>IF(BL$5="","",INDEX('Cash Flow'!$F$11:$BZ$11,1,MATCH(BL$5,'Cash Flow'!$F$5:$BZ$5,0)))</f>
        <v>249820.57243688047</v>
      </c>
      <c r="BM17" s="98">
        <f>IF(BM$5="","",INDEX('Cash Flow'!$F$11:$BZ$11,1,MATCH(BM$5,'Cash Flow'!$F$5:$BZ$5,0)))</f>
        <v>250342.55342075796</v>
      </c>
      <c r="BN17" s="98">
        <f>IF(BN$5="","",INDEX('Cash Flow'!$F$11:$BZ$11,1,MATCH(BN$5,'Cash Flow'!$F$5:$BZ$5,0)))</f>
        <v>250952.00068700797</v>
      </c>
    </row>
    <row r="18" spans="2:66" x14ac:dyDescent="0.2">
      <c r="B18" s="65" t="s">
        <v>308</v>
      </c>
      <c r="C18" s="65"/>
      <c r="D18" s="65"/>
      <c r="E18" s="65"/>
      <c r="F18" s="98">
        <f>IF(F$5="","",INDEX('Cash Flow'!$F$12:$BZ$12,1,MATCH(F$5,'Cash Flow'!$F$5:$BZ$5,0)))</f>
        <v>0</v>
      </c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>
        <f>IF(Q$5="","",INDEX('Cash Flow'!$F$12:$BZ$12,1,MATCH(Q$5,'Cash Flow'!$F$5:$BZ$5,0)))</f>
        <v>-88476.5</v>
      </c>
      <c r="R18" s="98">
        <f>IF(R$5="","",INDEX('Cash Flow'!$F$12:$BZ$12,1,MATCH(R$5,'Cash Flow'!$F$5:$BZ$5,0)))</f>
        <v>-72114</v>
      </c>
      <c r="S18" s="98">
        <f>IF(S$5="","",INDEX('Cash Flow'!$F$12:$BZ$12,1,MATCH(S$5,'Cash Flow'!$F$5:$BZ$5,0)))</f>
        <v>-73934.699999999983</v>
      </c>
      <c r="T18" s="98">
        <f>IF(T$5="","",INDEX('Cash Flow'!$F$12:$BZ$12,1,MATCH(T$5,'Cash Flow'!$F$5:$BZ$5,0)))</f>
        <v>-73934.699999999983</v>
      </c>
      <c r="U18" s="98">
        <f>IF(U$5="","",INDEX('Cash Flow'!$F$12:$BZ$12,1,MATCH(U$5,'Cash Flow'!$F$5:$BZ$5,0)))</f>
        <v>-77504.699999999983</v>
      </c>
      <c r="V18" s="98">
        <f>IF(V$5="","",INDEX('Cash Flow'!$F$12:$BZ$12,1,MATCH(V$5,'Cash Flow'!$F$5:$BZ$5,0)))</f>
        <v>-77504.699999999983</v>
      </c>
      <c r="W18" s="98">
        <f>IF(W$5="","",INDEX('Cash Flow'!$F$12:$BZ$12,1,MATCH(W$5,'Cash Flow'!$F$5:$BZ$5,0)))</f>
        <v>-77504.699999999983</v>
      </c>
      <c r="X18" s="98">
        <f>IF(X$5="","",INDEX('Cash Flow'!$F$12:$BZ$12,1,MATCH(X$5,'Cash Flow'!$F$5:$BZ$5,0)))</f>
        <v>-66080.699999999983</v>
      </c>
      <c r="Y18" s="98">
        <f>IF(Y$5="","",INDEX('Cash Flow'!$F$12:$BZ$12,1,MATCH(Y$5,'Cash Flow'!$F$5:$BZ$5,0)))</f>
        <v>-33599.649999999994</v>
      </c>
      <c r="Z18" s="98">
        <f>IF(Z$5="","",INDEX('Cash Flow'!$F$12:$BZ$12,1,MATCH(Z$5,'Cash Flow'!$F$5:$BZ$5,0)))</f>
        <v>-39847.149999999994</v>
      </c>
      <c r="AA18" s="98">
        <f>IF(AA$5="","",INDEX('Cash Flow'!$F$12:$BZ$12,1,MATCH(AA$5,'Cash Flow'!$F$5:$BZ$5,0)))</f>
        <v>-9817.5</v>
      </c>
      <c r="AB18" s="98">
        <f>IF(AB$5="","",INDEX('Cash Flow'!$F$12:$BZ$12,1,MATCH(AB$5,'Cash Flow'!$F$5:$BZ$5,0)))</f>
        <v>-9817.5</v>
      </c>
      <c r="AC18" s="98">
        <f>IF(AC$5="","",INDEX('Cash Flow'!$F$12:$BZ$12,1,MATCH(AC$5,'Cash Flow'!$F$5:$BZ$5,0)))</f>
        <v>-9817.5</v>
      </c>
      <c r="AD18" s="98">
        <f>IF(AD$5="","",INDEX('Cash Flow'!$F$12:$BZ$12,1,MATCH(AD$5,'Cash Flow'!$F$5:$BZ$5,0)))</f>
        <v>-6247.5</v>
      </c>
      <c r="AE18" s="98">
        <f>IF(AE$5="","",INDEX('Cash Flow'!$F$12:$BZ$12,1,MATCH(AE$5,'Cash Flow'!$F$5:$BZ$5,0)))</f>
        <v>-15172.5</v>
      </c>
      <c r="AF18" s="98">
        <f>IF(AF$5="","",INDEX('Cash Flow'!$F$12:$BZ$12,1,MATCH(AF$5,'Cash Flow'!$F$5:$BZ$5,0)))</f>
        <v>-15172.5</v>
      </c>
      <c r="AG18" s="98">
        <f>IF(AG$5="","",INDEX('Cash Flow'!$F$12:$BZ$12,1,MATCH(AG$5,'Cash Flow'!$F$5:$BZ$5,0)))</f>
        <v>-15172.5</v>
      </c>
      <c r="AH18" s="98">
        <f>IF(AH$5="","",INDEX('Cash Flow'!$F$12:$BZ$12,1,MATCH(AH$5,'Cash Flow'!$F$5:$BZ$5,0)))</f>
        <v>-15172.5</v>
      </c>
      <c r="AI18" s="98">
        <f>IF(AI$5="","",INDEX('Cash Flow'!$F$12:$BZ$12,1,MATCH(AI$5,'Cash Flow'!$F$5:$BZ$5,0)))</f>
        <v>-18921</v>
      </c>
      <c r="AJ18" s="98">
        <f>IF(AJ$5="","",INDEX('Cash Flow'!$F$12:$BZ$12,1,MATCH(AJ$5,'Cash Flow'!$F$5:$BZ$5,0)))</f>
        <v>-34272</v>
      </c>
      <c r="AK18" s="98">
        <f>IF(AK$5="","",INDEX('Cash Flow'!$F$12:$BZ$12,1,MATCH(AK$5,'Cash Flow'!$F$5:$BZ$5,0)))</f>
        <v>-34272</v>
      </c>
      <c r="AL18" s="98">
        <f>IF(AL$5="","",INDEX('Cash Flow'!$F$12:$BZ$12,1,MATCH(AL$5,'Cash Flow'!$F$5:$BZ$5,0)))</f>
        <v>-34272</v>
      </c>
      <c r="AM18" s="98">
        <f>IF(AM$5="","",INDEX('Cash Flow'!$F$12:$BZ$12,1,MATCH(AM$5,'Cash Flow'!$F$5:$BZ$5,0)))</f>
        <v>-34272</v>
      </c>
      <c r="AN18" s="98">
        <f>IF(AN$5="","",INDEX('Cash Flow'!$F$12:$BZ$12,1,MATCH(AN$5,'Cash Flow'!$F$5:$BZ$5,0)))</f>
        <v>-25347</v>
      </c>
      <c r="AO18" s="98">
        <f>IF(AO$5="","",INDEX('Cash Flow'!$F$12:$BZ$12,1,MATCH(AO$5,'Cash Flow'!$F$5:$BZ$5,0)))</f>
        <v>-36057</v>
      </c>
      <c r="AP18" s="98">
        <f>IF(AP$5="","",INDEX('Cash Flow'!$F$12:$BZ$12,1,MATCH(AP$5,'Cash Flow'!$F$5:$BZ$5,0)))</f>
        <v>-36057</v>
      </c>
      <c r="AQ18" s="98">
        <f>IF(AQ$5="","",INDEX('Cash Flow'!$F$12:$BZ$12,1,MATCH(AQ$5,'Cash Flow'!$F$5:$BZ$5,0)))</f>
        <v>-36057</v>
      </c>
      <c r="AR18" s="98">
        <f>IF(AR$5="","",INDEX('Cash Flow'!$F$12:$BZ$12,1,MATCH(AR$5,'Cash Flow'!$F$5:$BZ$5,0)))</f>
        <v>-26061</v>
      </c>
      <c r="AS18" s="98">
        <f>IF(AS$5="","",INDEX('Cash Flow'!$F$12:$BZ$12,1,MATCH(AS$5,'Cash Flow'!$F$5:$BZ$5,0)))</f>
        <v>-10710</v>
      </c>
      <c r="AT18" s="98">
        <f>IF(AT$5="","",INDEX('Cash Flow'!$F$12:$BZ$12,1,MATCH(AT$5,'Cash Flow'!$F$5:$BZ$5,0)))</f>
        <v>-10710</v>
      </c>
      <c r="AU18" s="98">
        <f>IF(AU$5="","",INDEX('Cash Flow'!$F$12:$BZ$12,1,MATCH(AU$5,'Cash Flow'!$F$5:$BZ$5,0)))</f>
        <v>-10710</v>
      </c>
      <c r="AV18" s="98">
        <f>IF(AV$5="","",INDEX('Cash Flow'!$F$12:$BZ$12,1,MATCH(AV$5,'Cash Flow'!$F$5:$BZ$5,0)))</f>
        <v>-10710</v>
      </c>
      <c r="AW18" s="98">
        <f>IF(AW$5="","",INDEX('Cash Flow'!$F$12:$BZ$12,1,MATCH(AW$5,'Cash Flow'!$F$5:$BZ$5,0)))</f>
        <v>-10710</v>
      </c>
      <c r="AX18" s="98">
        <f>IF(AX$5="","",INDEX('Cash Flow'!$F$12:$BZ$12,1,MATCH(AX$5,'Cash Flow'!$F$5:$BZ$5,0)))</f>
        <v>0</v>
      </c>
      <c r="AY18" s="98">
        <f>IF(AY$5="","",INDEX('Cash Flow'!$F$12:$BZ$12,1,MATCH(AY$5,'Cash Flow'!$F$5:$BZ$5,0)))</f>
        <v>0</v>
      </c>
      <c r="AZ18" s="98">
        <f>IF(AZ$5="","",INDEX('Cash Flow'!$F$12:$BZ$12,1,MATCH(AZ$5,'Cash Flow'!$F$5:$BZ$5,0)))</f>
        <v>0</v>
      </c>
      <c r="BA18" s="98">
        <f>IF(BA$5="","",INDEX('Cash Flow'!$F$12:$BZ$12,1,MATCH(BA$5,'Cash Flow'!$F$5:$BZ$5,0)))</f>
        <v>0</v>
      </c>
      <c r="BB18" s="98">
        <f>IF(BB$5="","",INDEX('Cash Flow'!$F$12:$BZ$12,1,MATCH(BB$5,'Cash Flow'!$F$5:$BZ$5,0)))</f>
        <v>0</v>
      </c>
      <c r="BC18" s="98">
        <f>IF(BC$5="","",INDEX('Cash Flow'!$F$12:$BZ$12,1,MATCH(BC$5,'Cash Flow'!$F$5:$BZ$5,0)))</f>
        <v>0</v>
      </c>
      <c r="BD18" s="98">
        <f>IF(BD$5="","",INDEX('Cash Flow'!$F$12:$BZ$12,1,MATCH(BD$5,'Cash Flow'!$F$5:$BZ$5,0)))</f>
        <v>0</v>
      </c>
      <c r="BE18" s="98">
        <f>IF(BE$5="","",INDEX('Cash Flow'!$F$12:$BZ$12,1,MATCH(BE$5,'Cash Flow'!$F$5:$BZ$5,0)))</f>
        <v>0</v>
      </c>
      <c r="BF18" s="98">
        <f>IF(BF$5="","",INDEX('Cash Flow'!$F$12:$BZ$12,1,MATCH(BF$5,'Cash Flow'!$F$5:$BZ$5,0)))</f>
        <v>0</v>
      </c>
      <c r="BG18" s="98">
        <f>IF(BG$5="","",INDEX('Cash Flow'!$F$12:$BZ$12,1,MATCH(BG$5,'Cash Flow'!$F$5:$BZ$5,0)))</f>
        <v>0</v>
      </c>
      <c r="BH18" s="98">
        <f>IF(BH$5="","",INDEX('Cash Flow'!$F$12:$BZ$12,1,MATCH(BH$5,'Cash Flow'!$F$5:$BZ$5,0)))</f>
        <v>0</v>
      </c>
      <c r="BI18" s="98">
        <f>IF(BI$5="","",INDEX('Cash Flow'!$F$12:$BZ$12,1,MATCH(BI$5,'Cash Flow'!$F$5:$BZ$5,0)))</f>
        <v>0</v>
      </c>
      <c r="BJ18" s="98">
        <f>IF(BJ$5="","",INDEX('Cash Flow'!$F$12:$BZ$12,1,MATCH(BJ$5,'Cash Flow'!$F$5:$BZ$5,0)))</f>
        <v>0</v>
      </c>
      <c r="BK18" s="98">
        <f>IF(BK$5="","",INDEX('Cash Flow'!$F$12:$BZ$12,1,MATCH(BK$5,'Cash Flow'!$F$5:$BZ$5,0)))</f>
        <v>0</v>
      </c>
      <c r="BL18" s="98">
        <f>IF(BL$5="","",INDEX('Cash Flow'!$F$12:$BZ$12,1,MATCH(BL$5,'Cash Flow'!$F$5:$BZ$5,0)))</f>
        <v>0</v>
      </c>
      <c r="BM18" s="98">
        <f>IF(BM$5="","",INDEX('Cash Flow'!$F$12:$BZ$12,1,MATCH(BM$5,'Cash Flow'!$F$5:$BZ$5,0)))</f>
        <v>0</v>
      </c>
      <c r="BN18" s="98">
        <f>IF(BN$5="","",INDEX('Cash Flow'!$F$12:$BZ$12,1,MATCH(BN$5,'Cash Flow'!$F$5:$BZ$5,0)))</f>
        <v>0</v>
      </c>
    </row>
    <row r="19" spans="2:66" x14ac:dyDescent="0.2">
      <c r="B19" s="65" t="s">
        <v>12</v>
      </c>
      <c r="C19" s="65"/>
      <c r="D19" s="65"/>
      <c r="E19" s="65"/>
      <c r="F19" s="98">
        <f>IF(F$5="","",INDEX('Cash Flow'!$F$13:$BZ$13,1,MATCH(F$5,'Cash Flow'!$F$5:$BZ$5,0)))</f>
        <v>0</v>
      </c>
      <c r="G19" s="98">
        <f>IF(G$5="","",INDEX('Cash Flow'!$F$13:$BZ$13,1,MATCH(G$5,'Cash Flow'!$F$5:$BZ$5,0)))</f>
        <v>0</v>
      </c>
      <c r="H19" s="98">
        <f>IF(H$5="","",INDEX('Cash Flow'!$F$13:$BZ$13,1,MATCH(H$5,'Cash Flow'!$F$5:$BZ$5,0)))</f>
        <v>0</v>
      </c>
      <c r="I19" s="98">
        <f>IF(I$5="","",INDEX('Cash Flow'!$F$13:$BZ$13,1,MATCH(I$5,'Cash Flow'!$F$5:$BZ$5,0)))</f>
        <v>0</v>
      </c>
      <c r="J19" s="98">
        <f>IF(J$5="","",INDEX('Cash Flow'!$F$13:$BZ$13,1,MATCH(J$5,'Cash Flow'!$F$5:$BZ$5,0)))</f>
        <v>0</v>
      </c>
      <c r="K19" s="98">
        <f>IF(K$5="","",INDEX('Cash Flow'!$F$13:$BZ$13,1,MATCH(K$5,'Cash Flow'!$F$5:$BZ$5,0)))</f>
        <v>0</v>
      </c>
      <c r="L19" s="98">
        <f>IF(L$5="","",INDEX('Cash Flow'!$F$13:$BZ$13,1,MATCH(L$5,'Cash Flow'!$F$5:$BZ$5,0)))</f>
        <v>0</v>
      </c>
      <c r="M19" s="98">
        <f>IF(M$5="","",INDEX('Cash Flow'!$F$13:$BZ$13,1,MATCH(M$5,'Cash Flow'!$F$5:$BZ$5,0)))</f>
        <v>0</v>
      </c>
      <c r="N19" s="98">
        <f>IF(N$5="","",INDEX('Cash Flow'!$F$13:$BZ$13,1,MATCH(N$5,'Cash Flow'!$F$5:$BZ$5,0)))</f>
        <v>0</v>
      </c>
      <c r="O19" s="98">
        <f>IF(O$5="","",INDEX('Cash Flow'!$F$13:$BZ$13,1,MATCH(O$5,'Cash Flow'!$F$5:$BZ$5,0)))</f>
        <v>0</v>
      </c>
      <c r="P19" s="98">
        <f>IF(P$5="","",INDEX('Cash Flow'!$F$13:$BZ$13,1,MATCH(P$5,'Cash Flow'!$F$5:$BZ$5,0)))</f>
        <v>0</v>
      </c>
      <c r="Q19" s="98">
        <f>IF(Q$5="","",INDEX('Cash Flow'!$F$13:$BZ$13,1,MATCH(Q$5,'Cash Flow'!$F$5:$BZ$5,0)))</f>
        <v>0</v>
      </c>
      <c r="R19" s="98">
        <f>IF(R$5="","",INDEX('Cash Flow'!$F$13:$BZ$13,1,MATCH(R$5,'Cash Flow'!$F$5:$BZ$5,0)))</f>
        <v>0</v>
      </c>
      <c r="S19" s="98">
        <f>IF(S$5="","",INDEX('Cash Flow'!$F$13:$BZ$13,1,MATCH(S$5,'Cash Flow'!$F$5:$BZ$5,0)))</f>
        <v>0</v>
      </c>
      <c r="T19" s="98">
        <f>IF(T$5="","",INDEX('Cash Flow'!$F$13:$BZ$13,1,MATCH(T$5,'Cash Flow'!$F$5:$BZ$5,0)))</f>
        <v>0</v>
      </c>
      <c r="U19" s="98">
        <f>IF(U$5="","",INDEX('Cash Flow'!$F$13:$BZ$13,1,MATCH(U$5,'Cash Flow'!$F$5:$BZ$5,0)))</f>
        <v>0</v>
      </c>
      <c r="V19" s="98">
        <f>IF(V$5="","",INDEX('Cash Flow'!$F$13:$BZ$13,1,MATCH(V$5,'Cash Flow'!$F$5:$BZ$5,0)))</f>
        <v>0</v>
      </c>
      <c r="W19" s="98">
        <f>IF(W$5="","",INDEX('Cash Flow'!$F$13:$BZ$13,1,MATCH(W$5,'Cash Flow'!$F$5:$BZ$5,0)))</f>
        <v>0</v>
      </c>
      <c r="X19" s="98">
        <f>IF(X$5="","",INDEX('Cash Flow'!$F$13:$BZ$13,1,MATCH(X$5,'Cash Flow'!$F$5:$BZ$5,0)))</f>
        <v>0</v>
      </c>
      <c r="Y19" s="98">
        <f>IF(Y$5="","",INDEX('Cash Flow'!$F$13:$BZ$13,1,MATCH(Y$5,'Cash Flow'!$F$5:$BZ$5,0)))</f>
        <v>0</v>
      </c>
      <c r="Z19" s="98">
        <f>IF(Z$5="","",INDEX('Cash Flow'!$F$13:$BZ$13,1,MATCH(Z$5,'Cash Flow'!$F$5:$BZ$5,0)))</f>
        <v>0</v>
      </c>
      <c r="AA19" s="98">
        <f>IF(AA$5="","",INDEX('Cash Flow'!$F$13:$BZ$13,1,MATCH(AA$5,'Cash Flow'!$F$5:$BZ$5,0)))</f>
        <v>0</v>
      </c>
      <c r="AB19" s="98">
        <f>IF(AB$5="","",INDEX('Cash Flow'!$F$13:$BZ$13,1,MATCH(AB$5,'Cash Flow'!$F$5:$BZ$5,0)))</f>
        <v>0</v>
      </c>
      <c r="AC19" s="98">
        <f>IF(AC$5="","",INDEX('Cash Flow'!$F$13:$BZ$13,1,MATCH(AC$5,'Cash Flow'!$F$5:$BZ$5,0)))</f>
        <v>0</v>
      </c>
      <c r="AD19" s="98">
        <f>IF(AD$5="","",INDEX('Cash Flow'!$F$13:$BZ$13,1,MATCH(AD$5,'Cash Flow'!$F$5:$BZ$5,0)))</f>
        <v>0</v>
      </c>
      <c r="AE19" s="98">
        <f>IF(AE$5="","",INDEX('Cash Flow'!$F$13:$BZ$13,1,MATCH(AE$5,'Cash Flow'!$F$5:$BZ$5,0)))</f>
        <v>0</v>
      </c>
      <c r="AF19" s="98">
        <f>IF(AF$5="","",INDEX('Cash Flow'!$F$13:$BZ$13,1,MATCH(AF$5,'Cash Flow'!$F$5:$BZ$5,0)))</f>
        <v>0</v>
      </c>
      <c r="AG19" s="98">
        <f>IF(AG$5="","",INDEX('Cash Flow'!$F$13:$BZ$13,1,MATCH(AG$5,'Cash Flow'!$F$5:$BZ$5,0)))</f>
        <v>0</v>
      </c>
      <c r="AH19" s="98">
        <f>IF(AH$5="","",INDEX('Cash Flow'!$F$13:$BZ$13,1,MATCH(AH$5,'Cash Flow'!$F$5:$BZ$5,0)))</f>
        <v>0</v>
      </c>
      <c r="AI19" s="98">
        <f>IF(AI$5="","",INDEX('Cash Flow'!$F$13:$BZ$13,1,MATCH(AI$5,'Cash Flow'!$F$5:$BZ$5,0)))</f>
        <v>0</v>
      </c>
      <c r="AJ19" s="98">
        <f>IF(AJ$5="","",INDEX('Cash Flow'!$F$13:$BZ$13,1,MATCH(AJ$5,'Cash Flow'!$F$5:$BZ$5,0)))</f>
        <v>0</v>
      </c>
      <c r="AK19" s="98">
        <f>IF(AK$5="","",INDEX('Cash Flow'!$F$13:$BZ$13,1,MATCH(AK$5,'Cash Flow'!$F$5:$BZ$5,0)))</f>
        <v>0</v>
      </c>
      <c r="AL19" s="98">
        <f>IF(AL$5="","",INDEX('Cash Flow'!$F$13:$BZ$13,1,MATCH(AL$5,'Cash Flow'!$F$5:$BZ$5,0)))</f>
        <v>0</v>
      </c>
      <c r="AM19" s="98">
        <f>IF(AM$5="","",INDEX('Cash Flow'!$F$13:$BZ$13,1,MATCH(AM$5,'Cash Flow'!$F$5:$BZ$5,0)))</f>
        <v>0</v>
      </c>
      <c r="AN19" s="98">
        <f>IF(AN$5="","",INDEX('Cash Flow'!$F$13:$BZ$13,1,MATCH(AN$5,'Cash Flow'!$F$5:$BZ$5,0)))</f>
        <v>0</v>
      </c>
      <c r="AO19" s="98">
        <f>IF(AO$5="","",INDEX('Cash Flow'!$F$13:$BZ$13,1,MATCH(AO$5,'Cash Flow'!$F$5:$BZ$5,0)))</f>
        <v>0</v>
      </c>
      <c r="AP19" s="98">
        <f>IF(AP$5="","",INDEX('Cash Flow'!$F$13:$BZ$13,1,MATCH(AP$5,'Cash Flow'!$F$5:$BZ$5,0)))</f>
        <v>0</v>
      </c>
      <c r="AQ19" s="98">
        <f>IF(AQ$5="","",INDEX('Cash Flow'!$F$13:$BZ$13,1,MATCH(AQ$5,'Cash Flow'!$F$5:$BZ$5,0)))</f>
        <v>0</v>
      </c>
      <c r="AR19" s="98">
        <f>IF(AR$5="","",INDEX('Cash Flow'!$F$13:$BZ$13,1,MATCH(AR$5,'Cash Flow'!$F$5:$BZ$5,0)))</f>
        <v>0</v>
      </c>
      <c r="AS19" s="98">
        <f>IF(AS$5="","",INDEX('Cash Flow'!$F$13:$BZ$13,1,MATCH(AS$5,'Cash Flow'!$F$5:$BZ$5,0)))</f>
        <v>0</v>
      </c>
      <c r="AT19" s="98">
        <f>IF(AT$5="","",INDEX('Cash Flow'!$F$13:$BZ$13,1,MATCH(AT$5,'Cash Flow'!$F$5:$BZ$5,0)))</f>
        <v>0</v>
      </c>
      <c r="AU19" s="98">
        <f>IF(AU$5="","",INDEX('Cash Flow'!$F$13:$BZ$13,1,MATCH(AU$5,'Cash Flow'!$F$5:$BZ$5,0)))</f>
        <v>0</v>
      </c>
      <c r="AV19" s="98">
        <f>IF(AV$5="","",INDEX('Cash Flow'!$F$13:$BZ$13,1,MATCH(AV$5,'Cash Flow'!$F$5:$BZ$5,0)))</f>
        <v>0</v>
      </c>
      <c r="AW19" s="98">
        <f>IF(AW$5="","",INDEX('Cash Flow'!$F$13:$BZ$13,1,MATCH(AW$5,'Cash Flow'!$F$5:$BZ$5,0)))</f>
        <v>0</v>
      </c>
      <c r="AX19" s="98">
        <f>IF(AX$5="","",INDEX('Cash Flow'!$F$13:$BZ$13,1,MATCH(AX$5,'Cash Flow'!$F$5:$BZ$5,0)))</f>
        <v>0</v>
      </c>
      <c r="AY19" s="98">
        <f>IF(AY$5="","",INDEX('Cash Flow'!$F$13:$BZ$13,1,MATCH(AY$5,'Cash Flow'!$F$5:$BZ$5,0)))</f>
        <v>0</v>
      </c>
      <c r="AZ19" s="98">
        <f>IF(AZ$5="","",INDEX('Cash Flow'!$F$13:$BZ$13,1,MATCH(AZ$5,'Cash Flow'!$F$5:$BZ$5,0)))</f>
        <v>0</v>
      </c>
      <c r="BA19" s="98">
        <f>IF(BA$5="","",INDEX('Cash Flow'!$F$13:$BZ$13,1,MATCH(BA$5,'Cash Flow'!$F$5:$BZ$5,0)))</f>
        <v>0</v>
      </c>
      <c r="BB19" s="98">
        <f>IF(BB$5="","",INDEX('Cash Flow'!$F$13:$BZ$13,1,MATCH(BB$5,'Cash Flow'!$F$5:$BZ$5,0)))</f>
        <v>0</v>
      </c>
      <c r="BC19" s="98">
        <f>IF(BC$5="","",INDEX('Cash Flow'!$F$13:$BZ$13,1,MATCH(BC$5,'Cash Flow'!$F$5:$BZ$5,0)))</f>
        <v>0</v>
      </c>
      <c r="BD19" s="98">
        <f>IF(BD$5="","",INDEX('Cash Flow'!$F$13:$BZ$13,1,MATCH(BD$5,'Cash Flow'!$F$5:$BZ$5,0)))</f>
        <v>0</v>
      </c>
      <c r="BE19" s="98">
        <f>IF(BE$5="","",INDEX('Cash Flow'!$F$13:$BZ$13,1,MATCH(BE$5,'Cash Flow'!$F$5:$BZ$5,0)))</f>
        <v>0</v>
      </c>
      <c r="BF19" s="98">
        <f>IF(BF$5="","",INDEX('Cash Flow'!$F$13:$BZ$13,1,MATCH(BF$5,'Cash Flow'!$F$5:$BZ$5,0)))</f>
        <v>0</v>
      </c>
      <c r="BG19" s="98">
        <f>IF(BG$5="","",INDEX('Cash Flow'!$F$13:$BZ$13,1,MATCH(BG$5,'Cash Flow'!$F$5:$BZ$5,0)))</f>
        <v>0</v>
      </c>
      <c r="BH19" s="98">
        <f>IF(BH$5="","",INDEX('Cash Flow'!$F$13:$BZ$13,1,MATCH(BH$5,'Cash Flow'!$F$5:$BZ$5,0)))</f>
        <v>0</v>
      </c>
      <c r="BI19" s="98">
        <f>IF(BI$5="","",INDEX('Cash Flow'!$F$13:$BZ$13,1,MATCH(BI$5,'Cash Flow'!$F$5:$BZ$5,0)))</f>
        <v>0</v>
      </c>
      <c r="BJ19" s="98">
        <f>IF(BJ$5="","",INDEX('Cash Flow'!$F$13:$BZ$13,1,MATCH(BJ$5,'Cash Flow'!$F$5:$BZ$5,0)))</f>
        <v>0</v>
      </c>
      <c r="BK19" s="98">
        <f>IF(BK$5="","",INDEX('Cash Flow'!$F$13:$BZ$13,1,MATCH(BK$5,'Cash Flow'!$F$5:$BZ$5,0)))</f>
        <v>0</v>
      </c>
      <c r="BL19" s="98">
        <f>IF(BL$5="","",INDEX('Cash Flow'!$F$13:$BZ$13,1,MATCH(BL$5,'Cash Flow'!$F$5:$BZ$5,0)))</f>
        <v>0</v>
      </c>
      <c r="BM19" s="98">
        <f>IF(BM$5="","",INDEX('Cash Flow'!$F$13:$BZ$13,1,MATCH(BM$5,'Cash Flow'!$F$5:$BZ$5,0)))</f>
        <v>0</v>
      </c>
      <c r="BN19" s="98">
        <f>IF(BN$5="","",INDEX('Cash Flow'!$F$13:$BZ$13,1,MATCH(BN$5,'Cash Flow'!$F$5:$BZ$5,0)))</f>
        <v>0</v>
      </c>
    </row>
    <row r="20" spans="2:66" x14ac:dyDescent="0.2">
      <c r="B20" s="123" t="s">
        <v>293</v>
      </c>
      <c r="C20" s="123"/>
      <c r="D20" s="123"/>
      <c r="E20" s="123"/>
      <c r="F20" s="124">
        <f>IF(F$5="","",INDEX('Cash Flow'!$F$14:$BZ$14,1,MATCH(F$5,'Cash Flow'!$F$5:$BZ$5,0)))</f>
        <v>0</v>
      </c>
      <c r="G20" s="124">
        <f>SUM(G17:G19)</f>
        <v>72601.66</v>
      </c>
      <c r="H20" s="124">
        <f t="shared" ref="H20:BN20" si="8">SUM(H17:H19)</f>
        <v>137332.62</v>
      </c>
      <c r="I20" s="124">
        <f t="shared" si="8"/>
        <v>140150.41</v>
      </c>
      <c r="J20" s="124">
        <f t="shared" si="8"/>
        <v>142734.21</v>
      </c>
      <c r="K20" s="124">
        <f t="shared" si="8"/>
        <v>142734.21</v>
      </c>
      <c r="L20" s="124">
        <f t="shared" si="8"/>
        <v>143822.45000000001</v>
      </c>
      <c r="M20" s="124">
        <f t="shared" si="8"/>
        <v>146373.79</v>
      </c>
      <c r="N20" s="124">
        <f t="shared" si="8"/>
        <v>155702.13</v>
      </c>
      <c r="O20" s="124">
        <f t="shared" si="8"/>
        <v>155702.13</v>
      </c>
      <c r="P20" s="124">
        <f t="shared" si="8"/>
        <v>160210.45000000001</v>
      </c>
      <c r="Q20" s="124">
        <f t="shared" si="8"/>
        <v>142937.04</v>
      </c>
      <c r="R20" s="124">
        <f t="shared" si="8"/>
        <v>158062.04</v>
      </c>
      <c r="S20" s="124">
        <f t="shared" si="8"/>
        <v>158519.54</v>
      </c>
      <c r="T20" s="124">
        <f t="shared" si="8"/>
        <v>158519.54</v>
      </c>
      <c r="U20" s="124">
        <f t="shared" si="8"/>
        <v>154688.64000000001</v>
      </c>
      <c r="V20" s="124">
        <f t="shared" si="8"/>
        <v>155412.78149999998</v>
      </c>
      <c r="W20" s="124">
        <f t="shared" si="8"/>
        <v>155680.12829999998</v>
      </c>
      <c r="X20" s="124">
        <f t="shared" si="8"/>
        <v>167977.08419999998</v>
      </c>
      <c r="Y20" s="124">
        <f t="shared" si="8"/>
        <v>199512.08419999998</v>
      </c>
      <c r="Z20" s="124">
        <f t="shared" si="8"/>
        <v>191095.6342</v>
      </c>
      <c r="AA20" s="124">
        <f t="shared" si="8"/>
        <v>220479.11420000001</v>
      </c>
      <c r="AB20" s="124">
        <f t="shared" si="8"/>
        <v>220675.46420000002</v>
      </c>
      <c r="AC20" s="124">
        <f t="shared" si="8"/>
        <v>221500.0307</v>
      </c>
      <c r="AD20" s="124">
        <f t="shared" si="8"/>
        <v>225523.7807</v>
      </c>
      <c r="AE20" s="124">
        <f t="shared" si="8"/>
        <v>215766.2807</v>
      </c>
      <c r="AF20" s="124">
        <f t="shared" si="8"/>
        <v>215766.2807</v>
      </c>
      <c r="AG20" s="124">
        <f t="shared" si="8"/>
        <v>215837.6807</v>
      </c>
      <c r="AH20" s="124">
        <f t="shared" si="8"/>
        <v>216583.54644500001</v>
      </c>
      <c r="AI20" s="124">
        <f t="shared" si="8"/>
        <v>220316.13964500002</v>
      </c>
      <c r="AJ20" s="124">
        <f t="shared" si="8"/>
        <v>200921.37374500002</v>
      </c>
      <c r="AK20" s="124">
        <f t="shared" si="8"/>
        <v>201867.42374500001</v>
      </c>
      <c r="AL20" s="124">
        <f t="shared" si="8"/>
        <v>201992.37374499999</v>
      </c>
      <c r="AM20" s="124">
        <f t="shared" si="8"/>
        <v>203102.35814499998</v>
      </c>
      <c r="AN20" s="124">
        <f t="shared" si="8"/>
        <v>212382.59864499999</v>
      </c>
      <c r="AO20" s="124">
        <f t="shared" si="8"/>
        <v>200965.07061999998</v>
      </c>
      <c r="AP20" s="124">
        <f t="shared" si="8"/>
        <v>201539.53311999998</v>
      </c>
      <c r="AQ20" s="124">
        <f t="shared" si="8"/>
        <v>201718.03311999998</v>
      </c>
      <c r="AR20" s="124">
        <f t="shared" si="8"/>
        <v>211714.03311999998</v>
      </c>
      <c r="AS20" s="124">
        <f t="shared" si="8"/>
        <v>227138.57511999996</v>
      </c>
      <c r="AT20" s="124">
        <f t="shared" si="8"/>
        <v>227906.81683734996</v>
      </c>
      <c r="AU20" s="124">
        <f t="shared" si="8"/>
        <v>228294.16183734997</v>
      </c>
      <c r="AV20" s="124">
        <f t="shared" si="8"/>
        <v>228954.18343734997</v>
      </c>
      <c r="AW20" s="124">
        <f t="shared" si="8"/>
        <v>229928.61493734998</v>
      </c>
      <c r="AX20" s="124">
        <f t="shared" si="8"/>
        <v>240767.31343734995</v>
      </c>
      <c r="AY20" s="124">
        <f t="shared" si="8"/>
        <v>241910.59736934997</v>
      </c>
      <c r="AZ20" s="124">
        <f t="shared" si="8"/>
        <v>242544.24508434994</v>
      </c>
      <c r="BA20" s="124">
        <f t="shared" si="8"/>
        <v>243051.02273859998</v>
      </c>
      <c r="BB20" s="124">
        <f t="shared" si="8"/>
        <v>243642.71911359997</v>
      </c>
      <c r="BC20" s="124">
        <f t="shared" si="8"/>
        <v>243826.57411359996</v>
      </c>
      <c r="BD20" s="124">
        <f t="shared" si="8"/>
        <v>244126.45411359996</v>
      </c>
      <c r="BE20" s="124">
        <f t="shared" si="8"/>
        <v>244662.73237359995</v>
      </c>
      <c r="BF20" s="124">
        <f t="shared" si="8"/>
        <v>245454.02134247049</v>
      </c>
      <c r="BG20" s="124">
        <f t="shared" si="8"/>
        <v>245852.98669247044</v>
      </c>
      <c r="BH20" s="124">
        <f t="shared" si="8"/>
        <v>246532.80894047045</v>
      </c>
      <c r="BI20" s="124">
        <f t="shared" si="8"/>
        <v>247536.47338547045</v>
      </c>
      <c r="BJ20" s="124">
        <f t="shared" si="8"/>
        <v>247990.33284047048</v>
      </c>
      <c r="BK20" s="124">
        <f t="shared" si="8"/>
        <v>249167.91529043048</v>
      </c>
      <c r="BL20" s="124">
        <f t="shared" si="8"/>
        <v>249820.57243688047</v>
      </c>
      <c r="BM20" s="124">
        <f t="shared" si="8"/>
        <v>250342.55342075796</v>
      </c>
      <c r="BN20" s="124">
        <f t="shared" si="8"/>
        <v>250952.00068700797</v>
      </c>
    </row>
    <row r="21" spans="2:66" x14ac:dyDescent="0.2">
      <c r="B21" s="65" t="s">
        <v>391</v>
      </c>
      <c r="C21" s="65"/>
      <c r="D21" s="65"/>
      <c r="E21" s="65"/>
      <c r="F21" s="98">
        <f>IF(F$5="","",INDEX('Cash Flow'!$F$15:$BZ$15,1,MATCH(F$5,'Cash Flow'!$F$5:$BZ$5,0)))</f>
        <v>0</v>
      </c>
      <c r="G21" s="98">
        <f>'2021 T12'!D33</f>
        <v>46104.88</v>
      </c>
      <c r="H21" s="98">
        <f>'2021 T12'!E33</f>
        <v>78970.98</v>
      </c>
      <c r="I21" s="98">
        <f>'2021 T12'!F33</f>
        <v>78971</v>
      </c>
      <c r="J21" s="98">
        <f>'2021 T12'!G33</f>
        <v>78971</v>
      </c>
      <c r="K21" s="98">
        <f>'2021 T12'!H33</f>
        <v>41861.01</v>
      </c>
      <c r="L21" s="98">
        <f>'2021 T12'!I33</f>
        <v>78971</v>
      </c>
      <c r="M21" s="98">
        <f>'2021 T12'!J33</f>
        <v>72237.62</v>
      </c>
      <c r="N21" s="98">
        <f>'2021 T12'!K33</f>
        <v>87232.46</v>
      </c>
      <c r="O21" s="98">
        <f>'2021 T12'!L33</f>
        <v>87510</v>
      </c>
      <c r="P21" s="98">
        <f>'2021 T12'!M33</f>
        <v>90041.48</v>
      </c>
      <c r="Q21" s="98">
        <f>IF(Q$5="","",INDEX('Cash Flow'!$F$15:$BZ$15,1,MATCH(Q$5,'Cash Flow'!$F$5:$BZ$5,0)))</f>
        <v>97140.647500000006</v>
      </c>
      <c r="R21" s="98">
        <f>IF(R$5="","",INDEX('Cash Flow'!$F$15:$BZ$15,1,MATCH(R$5,'Cash Flow'!$F$5:$BZ$5,0)))</f>
        <v>97140.647500000006</v>
      </c>
      <c r="S21" s="98">
        <f>IF(S$5="","",INDEX('Cash Flow'!$F$15:$BZ$15,1,MATCH(S$5,'Cash Flow'!$F$5:$BZ$5,0)))</f>
        <v>100054.86692500001</v>
      </c>
      <c r="T21" s="98">
        <f>IF(T$5="","",INDEX('Cash Flow'!$F$15:$BZ$15,1,MATCH(T$5,'Cash Flow'!$F$5:$BZ$5,0)))</f>
        <v>100054.86692500001</v>
      </c>
      <c r="U21" s="98">
        <f>IF(U$5="","",INDEX('Cash Flow'!$F$15:$BZ$15,1,MATCH(U$5,'Cash Flow'!$F$5:$BZ$5,0)))</f>
        <v>100054.86692500001</v>
      </c>
      <c r="V21" s="98">
        <f>IF(V$5="","",INDEX('Cash Flow'!$F$15:$BZ$15,1,MATCH(V$5,'Cash Flow'!$F$5:$BZ$5,0)))</f>
        <v>100054.86692500001</v>
      </c>
      <c r="W21" s="98">
        <f>IF(W$5="","",INDEX('Cash Flow'!$F$15:$BZ$15,1,MATCH(W$5,'Cash Flow'!$F$5:$BZ$5,0)))</f>
        <v>100054.86692500001</v>
      </c>
      <c r="X21" s="98">
        <f>IF(X$5="","",INDEX('Cash Flow'!$F$15:$BZ$15,1,MATCH(X$5,'Cash Flow'!$F$5:$BZ$5,0)))</f>
        <v>100054.86692500001</v>
      </c>
      <c r="Y21" s="98">
        <f>IF(Y$5="","",INDEX('Cash Flow'!$F$15:$BZ$15,1,MATCH(Y$5,'Cash Flow'!$F$5:$BZ$5,0)))</f>
        <v>100054.86692500001</v>
      </c>
      <c r="Z21" s="98">
        <f>IF(Z$5="","",INDEX('Cash Flow'!$F$15:$BZ$15,1,MATCH(Z$5,'Cash Flow'!$F$5:$BZ$5,0)))</f>
        <v>100054.86692500001</v>
      </c>
      <c r="AA21" s="98">
        <f>IF(AA$5="","",INDEX('Cash Flow'!$F$15:$BZ$15,1,MATCH(AA$5,'Cash Flow'!$F$5:$BZ$5,0)))</f>
        <v>100054.86692500001</v>
      </c>
      <c r="AB21" s="98">
        <f>IF(AB$5="","",INDEX('Cash Flow'!$F$15:$BZ$15,1,MATCH(AB$5,'Cash Flow'!$F$5:$BZ$5,0)))</f>
        <v>100054.86692500001</v>
      </c>
      <c r="AC21" s="98">
        <f>IF(AC$5="","",INDEX('Cash Flow'!$F$15:$BZ$15,1,MATCH(AC$5,'Cash Flow'!$F$5:$BZ$5,0)))</f>
        <v>100054.86692500001</v>
      </c>
      <c r="AD21" s="98">
        <f>IF(AD$5="","",INDEX('Cash Flow'!$F$15:$BZ$15,1,MATCH(AD$5,'Cash Flow'!$F$5:$BZ$5,0)))</f>
        <v>100054.86692500001</v>
      </c>
      <c r="AE21" s="98">
        <f>IF(AE$5="","",INDEX('Cash Flow'!$F$15:$BZ$15,1,MATCH(AE$5,'Cash Flow'!$F$5:$BZ$5,0)))</f>
        <v>103056.51293275</v>
      </c>
      <c r="AF21" s="98">
        <f>IF(AF$5="","",INDEX('Cash Flow'!$F$15:$BZ$15,1,MATCH(AF$5,'Cash Flow'!$F$5:$BZ$5,0)))</f>
        <v>103056.51293275</v>
      </c>
      <c r="AG21" s="98">
        <f>IF(AG$5="","",INDEX('Cash Flow'!$F$15:$BZ$15,1,MATCH(AG$5,'Cash Flow'!$F$5:$BZ$5,0)))</f>
        <v>103056.51293275</v>
      </c>
      <c r="AH21" s="98">
        <f>IF(AH$5="","",INDEX('Cash Flow'!$F$15:$BZ$15,1,MATCH(AH$5,'Cash Flow'!$F$5:$BZ$5,0)))</f>
        <v>103056.51293275</v>
      </c>
      <c r="AI21" s="98">
        <f>IF(AI$5="","",INDEX('Cash Flow'!$F$15:$BZ$15,1,MATCH(AI$5,'Cash Flow'!$F$5:$BZ$5,0)))</f>
        <v>103056.51293275</v>
      </c>
      <c r="AJ21" s="98">
        <f>IF(AJ$5="","",INDEX('Cash Flow'!$F$15:$BZ$15,1,MATCH(AJ$5,'Cash Flow'!$F$5:$BZ$5,0)))</f>
        <v>103056.51293275</v>
      </c>
      <c r="AK21" s="98">
        <f>IF(AK$5="","",INDEX('Cash Flow'!$F$15:$BZ$15,1,MATCH(AK$5,'Cash Flow'!$F$5:$BZ$5,0)))</f>
        <v>103056.51293275</v>
      </c>
      <c r="AL21" s="98">
        <f>IF(AL$5="","",INDEX('Cash Flow'!$F$15:$BZ$15,1,MATCH(AL$5,'Cash Flow'!$F$5:$BZ$5,0)))</f>
        <v>103056.51293275</v>
      </c>
      <c r="AM21" s="98">
        <f>IF(AM$5="","",INDEX('Cash Flow'!$F$15:$BZ$15,1,MATCH(AM$5,'Cash Flow'!$F$5:$BZ$5,0)))</f>
        <v>103056.51293275</v>
      </c>
      <c r="AN21" s="98">
        <f>IF(AN$5="","",INDEX('Cash Flow'!$F$15:$BZ$15,1,MATCH(AN$5,'Cash Flow'!$F$5:$BZ$5,0)))</f>
        <v>103056.51293275</v>
      </c>
      <c r="AO21" s="98">
        <f>IF(AO$5="","",INDEX('Cash Flow'!$F$15:$BZ$15,1,MATCH(AO$5,'Cash Flow'!$F$5:$BZ$5,0)))</f>
        <v>103056.51293275</v>
      </c>
      <c r="AP21" s="98">
        <f>IF(AP$5="","",INDEX('Cash Flow'!$F$15:$BZ$15,1,MATCH(AP$5,'Cash Flow'!$F$5:$BZ$5,0)))</f>
        <v>103056.51293275</v>
      </c>
      <c r="AQ21" s="98">
        <f>IF(AQ$5="","",INDEX('Cash Flow'!$F$15:$BZ$15,1,MATCH(AQ$5,'Cash Flow'!$F$5:$BZ$5,0)))</f>
        <v>106148.2083207325</v>
      </c>
      <c r="AR21" s="98">
        <f>IF(AR$5="","",INDEX('Cash Flow'!$F$15:$BZ$15,1,MATCH(AR$5,'Cash Flow'!$F$5:$BZ$5,0)))</f>
        <v>106148.2083207325</v>
      </c>
      <c r="AS21" s="98">
        <f>IF(AS$5="","",INDEX('Cash Flow'!$F$15:$BZ$15,1,MATCH(AS$5,'Cash Flow'!$F$5:$BZ$5,0)))</f>
        <v>106148.2083207325</v>
      </c>
      <c r="AT21" s="98">
        <f>IF(AT$5="","",INDEX('Cash Flow'!$F$15:$BZ$15,1,MATCH(AT$5,'Cash Flow'!$F$5:$BZ$5,0)))</f>
        <v>106148.2083207325</v>
      </c>
      <c r="AU21" s="98">
        <f>IF(AU$5="","",INDEX('Cash Flow'!$F$15:$BZ$15,1,MATCH(AU$5,'Cash Flow'!$F$5:$BZ$5,0)))</f>
        <v>106148.2083207325</v>
      </c>
      <c r="AV21" s="98">
        <f>IF(AV$5="","",INDEX('Cash Flow'!$F$15:$BZ$15,1,MATCH(AV$5,'Cash Flow'!$F$5:$BZ$5,0)))</f>
        <v>106148.2083207325</v>
      </c>
      <c r="AW21" s="98">
        <f>IF(AW$5="","",INDEX('Cash Flow'!$F$15:$BZ$15,1,MATCH(AW$5,'Cash Flow'!$F$5:$BZ$5,0)))</f>
        <v>106148.2083207325</v>
      </c>
      <c r="AX21" s="98">
        <f>IF(AX$5="","",INDEX('Cash Flow'!$F$15:$BZ$15,1,MATCH(AX$5,'Cash Flow'!$F$5:$BZ$5,0)))</f>
        <v>106148.2083207325</v>
      </c>
      <c r="AY21" s="98">
        <f>IF(AY$5="","",INDEX('Cash Flow'!$F$15:$BZ$15,1,MATCH(AY$5,'Cash Flow'!$F$5:$BZ$5,0)))</f>
        <v>106148.2083207325</v>
      </c>
      <c r="AZ21" s="98">
        <f>IF(AZ$5="","",INDEX('Cash Flow'!$F$15:$BZ$15,1,MATCH(AZ$5,'Cash Flow'!$F$5:$BZ$5,0)))</f>
        <v>106148.2083207325</v>
      </c>
      <c r="BA21" s="98">
        <f>IF(BA$5="","",INDEX('Cash Flow'!$F$15:$BZ$15,1,MATCH(BA$5,'Cash Flow'!$F$5:$BZ$5,0)))</f>
        <v>106148.2083207325</v>
      </c>
      <c r="BB21" s="98">
        <f>IF(BB$5="","",INDEX('Cash Flow'!$F$15:$BZ$15,1,MATCH(BB$5,'Cash Flow'!$F$5:$BZ$5,0)))</f>
        <v>106148.2083207325</v>
      </c>
      <c r="BC21" s="98">
        <f>IF(BC$5="","",INDEX('Cash Flow'!$F$15:$BZ$15,1,MATCH(BC$5,'Cash Flow'!$F$5:$BZ$5,0)))</f>
        <v>109332.65457035447</v>
      </c>
      <c r="BD21" s="98">
        <f>IF(BD$5="","",INDEX('Cash Flow'!$F$15:$BZ$15,1,MATCH(BD$5,'Cash Flow'!$F$5:$BZ$5,0)))</f>
        <v>109332.65457035447</v>
      </c>
      <c r="BE21" s="98">
        <f>IF(BE$5="","",INDEX('Cash Flow'!$F$15:$BZ$15,1,MATCH(BE$5,'Cash Flow'!$F$5:$BZ$5,0)))</f>
        <v>109332.65457035447</v>
      </c>
      <c r="BF21" s="98">
        <f>IF(BF$5="","",INDEX('Cash Flow'!$F$15:$BZ$15,1,MATCH(BF$5,'Cash Flow'!$F$5:$BZ$5,0)))</f>
        <v>109332.65457035447</v>
      </c>
      <c r="BG21" s="98">
        <f>IF(BG$5="","",INDEX('Cash Flow'!$F$15:$BZ$15,1,MATCH(BG$5,'Cash Flow'!$F$5:$BZ$5,0)))</f>
        <v>109332.65457035447</v>
      </c>
      <c r="BH21" s="98">
        <f>IF(BH$5="","",INDEX('Cash Flow'!$F$15:$BZ$15,1,MATCH(BH$5,'Cash Flow'!$F$5:$BZ$5,0)))</f>
        <v>109332.65457035447</v>
      </c>
      <c r="BI21" s="98">
        <f>IF(BI$5="","",INDEX('Cash Flow'!$F$15:$BZ$15,1,MATCH(BI$5,'Cash Flow'!$F$5:$BZ$5,0)))</f>
        <v>109332.65457035447</v>
      </c>
      <c r="BJ21" s="98">
        <f>IF(BJ$5="","",INDEX('Cash Flow'!$F$15:$BZ$15,1,MATCH(BJ$5,'Cash Flow'!$F$5:$BZ$5,0)))</f>
        <v>109332.65457035447</v>
      </c>
      <c r="BK21" s="98">
        <f>IF(BK$5="","",INDEX('Cash Flow'!$F$15:$BZ$15,1,MATCH(BK$5,'Cash Flow'!$F$5:$BZ$5,0)))</f>
        <v>109332.65457035447</v>
      </c>
      <c r="BL21" s="98">
        <f>IF(BL$5="","",INDEX('Cash Flow'!$F$15:$BZ$15,1,MATCH(BL$5,'Cash Flow'!$F$5:$BZ$5,0)))</f>
        <v>109332.65457035447</v>
      </c>
      <c r="BM21" s="98">
        <f>IF(BM$5="","",INDEX('Cash Flow'!$F$15:$BZ$15,1,MATCH(BM$5,'Cash Flow'!$F$5:$BZ$5,0)))</f>
        <v>109332.65457035447</v>
      </c>
      <c r="BN21" s="98">
        <f>IF(BN$5="","",INDEX('Cash Flow'!$F$15:$BZ$15,1,MATCH(BN$5,'Cash Flow'!$F$5:$BZ$5,0)))</f>
        <v>109332.65457035447</v>
      </c>
    </row>
    <row r="22" spans="2:66" x14ac:dyDescent="0.2">
      <c r="B22" s="65" t="s">
        <v>392</v>
      </c>
      <c r="C22" s="65"/>
      <c r="D22" s="65"/>
      <c r="E22" s="65"/>
      <c r="F22" s="98"/>
      <c r="G22" s="98">
        <f>'2021 T12'!D39</f>
        <v>9297.67</v>
      </c>
      <c r="H22" s="98">
        <f>'2021 T12'!E39</f>
        <v>11345.35</v>
      </c>
      <c r="I22" s="98">
        <f>'2021 T12'!F39</f>
        <v>69</v>
      </c>
      <c r="J22" s="98">
        <f>'2021 T12'!G39</f>
        <v>32097.3</v>
      </c>
      <c r="K22" s="98">
        <f>'2021 T12'!H39</f>
        <v>26002.2</v>
      </c>
      <c r="L22" s="98">
        <f>'2021 T12'!I39</f>
        <v>20770.5</v>
      </c>
      <c r="M22" s="98">
        <f>'2021 T12'!J39</f>
        <v>16903.05</v>
      </c>
      <c r="N22" s="98">
        <f>'2021 T12'!K39</f>
        <v>16903.05</v>
      </c>
      <c r="O22" s="98">
        <f>'2021 T12'!L39</f>
        <v>24388.17</v>
      </c>
      <c r="P22" s="98">
        <f>'2021 T12'!M39</f>
        <v>-11660.46</v>
      </c>
      <c r="Q22" s="194">
        <v>16000</v>
      </c>
      <c r="R22" s="98">
        <f>Q22</f>
        <v>16000</v>
      </c>
      <c r="S22" s="98">
        <f t="shared" ref="S22:AB22" si="9">R22</f>
        <v>16000</v>
      </c>
      <c r="T22" s="98">
        <f t="shared" si="9"/>
        <v>16000</v>
      </c>
      <c r="U22" s="98">
        <f t="shared" si="9"/>
        <v>16000</v>
      </c>
      <c r="V22" s="98">
        <f t="shared" si="9"/>
        <v>16000</v>
      </c>
      <c r="W22" s="98">
        <f t="shared" si="9"/>
        <v>16000</v>
      </c>
      <c r="X22" s="98">
        <f t="shared" si="9"/>
        <v>16000</v>
      </c>
      <c r="Y22" s="98">
        <f t="shared" si="9"/>
        <v>16000</v>
      </c>
      <c r="Z22" s="98">
        <f t="shared" si="9"/>
        <v>16000</v>
      </c>
      <c r="AA22" s="98">
        <f t="shared" si="9"/>
        <v>16000</v>
      </c>
      <c r="AB22" s="98">
        <f t="shared" si="9"/>
        <v>16000</v>
      </c>
      <c r="AC22" s="98">
        <f>AB22*1.03</f>
        <v>16480</v>
      </c>
      <c r="AD22" s="98">
        <f>AC22</f>
        <v>16480</v>
      </c>
      <c r="AE22" s="98">
        <f t="shared" ref="AE22:AN22" si="10">AD22</f>
        <v>16480</v>
      </c>
      <c r="AF22" s="98">
        <f t="shared" si="10"/>
        <v>16480</v>
      </c>
      <c r="AG22" s="98">
        <f t="shared" si="10"/>
        <v>16480</v>
      </c>
      <c r="AH22" s="98">
        <f t="shared" si="10"/>
        <v>16480</v>
      </c>
      <c r="AI22" s="98">
        <f t="shared" si="10"/>
        <v>16480</v>
      </c>
      <c r="AJ22" s="98">
        <f t="shared" si="10"/>
        <v>16480</v>
      </c>
      <c r="AK22" s="98">
        <f t="shared" si="10"/>
        <v>16480</v>
      </c>
      <c r="AL22" s="98">
        <f t="shared" si="10"/>
        <v>16480</v>
      </c>
      <c r="AM22" s="98">
        <f t="shared" si="10"/>
        <v>16480</v>
      </c>
      <c r="AN22" s="98">
        <f t="shared" si="10"/>
        <v>16480</v>
      </c>
      <c r="AO22" s="98">
        <f>AN22*1.03</f>
        <v>16974.400000000001</v>
      </c>
      <c r="AP22" s="98">
        <f t="shared" ref="AP22" si="11">AO22*1.03</f>
        <v>17483.632000000001</v>
      </c>
      <c r="AQ22" s="98">
        <f>AP22</f>
        <v>17483.632000000001</v>
      </c>
      <c r="AR22" s="98">
        <f t="shared" ref="AR22:AZ22" si="12">AQ22</f>
        <v>17483.632000000001</v>
      </c>
      <c r="AS22" s="98">
        <f t="shared" si="12"/>
        <v>17483.632000000001</v>
      </c>
      <c r="AT22" s="98">
        <f t="shared" si="12"/>
        <v>17483.632000000001</v>
      </c>
      <c r="AU22" s="98">
        <f t="shared" si="12"/>
        <v>17483.632000000001</v>
      </c>
      <c r="AV22" s="98">
        <f t="shared" si="12"/>
        <v>17483.632000000001</v>
      </c>
      <c r="AW22" s="98">
        <f t="shared" si="12"/>
        <v>17483.632000000001</v>
      </c>
      <c r="AX22" s="98">
        <f t="shared" si="12"/>
        <v>17483.632000000001</v>
      </c>
      <c r="AY22" s="98">
        <f t="shared" si="12"/>
        <v>17483.632000000001</v>
      </c>
      <c r="AZ22" s="98">
        <f t="shared" si="12"/>
        <v>17483.632000000001</v>
      </c>
      <c r="BA22" s="98">
        <f>AZ22*1.03</f>
        <v>18008.140960000001</v>
      </c>
      <c r="BB22" s="98">
        <f>BA22</f>
        <v>18008.140960000001</v>
      </c>
      <c r="BC22" s="98">
        <f t="shared" ref="BC22:BL22" si="13">BB22</f>
        <v>18008.140960000001</v>
      </c>
      <c r="BD22" s="98">
        <f t="shared" si="13"/>
        <v>18008.140960000001</v>
      </c>
      <c r="BE22" s="98">
        <f t="shared" si="13"/>
        <v>18008.140960000001</v>
      </c>
      <c r="BF22" s="98">
        <f t="shared" si="13"/>
        <v>18008.140960000001</v>
      </c>
      <c r="BG22" s="98">
        <f t="shared" si="13"/>
        <v>18008.140960000001</v>
      </c>
      <c r="BH22" s="98">
        <f t="shared" si="13"/>
        <v>18008.140960000001</v>
      </c>
      <c r="BI22" s="98">
        <f t="shared" si="13"/>
        <v>18008.140960000001</v>
      </c>
      <c r="BJ22" s="98">
        <f t="shared" si="13"/>
        <v>18008.140960000001</v>
      </c>
      <c r="BK22" s="98">
        <f t="shared" si="13"/>
        <v>18008.140960000001</v>
      </c>
      <c r="BL22" s="98">
        <f t="shared" si="13"/>
        <v>18008.140960000001</v>
      </c>
      <c r="BM22" s="98">
        <f>BL22*1.03</f>
        <v>18548.385188800003</v>
      </c>
      <c r="BN22" s="98">
        <f>BM22</f>
        <v>18548.385188800003</v>
      </c>
    </row>
    <row r="23" spans="2:66" x14ac:dyDescent="0.2">
      <c r="B23" s="123" t="s">
        <v>294</v>
      </c>
      <c r="C23" s="123"/>
      <c r="D23" s="123"/>
      <c r="E23" s="123"/>
      <c r="F23" s="124">
        <f>IF(F$5="","",INDEX('Cash Flow'!$F$16:$BZ$16,1,MATCH(F$5,'Cash Flow'!$F$5:$BZ$5,0)))</f>
        <v>0</v>
      </c>
      <c r="G23" s="124">
        <f>SUM(G20:G22)</f>
        <v>128004.21</v>
      </c>
      <c r="H23" s="124">
        <f t="shared" ref="H23:BN23" si="14">SUM(H20:H22)</f>
        <v>227648.94999999998</v>
      </c>
      <c r="I23" s="124">
        <f t="shared" si="14"/>
        <v>219190.41</v>
      </c>
      <c r="J23" s="124">
        <f t="shared" si="14"/>
        <v>253802.50999999998</v>
      </c>
      <c r="K23" s="124">
        <f t="shared" si="14"/>
        <v>210597.42</v>
      </c>
      <c r="L23" s="124">
        <f t="shared" si="14"/>
        <v>243563.95</v>
      </c>
      <c r="M23" s="124">
        <f t="shared" si="14"/>
        <v>235514.46</v>
      </c>
      <c r="N23" s="124">
        <f t="shared" si="14"/>
        <v>259837.64</v>
      </c>
      <c r="O23" s="124">
        <f t="shared" si="14"/>
        <v>267600.3</v>
      </c>
      <c r="P23" s="124">
        <f t="shared" si="14"/>
        <v>238591.47</v>
      </c>
      <c r="Q23" s="124">
        <f t="shared" si="14"/>
        <v>256077.6875</v>
      </c>
      <c r="R23" s="124">
        <f t="shared" si="14"/>
        <v>271202.6875</v>
      </c>
      <c r="S23" s="124">
        <f t="shared" si="14"/>
        <v>274574.40692500002</v>
      </c>
      <c r="T23" s="124">
        <f t="shared" si="14"/>
        <v>274574.40692500002</v>
      </c>
      <c r="U23" s="124">
        <f t="shared" si="14"/>
        <v>270743.50692499999</v>
      </c>
      <c r="V23" s="124">
        <f t="shared" si="14"/>
        <v>271467.64842500002</v>
      </c>
      <c r="W23" s="124">
        <f t="shared" si="14"/>
        <v>271734.99522499996</v>
      </c>
      <c r="X23" s="124">
        <f t="shared" si="14"/>
        <v>284031.95112500002</v>
      </c>
      <c r="Y23" s="124">
        <f t="shared" si="14"/>
        <v>315566.95112500002</v>
      </c>
      <c r="Z23" s="124">
        <f t="shared" si="14"/>
        <v>307150.50112500001</v>
      </c>
      <c r="AA23" s="124">
        <f t="shared" si="14"/>
        <v>336533.98112500005</v>
      </c>
      <c r="AB23" s="124">
        <f t="shared" si="14"/>
        <v>336730.33112500003</v>
      </c>
      <c r="AC23" s="124">
        <f t="shared" si="14"/>
        <v>338034.89762499998</v>
      </c>
      <c r="AD23" s="124">
        <f t="shared" si="14"/>
        <v>342058.64762499998</v>
      </c>
      <c r="AE23" s="124">
        <f t="shared" si="14"/>
        <v>335302.79363274999</v>
      </c>
      <c r="AF23" s="124">
        <f t="shared" si="14"/>
        <v>335302.79363274999</v>
      </c>
      <c r="AG23" s="124">
        <f t="shared" si="14"/>
        <v>335374.19363275002</v>
      </c>
      <c r="AH23" s="124">
        <f t="shared" si="14"/>
        <v>336120.05937775003</v>
      </c>
      <c r="AI23" s="124">
        <f t="shared" si="14"/>
        <v>339852.65257775004</v>
      </c>
      <c r="AJ23" s="124">
        <f t="shared" si="14"/>
        <v>320457.88667775004</v>
      </c>
      <c r="AK23" s="124">
        <f t="shared" si="14"/>
        <v>321403.93667775003</v>
      </c>
      <c r="AL23" s="124">
        <f t="shared" si="14"/>
        <v>321528.88667774998</v>
      </c>
      <c r="AM23" s="124">
        <f t="shared" si="14"/>
        <v>322638.87107774999</v>
      </c>
      <c r="AN23" s="124">
        <f t="shared" si="14"/>
        <v>331919.11157775001</v>
      </c>
      <c r="AO23" s="124">
        <f t="shared" si="14"/>
        <v>320995.98355275003</v>
      </c>
      <c r="AP23" s="124">
        <f t="shared" si="14"/>
        <v>322079.67805274995</v>
      </c>
      <c r="AQ23" s="124">
        <f t="shared" si="14"/>
        <v>325349.87344073248</v>
      </c>
      <c r="AR23" s="124">
        <f t="shared" si="14"/>
        <v>335345.87344073248</v>
      </c>
      <c r="AS23" s="124">
        <f t="shared" si="14"/>
        <v>350770.41544073244</v>
      </c>
      <c r="AT23" s="124">
        <f t="shared" si="14"/>
        <v>351538.65715808247</v>
      </c>
      <c r="AU23" s="124">
        <f t="shared" si="14"/>
        <v>351926.00215808244</v>
      </c>
      <c r="AV23" s="124">
        <f t="shared" si="14"/>
        <v>352586.02375808248</v>
      </c>
      <c r="AW23" s="124">
        <f t="shared" si="14"/>
        <v>353560.45525808248</v>
      </c>
      <c r="AX23" s="124">
        <f t="shared" si="14"/>
        <v>364399.15375808242</v>
      </c>
      <c r="AY23" s="124">
        <f t="shared" si="14"/>
        <v>365542.43769008247</v>
      </c>
      <c r="AZ23" s="124">
        <f t="shared" si="14"/>
        <v>366176.08540508244</v>
      </c>
      <c r="BA23" s="124">
        <f t="shared" si="14"/>
        <v>367207.37201933248</v>
      </c>
      <c r="BB23" s="124">
        <f t="shared" si="14"/>
        <v>367799.06839433248</v>
      </c>
      <c r="BC23" s="124">
        <f t="shared" si="14"/>
        <v>371167.36964395444</v>
      </c>
      <c r="BD23" s="124">
        <f t="shared" si="14"/>
        <v>371467.24964395445</v>
      </c>
      <c r="BE23" s="124">
        <f t="shared" si="14"/>
        <v>372003.52790395438</v>
      </c>
      <c r="BF23" s="124">
        <f t="shared" si="14"/>
        <v>372794.81687282491</v>
      </c>
      <c r="BG23" s="124">
        <f t="shared" si="14"/>
        <v>373193.78222282487</v>
      </c>
      <c r="BH23" s="124">
        <f t="shared" si="14"/>
        <v>373873.60447082494</v>
      </c>
      <c r="BI23" s="124">
        <f t="shared" si="14"/>
        <v>374877.26891582494</v>
      </c>
      <c r="BJ23" s="124">
        <f t="shared" si="14"/>
        <v>375331.12837082497</v>
      </c>
      <c r="BK23" s="124">
        <f t="shared" si="14"/>
        <v>376508.71082078491</v>
      </c>
      <c r="BL23" s="124">
        <f t="shared" si="14"/>
        <v>377161.36796723492</v>
      </c>
      <c r="BM23" s="124">
        <f t="shared" si="14"/>
        <v>378223.59317991242</v>
      </c>
      <c r="BN23" s="124">
        <f t="shared" si="14"/>
        <v>378833.0404461624</v>
      </c>
    </row>
    <row r="24" spans="2:66" ht="17" thickBot="1" x14ac:dyDescent="0.25">
      <c r="B24" s="65" t="s">
        <v>306</v>
      </c>
      <c r="C24" s="65"/>
      <c r="D24" s="65"/>
      <c r="E24" s="65"/>
      <c r="F24" s="98">
        <f>IF(F$5="","",INDEX('Cash Flow'!$F$17:$BZ$17,1,MATCH(F$5,'Cash Flow'!$F$5:$BZ$5,0)))</f>
        <v>0</v>
      </c>
      <c r="G24" s="98">
        <f>IF(G$5="","",INDEX('Cash Flow'!$F$17:$BZ$17,1,MATCH(G$5,'Cash Flow'!$F$5:$BZ$5,0)))</f>
        <v>0</v>
      </c>
      <c r="H24" s="98">
        <f>IF(H$5="","",INDEX('Cash Flow'!$F$17:$BZ$17,1,MATCH(H$5,'Cash Flow'!$F$5:$BZ$5,0)))</f>
        <v>0</v>
      </c>
      <c r="I24" s="98">
        <f>IF(I$5="","",INDEX('Cash Flow'!$F$17:$BZ$17,1,MATCH(I$5,'Cash Flow'!$F$5:$BZ$5,0)))</f>
        <v>0</v>
      </c>
      <c r="J24" s="98">
        <f>IF(J$5="","",INDEX('Cash Flow'!$F$17:$BZ$17,1,MATCH(J$5,'Cash Flow'!$F$5:$BZ$5,0)))</f>
        <v>0</v>
      </c>
      <c r="K24" s="98">
        <f>IF(K$5="","",INDEX('Cash Flow'!$F$17:$BZ$17,1,MATCH(K$5,'Cash Flow'!$F$5:$BZ$5,0)))</f>
        <v>0</v>
      </c>
      <c r="L24" s="98">
        <f>IF(L$5="","",INDEX('Cash Flow'!$F$17:$BZ$17,1,MATCH(L$5,'Cash Flow'!$F$5:$BZ$5,0)))</f>
        <v>0</v>
      </c>
      <c r="M24" s="98">
        <f>IF(M$5="","",INDEX('Cash Flow'!$F$17:$BZ$17,1,MATCH(M$5,'Cash Flow'!$F$5:$BZ$5,0)))</f>
        <v>0</v>
      </c>
      <c r="N24" s="98">
        <f>IF(N$5="","",INDEX('Cash Flow'!$F$17:$BZ$17,1,MATCH(N$5,'Cash Flow'!$F$5:$BZ$5,0)))</f>
        <v>0</v>
      </c>
      <c r="O24" s="98">
        <f>IF(O$5="","",INDEX('Cash Flow'!$F$17:$BZ$17,1,MATCH(O$5,'Cash Flow'!$F$5:$BZ$5,0)))</f>
        <v>0</v>
      </c>
      <c r="P24" s="98">
        <f>IF(P$5="","",INDEX('Cash Flow'!$F$17:$BZ$17,1,MATCH(P$5,'Cash Flow'!$F$5:$BZ$5,0)))</f>
        <v>0</v>
      </c>
      <c r="Q24" s="98">
        <f>IF(Q$5="","",INDEX('Cash Flow'!$F$17:$BZ$17,1,MATCH(Q$5,'Cash Flow'!$F$5:$BZ$5,0)))</f>
        <v>0</v>
      </c>
      <c r="R24" s="98">
        <f>IF(R$5="","",INDEX('Cash Flow'!$F$17:$BZ$17,1,MATCH(R$5,'Cash Flow'!$F$5:$BZ$5,0)))</f>
        <v>0</v>
      </c>
      <c r="S24" s="98">
        <f>IF(S$5="","",INDEX('Cash Flow'!$F$17:$BZ$17,1,MATCH(S$5,'Cash Flow'!$F$5:$BZ$5,0)))</f>
        <v>0</v>
      </c>
      <c r="T24" s="98">
        <f>IF(T$5="","",INDEX('Cash Flow'!$F$17:$BZ$17,1,MATCH(T$5,'Cash Flow'!$F$5:$BZ$5,0)))</f>
        <v>0</v>
      </c>
      <c r="U24" s="98">
        <f>IF(U$5="","",INDEX('Cash Flow'!$F$17:$BZ$17,1,MATCH(U$5,'Cash Flow'!$F$5:$BZ$5,0)))</f>
        <v>0</v>
      </c>
      <c r="V24" s="98">
        <f>IF(V$5="","",INDEX('Cash Flow'!$F$17:$BZ$17,1,MATCH(V$5,'Cash Flow'!$F$5:$BZ$5,0)))</f>
        <v>0</v>
      </c>
      <c r="W24" s="98">
        <f>IF(W$5="","",INDEX('Cash Flow'!$F$17:$BZ$17,1,MATCH(W$5,'Cash Flow'!$F$5:$BZ$5,0)))</f>
        <v>0</v>
      </c>
      <c r="X24" s="98">
        <f>IF(X$5="","",INDEX('Cash Flow'!$F$17:$BZ$17,1,MATCH(X$5,'Cash Flow'!$F$5:$BZ$5,0)))</f>
        <v>0</v>
      </c>
      <c r="Y24" s="98">
        <f>IF(Y$5="","",INDEX('Cash Flow'!$F$17:$BZ$17,1,MATCH(Y$5,'Cash Flow'!$F$5:$BZ$5,0)))</f>
        <v>0</v>
      </c>
      <c r="Z24" s="98">
        <f>IF(Z$5="","",INDEX('Cash Flow'!$F$17:$BZ$17,1,MATCH(Z$5,'Cash Flow'!$F$5:$BZ$5,0)))</f>
        <v>0</v>
      </c>
      <c r="AA24" s="98">
        <f>IF(AA$5="","",INDEX('Cash Flow'!$F$17:$BZ$17,1,MATCH(AA$5,'Cash Flow'!$F$5:$BZ$5,0)))</f>
        <v>-16026.699056250003</v>
      </c>
      <c r="AB24" s="98">
        <f>IF(AB$5="","",INDEX('Cash Flow'!$F$17:$BZ$17,1,MATCH(AB$5,'Cash Flow'!$F$5:$BZ$5,0)))</f>
        <v>-16036.516556250002</v>
      </c>
      <c r="AC24" s="98">
        <f>IF(AC$5="","",INDEX('Cash Flow'!$F$17:$BZ$17,1,MATCH(AC$5,'Cash Flow'!$F$5:$BZ$5,0)))</f>
        <v>-16077.744881250001</v>
      </c>
      <c r="AD24" s="98">
        <f>IF(AD$5="","",INDEX('Cash Flow'!$F$17:$BZ$17,1,MATCH(AD$5,'Cash Flow'!$F$5:$BZ$5,0)))</f>
        <v>-16278.932381250001</v>
      </c>
      <c r="AE24" s="98">
        <f>IF(AE$5="","",INDEX('Cash Flow'!$F$17:$BZ$17,1,MATCH(AE$5,'Cash Flow'!$F$5:$BZ$5,0)))</f>
        <v>-15941.1396816375</v>
      </c>
      <c r="AF24" s="98">
        <f>IF(AF$5="","",INDEX('Cash Flow'!$F$17:$BZ$17,1,MATCH(AF$5,'Cash Flow'!$F$5:$BZ$5,0)))</f>
        <v>-15941.1396816375</v>
      </c>
      <c r="AG24" s="98">
        <f>IF(AG$5="","",INDEX('Cash Flow'!$F$17:$BZ$17,1,MATCH(AG$5,'Cash Flow'!$F$5:$BZ$5,0)))</f>
        <v>-15944.709681637501</v>
      </c>
      <c r="AH24" s="98">
        <f>IF(AH$5="","",INDEX('Cash Flow'!$F$17:$BZ$17,1,MATCH(AH$5,'Cash Flow'!$F$5:$BZ$5,0)))</f>
        <v>-15982.002968887502</v>
      </c>
      <c r="AI24" s="98">
        <f>IF(AI$5="","",INDEX('Cash Flow'!$F$17:$BZ$17,1,MATCH(AI$5,'Cash Flow'!$F$5:$BZ$5,0)))</f>
        <v>-16168.632628887503</v>
      </c>
      <c r="AJ24" s="98">
        <f>IF(AJ$5="","",INDEX('Cash Flow'!$F$17:$BZ$17,1,MATCH(AJ$5,'Cash Flow'!$F$5:$BZ$5,0)))</f>
        <v>-15198.894333887503</v>
      </c>
      <c r="AK24" s="98">
        <f>IF(AK$5="","",INDEX('Cash Flow'!$F$17:$BZ$17,1,MATCH(AK$5,'Cash Flow'!$F$5:$BZ$5,0)))</f>
        <v>-15246.196833887501</v>
      </c>
      <c r="AL24" s="98">
        <f>IF(AL$5="","",INDEX('Cash Flow'!$F$17:$BZ$17,1,MATCH(AL$5,'Cash Flow'!$F$5:$BZ$5,0)))</f>
        <v>-15252.444333887499</v>
      </c>
      <c r="AM24" s="98">
        <f>IF(AM$5="","",INDEX('Cash Flow'!$F$17:$BZ$17,1,MATCH(AM$5,'Cash Flow'!$F$5:$BZ$5,0)))</f>
        <v>-15307.9435538875</v>
      </c>
      <c r="AN24" s="98">
        <f>IF(AN$5="","",INDEX('Cash Flow'!$F$17:$BZ$17,1,MATCH(AN$5,'Cash Flow'!$F$5:$BZ$5,0)))</f>
        <v>-15771.9555788875</v>
      </c>
      <c r="AO24" s="98">
        <f>IF(AO$5="","",INDEX('Cash Flow'!$F$17:$BZ$17,1,MATCH(AO$5,'Cash Flow'!$F$5:$BZ$5,0)))</f>
        <v>-15201.079177637501</v>
      </c>
      <c r="AP24" s="98">
        <f>IF(AP$5="","",INDEX('Cash Flow'!$F$17:$BZ$17,1,MATCH(AP$5,'Cash Flow'!$F$5:$BZ$5,0)))</f>
        <v>-15229.802302637499</v>
      </c>
      <c r="AQ24" s="98">
        <f>IF(AQ$5="","",INDEX('Cash Flow'!$F$17:$BZ$17,1,MATCH(AQ$5,'Cash Flow'!$F$5:$BZ$5,0)))</f>
        <v>-15393.312072036626</v>
      </c>
      <c r="AR24" s="98">
        <f>IF(AR$5="","",INDEX('Cash Flow'!$F$17:$BZ$17,1,MATCH(AR$5,'Cash Flow'!$F$5:$BZ$5,0)))</f>
        <v>-15893.112072036625</v>
      </c>
      <c r="AS24" s="98">
        <f>IF(AS$5="","",INDEX('Cash Flow'!$F$17:$BZ$17,1,MATCH(AS$5,'Cash Flow'!$F$5:$BZ$5,0)))</f>
        <v>-16664.339172036623</v>
      </c>
      <c r="AT24" s="98">
        <f>IF(AT$5="","",INDEX('Cash Flow'!$F$17:$BZ$17,1,MATCH(AT$5,'Cash Flow'!$F$5:$BZ$5,0)))</f>
        <v>-16702.751257904125</v>
      </c>
      <c r="AU24" s="98">
        <f>IF(AU$5="","",INDEX('Cash Flow'!$F$17:$BZ$17,1,MATCH(AU$5,'Cash Flow'!$F$5:$BZ$5,0)))</f>
        <v>-16722.118507904124</v>
      </c>
      <c r="AV24" s="98">
        <f>IF(AV$5="","",INDEX('Cash Flow'!$F$17:$BZ$17,1,MATCH(AV$5,'Cash Flow'!$F$5:$BZ$5,0)))</f>
        <v>-16755.119587904126</v>
      </c>
      <c r="AW24" s="98">
        <f>IF(AW$5="","",INDEX('Cash Flow'!$F$17:$BZ$17,1,MATCH(AW$5,'Cash Flow'!$F$5:$BZ$5,0)))</f>
        <v>-16803.841162904126</v>
      </c>
      <c r="AX24" s="98">
        <f>IF(AX$5="","",INDEX('Cash Flow'!$F$17:$BZ$17,1,MATCH(AX$5,'Cash Flow'!$F$5:$BZ$5,0)))</f>
        <v>-17345.776087904123</v>
      </c>
      <c r="AY24" s="98">
        <f>IF(AY$5="","",INDEX('Cash Flow'!$F$17:$BZ$17,1,MATCH(AY$5,'Cash Flow'!$F$5:$BZ$5,0)))</f>
        <v>-17402.940284504126</v>
      </c>
      <c r="AZ24" s="98">
        <f>IF(AZ$5="","",INDEX('Cash Flow'!$F$17:$BZ$17,1,MATCH(AZ$5,'Cash Flow'!$F$5:$BZ$5,0)))</f>
        <v>-17434.622670254124</v>
      </c>
      <c r="BA24" s="98">
        <f>IF(BA$5="","",INDEX('Cash Flow'!$F$17:$BZ$17,1,MATCH(BA$5,'Cash Flow'!$F$5:$BZ$5,0)))</f>
        <v>-17459.961552966626</v>
      </c>
      <c r="BB24" s="98">
        <f>IF(BB$5="","",INDEX('Cash Flow'!$F$17:$BZ$17,1,MATCH(BB$5,'Cash Flow'!$F$5:$BZ$5,0)))</f>
        <v>-17489.546371716624</v>
      </c>
      <c r="BC24" s="98">
        <f>IF(BC$5="","",INDEX('Cash Flow'!$F$17:$BZ$17,1,MATCH(BC$5,'Cash Flow'!$F$5:$BZ$5,0)))</f>
        <v>-17657.961434197725</v>
      </c>
      <c r="BD24" s="98">
        <f>IF(BD$5="","",INDEX('Cash Flow'!$F$17:$BZ$17,1,MATCH(BD$5,'Cash Flow'!$F$5:$BZ$5,0)))</f>
        <v>-17672.955434197724</v>
      </c>
      <c r="BE24" s="98">
        <f>IF(BE$5="","",INDEX('Cash Flow'!$F$17:$BZ$17,1,MATCH(BE$5,'Cash Flow'!$F$5:$BZ$5,0)))</f>
        <v>-17699.769347197722</v>
      </c>
      <c r="BF24" s="98">
        <f>IF(BF$5="","",INDEX('Cash Flow'!$F$17:$BZ$17,1,MATCH(BF$5,'Cash Flow'!$F$5:$BZ$5,0)))</f>
        <v>-17739.333795641247</v>
      </c>
      <c r="BG24" s="98">
        <f>IF(BG$5="","",INDEX('Cash Flow'!$F$17:$BZ$17,1,MATCH(BG$5,'Cash Flow'!$F$5:$BZ$5,0)))</f>
        <v>-17759.282063141243</v>
      </c>
      <c r="BH24" s="98">
        <f>IF(BH$5="","",INDEX('Cash Flow'!$F$17:$BZ$17,1,MATCH(BH$5,'Cash Flow'!$F$5:$BZ$5,0)))</f>
        <v>-17793.27317554125</v>
      </c>
      <c r="BI24" s="98">
        <f>IF(BI$5="","",INDEX('Cash Flow'!$F$17:$BZ$17,1,MATCH(BI$5,'Cash Flow'!$F$5:$BZ$5,0)))</f>
        <v>-17843.456397791248</v>
      </c>
      <c r="BJ24" s="98">
        <f>IF(BJ$5="","",INDEX('Cash Flow'!$F$17:$BZ$17,1,MATCH(BJ$5,'Cash Flow'!$F$5:$BZ$5,0)))</f>
        <v>-17866.14937054125</v>
      </c>
      <c r="BK24" s="98">
        <f>IF(BK$5="","",INDEX('Cash Flow'!$F$17:$BZ$17,1,MATCH(BK$5,'Cash Flow'!$F$5:$BZ$5,0)))</f>
        <v>-17925.028493039248</v>
      </c>
      <c r="BL24" s="98">
        <f>IF(BL$5="","",INDEX('Cash Flow'!$F$17:$BZ$17,1,MATCH(BL$5,'Cash Flow'!$F$5:$BZ$5,0)))</f>
        <v>-17957.661350361748</v>
      </c>
      <c r="BM24" s="98">
        <f>IF(BM$5="","",INDEX('Cash Flow'!$F$17:$BZ$17,1,MATCH(BM$5,'Cash Flow'!$F$5:$BZ$5,0)))</f>
        <v>-17983.760399555624</v>
      </c>
      <c r="BN24" s="98">
        <f>IF(BN$5="","",INDEX('Cash Flow'!$F$17:$BZ$17,1,MATCH(BN$5,'Cash Flow'!$F$5:$BZ$5,0)))</f>
        <v>-18014.23276286812</v>
      </c>
    </row>
    <row r="25" spans="2:66" x14ac:dyDescent="0.2">
      <c r="B25" s="101" t="s">
        <v>295</v>
      </c>
      <c r="C25" s="101"/>
      <c r="D25" s="101"/>
      <c r="E25" s="101"/>
      <c r="F25" s="102">
        <f>IF(F$5="","",INDEX('Cash Flow'!$F$18:$BZ$18,1,MATCH(F$5,'Cash Flow'!$F$5:$BZ$5,0)))</f>
        <v>0</v>
      </c>
      <c r="G25" s="102">
        <f>G23+G24</f>
        <v>128004.21</v>
      </c>
      <c r="H25" s="102">
        <f t="shared" ref="H25:BN25" si="15">H23+H24</f>
        <v>227648.94999999998</v>
      </c>
      <c r="I25" s="102">
        <f t="shared" si="15"/>
        <v>219190.41</v>
      </c>
      <c r="J25" s="102">
        <f t="shared" si="15"/>
        <v>253802.50999999998</v>
      </c>
      <c r="K25" s="102">
        <f t="shared" si="15"/>
        <v>210597.42</v>
      </c>
      <c r="L25" s="102">
        <f t="shared" si="15"/>
        <v>243563.95</v>
      </c>
      <c r="M25" s="102">
        <f t="shared" si="15"/>
        <v>235514.46</v>
      </c>
      <c r="N25" s="102">
        <f t="shared" si="15"/>
        <v>259837.64</v>
      </c>
      <c r="O25" s="102">
        <f t="shared" si="15"/>
        <v>267600.3</v>
      </c>
      <c r="P25" s="102">
        <f t="shared" si="15"/>
        <v>238591.47</v>
      </c>
      <c r="Q25" s="102">
        <f t="shared" si="15"/>
        <v>256077.6875</v>
      </c>
      <c r="R25" s="102">
        <f t="shared" si="15"/>
        <v>271202.6875</v>
      </c>
      <c r="S25" s="102">
        <f t="shared" si="15"/>
        <v>274574.40692500002</v>
      </c>
      <c r="T25" s="102">
        <f t="shared" si="15"/>
        <v>274574.40692500002</v>
      </c>
      <c r="U25" s="102">
        <f t="shared" si="15"/>
        <v>270743.50692499999</v>
      </c>
      <c r="V25" s="102">
        <f t="shared" si="15"/>
        <v>271467.64842500002</v>
      </c>
      <c r="W25" s="102">
        <f t="shared" si="15"/>
        <v>271734.99522499996</v>
      </c>
      <c r="X25" s="102">
        <f t="shared" si="15"/>
        <v>284031.95112500002</v>
      </c>
      <c r="Y25" s="102">
        <f t="shared" si="15"/>
        <v>315566.95112500002</v>
      </c>
      <c r="Z25" s="102">
        <f t="shared" si="15"/>
        <v>307150.50112500001</v>
      </c>
      <c r="AA25" s="102">
        <f t="shared" si="15"/>
        <v>320507.28206875006</v>
      </c>
      <c r="AB25" s="102">
        <f t="shared" si="15"/>
        <v>320693.81456875004</v>
      </c>
      <c r="AC25" s="102">
        <f t="shared" si="15"/>
        <v>321957.15274374996</v>
      </c>
      <c r="AD25" s="102">
        <f t="shared" si="15"/>
        <v>325779.71524374996</v>
      </c>
      <c r="AE25" s="102">
        <f t="shared" si="15"/>
        <v>319361.65395111247</v>
      </c>
      <c r="AF25" s="102">
        <f t="shared" si="15"/>
        <v>319361.65395111247</v>
      </c>
      <c r="AG25" s="102">
        <f t="shared" si="15"/>
        <v>319429.48395111249</v>
      </c>
      <c r="AH25" s="102">
        <f t="shared" si="15"/>
        <v>320138.05640886253</v>
      </c>
      <c r="AI25" s="102">
        <f t="shared" si="15"/>
        <v>323684.01994886255</v>
      </c>
      <c r="AJ25" s="102">
        <f t="shared" si="15"/>
        <v>305258.99234386254</v>
      </c>
      <c r="AK25" s="102">
        <f t="shared" si="15"/>
        <v>306157.73984386254</v>
      </c>
      <c r="AL25" s="102">
        <f t="shared" si="15"/>
        <v>306276.44234386249</v>
      </c>
      <c r="AM25" s="102">
        <f t="shared" si="15"/>
        <v>307330.92752386251</v>
      </c>
      <c r="AN25" s="102">
        <f t="shared" si="15"/>
        <v>316147.15599886252</v>
      </c>
      <c r="AO25" s="102">
        <f t="shared" si="15"/>
        <v>305794.9043751125</v>
      </c>
      <c r="AP25" s="102">
        <f t="shared" si="15"/>
        <v>306849.87575011246</v>
      </c>
      <c r="AQ25" s="102">
        <f t="shared" si="15"/>
        <v>309956.56136869587</v>
      </c>
      <c r="AR25" s="102">
        <f t="shared" si="15"/>
        <v>319452.76136869588</v>
      </c>
      <c r="AS25" s="102">
        <f t="shared" si="15"/>
        <v>334106.07626869582</v>
      </c>
      <c r="AT25" s="102">
        <f t="shared" si="15"/>
        <v>334835.90590017836</v>
      </c>
      <c r="AU25" s="102">
        <f t="shared" si="15"/>
        <v>335203.88365017832</v>
      </c>
      <c r="AV25" s="102">
        <f t="shared" si="15"/>
        <v>335830.90417017834</v>
      </c>
      <c r="AW25" s="102">
        <f t="shared" si="15"/>
        <v>336756.61409517837</v>
      </c>
      <c r="AX25" s="102">
        <f t="shared" si="15"/>
        <v>347053.37767017831</v>
      </c>
      <c r="AY25" s="102">
        <f t="shared" si="15"/>
        <v>348139.49740557832</v>
      </c>
      <c r="AZ25" s="102">
        <f t="shared" si="15"/>
        <v>348741.4627348283</v>
      </c>
      <c r="BA25" s="102">
        <f t="shared" si="15"/>
        <v>349747.41046636587</v>
      </c>
      <c r="BB25" s="102">
        <f t="shared" si="15"/>
        <v>350309.52202261589</v>
      </c>
      <c r="BC25" s="102">
        <f t="shared" si="15"/>
        <v>353509.40820975672</v>
      </c>
      <c r="BD25" s="102">
        <f t="shared" si="15"/>
        <v>353794.29420975671</v>
      </c>
      <c r="BE25" s="102">
        <f t="shared" si="15"/>
        <v>354303.75855675666</v>
      </c>
      <c r="BF25" s="102">
        <f t="shared" si="15"/>
        <v>355055.48307718366</v>
      </c>
      <c r="BG25" s="102">
        <f t="shared" si="15"/>
        <v>355434.50015968364</v>
      </c>
      <c r="BH25" s="102">
        <f t="shared" si="15"/>
        <v>356080.33129528369</v>
      </c>
      <c r="BI25" s="102">
        <f t="shared" si="15"/>
        <v>357033.81251803366</v>
      </c>
      <c r="BJ25" s="102">
        <f t="shared" si="15"/>
        <v>357464.9790002837</v>
      </c>
      <c r="BK25" s="102">
        <f t="shared" si="15"/>
        <v>358583.68232774566</v>
      </c>
      <c r="BL25" s="102">
        <f t="shared" si="15"/>
        <v>359203.70661687315</v>
      </c>
      <c r="BM25" s="102">
        <f t="shared" si="15"/>
        <v>360239.83278035681</v>
      </c>
      <c r="BN25" s="102">
        <f t="shared" si="15"/>
        <v>360818.80768329429</v>
      </c>
    </row>
    <row r="26" spans="2:66" x14ac:dyDescent="0.2">
      <c r="B26" s="68"/>
      <c r="C26" s="68"/>
      <c r="D26" s="68"/>
      <c r="E26" s="68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</row>
    <row r="27" spans="2:66" x14ac:dyDescent="0.2">
      <c r="B27" s="68" t="s">
        <v>599</v>
      </c>
      <c r="C27" s="68"/>
      <c r="D27" s="68"/>
      <c r="E27" s="68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77">
        <f>Q20/Q17</f>
        <v>0.61766930318770463</v>
      </c>
      <c r="R27" s="77">
        <f t="shared" ref="R27:BN27" si="16">R20/R17</f>
        <v>0.68670066615100334</v>
      </c>
      <c r="S27" s="77">
        <f t="shared" si="16"/>
        <v>0.68193869038482591</v>
      </c>
      <c r="T27" s="77">
        <f t="shared" si="16"/>
        <v>0.68193869038482591</v>
      </c>
      <c r="U27" s="77">
        <f t="shared" si="16"/>
        <v>0.66620618834286982</v>
      </c>
      <c r="V27" s="77">
        <f t="shared" si="16"/>
        <v>0.6672439548080894</v>
      </c>
      <c r="W27" s="77">
        <f t="shared" si="16"/>
        <v>0.66762546017664737</v>
      </c>
      <c r="X27" s="77">
        <f t="shared" si="16"/>
        <v>0.7176735641334846</v>
      </c>
      <c r="Y27" s="77">
        <f t="shared" si="16"/>
        <v>0.85586461309934347</v>
      </c>
      <c r="Z27" s="77">
        <f t="shared" si="16"/>
        <v>0.82745877885714003</v>
      </c>
      <c r="AA27" s="77">
        <f t="shared" si="16"/>
        <v>0.95737019393835276</v>
      </c>
      <c r="AB27" s="77">
        <f t="shared" si="16"/>
        <v>0.95740650898358315</v>
      </c>
      <c r="AC27" s="77">
        <f t="shared" si="16"/>
        <v>0.95755833995680817</v>
      </c>
      <c r="AD27" s="77">
        <f t="shared" si="16"/>
        <v>0.97304454641174187</v>
      </c>
      <c r="AE27" s="77">
        <f t="shared" si="16"/>
        <v>0.93430077029933845</v>
      </c>
      <c r="AF27" s="77">
        <f t="shared" si="16"/>
        <v>0.93430077029933845</v>
      </c>
      <c r="AG27" s="77">
        <f t="shared" si="16"/>
        <v>0.93432107643903506</v>
      </c>
      <c r="AH27" s="77">
        <f t="shared" si="16"/>
        <v>0.93453245240960425</v>
      </c>
      <c r="AI27" s="77">
        <f t="shared" si="16"/>
        <v>0.92091110925303421</v>
      </c>
      <c r="AJ27" s="77">
        <f t="shared" si="16"/>
        <v>0.8542816089829206</v>
      </c>
      <c r="AK27" s="77">
        <f t="shared" si="16"/>
        <v>0.85486540342789474</v>
      </c>
      <c r="AL27" s="77">
        <f t="shared" si="16"/>
        <v>0.85494215883352032</v>
      </c>
      <c r="AM27" s="77">
        <f t="shared" si="16"/>
        <v>0.85562046268255743</v>
      </c>
      <c r="AN27" s="77">
        <f t="shared" si="16"/>
        <v>0.89337886344623618</v>
      </c>
      <c r="AO27" s="77">
        <f t="shared" si="16"/>
        <v>0.84787492613796489</v>
      </c>
      <c r="AP27" s="77">
        <f t="shared" si="16"/>
        <v>0.84824273516739768</v>
      </c>
      <c r="AQ27" s="77">
        <f t="shared" si="16"/>
        <v>0.848356660802975</v>
      </c>
      <c r="AR27" s="77">
        <f t="shared" si="16"/>
        <v>0.89039639840215024</v>
      </c>
      <c r="AS27" s="77">
        <f t="shared" si="16"/>
        <v>0.95497135101777864</v>
      </c>
      <c r="AT27" s="77">
        <f t="shared" si="16"/>
        <v>0.95511632356029486</v>
      </c>
      <c r="AU27" s="77">
        <f t="shared" si="16"/>
        <v>0.95518906483608224</v>
      </c>
      <c r="AV27" s="77">
        <f t="shared" si="16"/>
        <v>0.95531247161593646</v>
      </c>
      <c r="AW27" s="77">
        <f t="shared" si="16"/>
        <v>0.95549342734212317</v>
      </c>
      <c r="AX27" s="77">
        <f t="shared" si="16"/>
        <v>1</v>
      </c>
      <c r="AY27" s="77">
        <f t="shared" si="16"/>
        <v>1</v>
      </c>
      <c r="AZ27" s="77">
        <f t="shared" si="16"/>
        <v>1</v>
      </c>
      <c r="BA27" s="77">
        <f t="shared" si="16"/>
        <v>1</v>
      </c>
      <c r="BB27" s="77">
        <f t="shared" si="16"/>
        <v>1</v>
      </c>
      <c r="BC27" s="77">
        <f t="shared" si="16"/>
        <v>1</v>
      </c>
      <c r="BD27" s="77">
        <f t="shared" si="16"/>
        <v>1</v>
      </c>
      <c r="BE27" s="77">
        <f t="shared" si="16"/>
        <v>1</v>
      </c>
      <c r="BF27" s="77">
        <f t="shared" si="16"/>
        <v>1</v>
      </c>
      <c r="BG27" s="77">
        <f t="shared" si="16"/>
        <v>1</v>
      </c>
      <c r="BH27" s="77">
        <f t="shared" si="16"/>
        <v>1</v>
      </c>
      <c r="BI27" s="77">
        <f t="shared" si="16"/>
        <v>1</v>
      </c>
      <c r="BJ27" s="77">
        <f t="shared" si="16"/>
        <v>1</v>
      </c>
      <c r="BK27" s="77">
        <f t="shared" si="16"/>
        <v>1</v>
      </c>
      <c r="BL27" s="77">
        <f t="shared" si="16"/>
        <v>1</v>
      </c>
      <c r="BM27" s="77">
        <f t="shared" si="16"/>
        <v>1</v>
      </c>
      <c r="BN27" s="77">
        <f t="shared" si="16"/>
        <v>1</v>
      </c>
    </row>
    <row r="28" spans="2:66" x14ac:dyDescent="0.2">
      <c r="B28" s="68"/>
      <c r="C28" s="68"/>
      <c r="D28" s="68"/>
      <c r="E28" s="68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1"/>
      <c r="BE28" s="131"/>
      <c r="BF28" s="131"/>
      <c r="BG28" s="131"/>
      <c r="BH28" s="131"/>
      <c r="BI28" s="131"/>
      <c r="BJ28" s="131"/>
      <c r="BK28" s="131"/>
      <c r="BL28" s="131"/>
      <c r="BM28" s="131"/>
      <c r="BN28" s="131"/>
    </row>
    <row r="29" spans="2:66" x14ac:dyDescent="0.2">
      <c r="B29" s="65"/>
      <c r="C29" s="65"/>
      <c r="D29" s="65"/>
      <c r="E29" s="65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</row>
    <row r="30" spans="2:66" x14ac:dyDescent="0.2">
      <c r="B30" s="67" t="s">
        <v>61</v>
      </c>
      <c r="C30" s="67"/>
      <c r="D30" s="67"/>
      <c r="E30" s="67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</row>
    <row r="31" spans="2:66" x14ac:dyDescent="0.2">
      <c r="B31" s="65" t="s">
        <v>276</v>
      </c>
      <c r="C31" s="65"/>
      <c r="D31" s="65"/>
      <c r="E31" s="65"/>
      <c r="F31" s="98">
        <f>IF(F$5="","",INDEX('Cash Flow'!$F$21:$BZ$21,1,MATCH(F$5,'Cash Flow'!$F$5:$BZ$5,0)))</f>
        <v>0</v>
      </c>
      <c r="G31" s="98">
        <f>IF(G$5="","",INDEX('Cash Flow'!$F$21:$BZ$21,1,MATCH(G$5,'Cash Flow'!$F$5:$BZ$5,0)))</f>
        <v>-29234.25</v>
      </c>
      <c r="H31" s="98">
        <f>IF(H$5="","",INDEX('Cash Flow'!$F$21:$BZ$21,1,MATCH(H$5,'Cash Flow'!$F$5:$BZ$5,0)))</f>
        <v>-42334.55</v>
      </c>
      <c r="I31" s="98">
        <f>IF(I$5="","",INDEX('Cash Flow'!$F$21:$BZ$21,1,MATCH(I$5,'Cash Flow'!$F$5:$BZ$5,0)))</f>
        <v>-25405.200000000001</v>
      </c>
      <c r="J31" s="98">
        <f>IF(J$5="","",INDEX('Cash Flow'!$F$21:$BZ$21,1,MATCH(J$5,'Cash Flow'!$F$5:$BZ$5,0)))</f>
        <v>-17614.61</v>
      </c>
      <c r="K31" s="98">
        <f>IF(K$5="","",INDEX('Cash Flow'!$F$21:$BZ$21,1,MATCH(K$5,'Cash Flow'!$F$5:$BZ$5,0)))</f>
        <v>-21129.95</v>
      </c>
      <c r="L31" s="98">
        <f>IF(L$5="","",INDEX('Cash Flow'!$F$21:$BZ$21,1,MATCH(L$5,'Cash Flow'!$F$5:$BZ$5,0)))</f>
        <v>-44306.55</v>
      </c>
      <c r="M31" s="98">
        <f>IF(M$5="","",INDEX('Cash Flow'!$F$21:$BZ$21,1,MATCH(M$5,'Cash Flow'!$F$5:$BZ$5,0)))</f>
        <v>-27865.599999999999</v>
      </c>
      <c r="N31" s="98">
        <f>IF(N$5="","",INDEX('Cash Flow'!$F$21:$BZ$21,1,MATCH(N$5,'Cash Flow'!$F$5:$BZ$5,0)))</f>
        <v>-9160</v>
      </c>
      <c r="O31" s="98">
        <f>IF(O$5="","",INDEX('Cash Flow'!$F$21:$BZ$21,1,MATCH(O$5,'Cash Flow'!$F$5:$BZ$5,0)))</f>
        <v>-58108.55</v>
      </c>
      <c r="P31" s="98">
        <f>IF(P$5="","",INDEX('Cash Flow'!$F$21:$BZ$21,1,MATCH(P$5,'Cash Flow'!$F$5:$BZ$5,0)))</f>
        <v>-9794.2999999999993</v>
      </c>
      <c r="Q31" s="98">
        <f>IF(Q$5="","",INDEX('Cash Flow'!$F$21:$BZ$21,1,MATCH(Q$5,'Cash Flow'!$F$5:$BZ$5,0)))</f>
        <v>-23225</v>
      </c>
      <c r="R31" s="98">
        <f>IF(R$5="","",INDEX('Cash Flow'!$F$21:$BZ$21,1,MATCH(R$5,'Cash Flow'!$F$5:$BZ$5,0)))</f>
        <v>-23225</v>
      </c>
      <c r="S31" s="98">
        <f>IF(S$5="","",INDEX('Cash Flow'!$F$21:$BZ$21,1,MATCH(S$5,'Cash Flow'!$F$5:$BZ$5,0)))</f>
        <v>-23225</v>
      </c>
      <c r="T31" s="98">
        <f>IF(T$5="","",INDEX('Cash Flow'!$F$21:$BZ$21,1,MATCH(T$5,'Cash Flow'!$F$5:$BZ$5,0)))</f>
        <v>-23225</v>
      </c>
      <c r="U31" s="98">
        <f>IF(U$5="","",INDEX('Cash Flow'!$F$21:$BZ$21,1,MATCH(U$5,'Cash Flow'!$F$5:$BZ$5,0)))</f>
        <v>-23225</v>
      </c>
      <c r="V31" s="98">
        <f>IF(V$5="","",INDEX('Cash Flow'!$F$21:$BZ$21,1,MATCH(V$5,'Cash Flow'!$F$5:$BZ$5,0)))</f>
        <v>-23225</v>
      </c>
      <c r="W31" s="98">
        <f>IF(W$5="","",INDEX('Cash Flow'!$F$21:$BZ$21,1,MATCH(W$5,'Cash Flow'!$F$5:$BZ$5,0)))</f>
        <v>-23225</v>
      </c>
      <c r="X31" s="98">
        <f>IF(X$5="","",INDEX('Cash Flow'!$F$21:$BZ$21,1,MATCH(X$5,'Cash Flow'!$F$5:$BZ$5,0)))</f>
        <v>-23225</v>
      </c>
      <c r="Y31" s="98">
        <f>IF(Y$5="","",INDEX('Cash Flow'!$F$21:$BZ$21,1,MATCH(Y$5,'Cash Flow'!$F$5:$BZ$5,0)))</f>
        <v>-23225</v>
      </c>
      <c r="Z31" s="98">
        <f>IF(Z$5="","",INDEX('Cash Flow'!$F$21:$BZ$21,1,MATCH(Z$5,'Cash Flow'!$F$5:$BZ$5,0)))</f>
        <v>-23225</v>
      </c>
      <c r="AA31" s="98">
        <f>IF(AA$5="","",INDEX('Cash Flow'!$F$21:$BZ$21,1,MATCH(AA$5,'Cash Flow'!$F$5:$BZ$5,0)))</f>
        <v>-23225</v>
      </c>
      <c r="AB31" s="98">
        <f>IF(AB$5="","",INDEX('Cash Flow'!$F$21:$BZ$21,1,MATCH(AB$5,'Cash Flow'!$F$5:$BZ$5,0)))</f>
        <v>-23225</v>
      </c>
      <c r="AC31" s="98">
        <f>IF(AC$5="","",INDEX('Cash Flow'!$F$21:$BZ$21,1,MATCH(AC$5,'Cash Flow'!$F$5:$BZ$5,0)))</f>
        <v>-23225</v>
      </c>
      <c r="AD31" s="98">
        <f>IF(AD$5="","",INDEX('Cash Flow'!$F$21:$BZ$21,1,MATCH(AD$5,'Cash Flow'!$F$5:$BZ$5,0)))</f>
        <v>-23225</v>
      </c>
      <c r="AE31" s="98">
        <f>IF(AE$5="","",INDEX('Cash Flow'!$F$21:$BZ$21,1,MATCH(AE$5,'Cash Flow'!$F$5:$BZ$5,0)))</f>
        <v>-23921.75</v>
      </c>
      <c r="AF31" s="98">
        <f>IF(AF$5="","",INDEX('Cash Flow'!$F$21:$BZ$21,1,MATCH(AF$5,'Cash Flow'!$F$5:$BZ$5,0)))</f>
        <v>-23921.75</v>
      </c>
      <c r="AG31" s="98">
        <f>IF(AG$5="","",INDEX('Cash Flow'!$F$21:$BZ$21,1,MATCH(AG$5,'Cash Flow'!$F$5:$BZ$5,0)))</f>
        <v>-23921.75</v>
      </c>
      <c r="AH31" s="98">
        <f>IF(AH$5="","",INDEX('Cash Flow'!$F$21:$BZ$21,1,MATCH(AH$5,'Cash Flow'!$F$5:$BZ$5,0)))</f>
        <v>-23921.75</v>
      </c>
      <c r="AI31" s="98">
        <f>IF(AI$5="","",INDEX('Cash Flow'!$F$21:$BZ$21,1,MATCH(AI$5,'Cash Flow'!$F$5:$BZ$5,0)))</f>
        <v>-23921.75</v>
      </c>
      <c r="AJ31" s="98">
        <f>IF(AJ$5="","",INDEX('Cash Flow'!$F$21:$BZ$21,1,MATCH(AJ$5,'Cash Flow'!$F$5:$BZ$5,0)))</f>
        <v>-23921.75</v>
      </c>
      <c r="AK31" s="98">
        <f>IF(AK$5="","",INDEX('Cash Flow'!$F$21:$BZ$21,1,MATCH(AK$5,'Cash Flow'!$F$5:$BZ$5,0)))</f>
        <v>-23921.75</v>
      </c>
      <c r="AL31" s="98">
        <f>IF(AL$5="","",INDEX('Cash Flow'!$F$21:$BZ$21,1,MATCH(AL$5,'Cash Flow'!$F$5:$BZ$5,0)))</f>
        <v>-23921.75</v>
      </c>
      <c r="AM31" s="98">
        <f>IF(AM$5="","",INDEX('Cash Flow'!$F$21:$BZ$21,1,MATCH(AM$5,'Cash Flow'!$F$5:$BZ$5,0)))</f>
        <v>-23921.75</v>
      </c>
      <c r="AN31" s="98">
        <f>IF(AN$5="","",INDEX('Cash Flow'!$F$21:$BZ$21,1,MATCH(AN$5,'Cash Flow'!$F$5:$BZ$5,0)))</f>
        <v>-23921.75</v>
      </c>
      <c r="AO31" s="98">
        <f>IF(AO$5="","",INDEX('Cash Flow'!$F$21:$BZ$21,1,MATCH(AO$5,'Cash Flow'!$F$5:$BZ$5,0)))</f>
        <v>-23921.75</v>
      </c>
      <c r="AP31" s="98">
        <f>IF(AP$5="","",INDEX('Cash Flow'!$F$21:$BZ$21,1,MATCH(AP$5,'Cash Flow'!$F$5:$BZ$5,0)))</f>
        <v>-23921.75</v>
      </c>
      <c r="AQ31" s="98">
        <f>IF(AQ$5="","",INDEX('Cash Flow'!$F$21:$BZ$21,1,MATCH(AQ$5,'Cash Flow'!$F$5:$BZ$5,0)))</f>
        <v>-24639.4025</v>
      </c>
      <c r="AR31" s="98">
        <f>IF(AR$5="","",INDEX('Cash Flow'!$F$21:$BZ$21,1,MATCH(AR$5,'Cash Flow'!$F$5:$BZ$5,0)))</f>
        <v>-24639.4025</v>
      </c>
      <c r="AS31" s="98">
        <f>IF(AS$5="","",INDEX('Cash Flow'!$F$21:$BZ$21,1,MATCH(AS$5,'Cash Flow'!$F$5:$BZ$5,0)))</f>
        <v>-24639.4025</v>
      </c>
      <c r="AT31" s="98">
        <f>IF(AT$5="","",INDEX('Cash Flow'!$F$21:$BZ$21,1,MATCH(AT$5,'Cash Flow'!$F$5:$BZ$5,0)))</f>
        <v>-24639.4025</v>
      </c>
      <c r="AU31" s="98">
        <f>IF(AU$5="","",INDEX('Cash Flow'!$F$21:$BZ$21,1,MATCH(AU$5,'Cash Flow'!$F$5:$BZ$5,0)))</f>
        <v>-24639.4025</v>
      </c>
      <c r="AV31" s="98">
        <f>IF(AV$5="","",INDEX('Cash Flow'!$F$21:$BZ$21,1,MATCH(AV$5,'Cash Flow'!$F$5:$BZ$5,0)))</f>
        <v>-24639.4025</v>
      </c>
      <c r="AW31" s="98">
        <f>IF(AW$5="","",INDEX('Cash Flow'!$F$21:$BZ$21,1,MATCH(AW$5,'Cash Flow'!$F$5:$BZ$5,0)))</f>
        <v>-24639.4025</v>
      </c>
      <c r="AX31" s="98">
        <f>IF(AX$5="","",INDEX('Cash Flow'!$F$21:$BZ$21,1,MATCH(AX$5,'Cash Flow'!$F$5:$BZ$5,0)))</f>
        <v>-24639.4025</v>
      </c>
      <c r="AY31" s="98">
        <f>IF(AY$5="","",INDEX('Cash Flow'!$F$21:$BZ$21,1,MATCH(AY$5,'Cash Flow'!$F$5:$BZ$5,0)))</f>
        <v>-24639.4025</v>
      </c>
      <c r="AZ31" s="98">
        <f>IF(AZ$5="","",INDEX('Cash Flow'!$F$21:$BZ$21,1,MATCH(AZ$5,'Cash Flow'!$F$5:$BZ$5,0)))</f>
        <v>-24639.4025</v>
      </c>
      <c r="BA31" s="98">
        <f>IF(BA$5="","",INDEX('Cash Flow'!$F$21:$BZ$21,1,MATCH(BA$5,'Cash Flow'!$F$5:$BZ$5,0)))</f>
        <v>-24639.4025</v>
      </c>
      <c r="BB31" s="98">
        <f>IF(BB$5="","",INDEX('Cash Flow'!$F$21:$BZ$21,1,MATCH(BB$5,'Cash Flow'!$F$5:$BZ$5,0)))</f>
        <v>-24639.4025</v>
      </c>
      <c r="BC31" s="98">
        <f>IF(BC$5="","",INDEX('Cash Flow'!$F$21:$BZ$21,1,MATCH(BC$5,'Cash Flow'!$F$5:$BZ$5,0)))</f>
        <v>-25378.584575000001</v>
      </c>
      <c r="BD31" s="98">
        <f>IF(BD$5="","",INDEX('Cash Flow'!$F$21:$BZ$21,1,MATCH(BD$5,'Cash Flow'!$F$5:$BZ$5,0)))</f>
        <v>-25378.584575000001</v>
      </c>
      <c r="BE31" s="98">
        <f>IF(BE$5="","",INDEX('Cash Flow'!$F$21:$BZ$21,1,MATCH(BE$5,'Cash Flow'!$F$5:$BZ$5,0)))</f>
        <v>-25378.584575000001</v>
      </c>
      <c r="BF31" s="98">
        <f>IF(BF$5="","",INDEX('Cash Flow'!$F$21:$BZ$21,1,MATCH(BF$5,'Cash Flow'!$F$5:$BZ$5,0)))</f>
        <v>-25378.584575000001</v>
      </c>
      <c r="BG31" s="98">
        <f>IF(BG$5="","",INDEX('Cash Flow'!$F$21:$BZ$21,1,MATCH(BG$5,'Cash Flow'!$F$5:$BZ$5,0)))</f>
        <v>-25378.584575000001</v>
      </c>
      <c r="BH31" s="98">
        <f>IF(BH$5="","",INDEX('Cash Flow'!$F$21:$BZ$21,1,MATCH(BH$5,'Cash Flow'!$F$5:$BZ$5,0)))</f>
        <v>-25378.584575000001</v>
      </c>
      <c r="BI31" s="98">
        <f>IF(BI$5="","",INDEX('Cash Flow'!$F$21:$BZ$21,1,MATCH(BI$5,'Cash Flow'!$F$5:$BZ$5,0)))</f>
        <v>-25378.584575000001</v>
      </c>
      <c r="BJ31" s="98">
        <f>IF(BJ$5="","",INDEX('Cash Flow'!$F$21:$BZ$21,1,MATCH(BJ$5,'Cash Flow'!$F$5:$BZ$5,0)))</f>
        <v>-25378.584575000001</v>
      </c>
      <c r="BK31" s="98">
        <f>IF(BK$5="","",INDEX('Cash Flow'!$F$21:$BZ$21,1,MATCH(BK$5,'Cash Flow'!$F$5:$BZ$5,0)))</f>
        <v>-25378.584575000001</v>
      </c>
      <c r="BL31" s="98">
        <f>IF(BL$5="","",INDEX('Cash Flow'!$F$21:$BZ$21,1,MATCH(BL$5,'Cash Flow'!$F$5:$BZ$5,0)))</f>
        <v>-25378.584575000001</v>
      </c>
      <c r="BM31" s="98">
        <f>IF(BM$5="","",INDEX('Cash Flow'!$F$21:$BZ$21,1,MATCH(BM$5,'Cash Flow'!$F$5:$BZ$5,0)))</f>
        <v>-25378.584575000001</v>
      </c>
      <c r="BN31" s="98">
        <f>IF(BN$5="","",INDEX('Cash Flow'!$F$21:$BZ$21,1,MATCH(BN$5,'Cash Flow'!$F$5:$BZ$5,0)))</f>
        <v>-25378.584575000001</v>
      </c>
    </row>
    <row r="32" spans="2:66" x14ac:dyDescent="0.2">
      <c r="B32" s="65" t="s">
        <v>277</v>
      </c>
      <c r="C32" s="65"/>
      <c r="D32" s="65"/>
      <c r="E32" s="65"/>
      <c r="F32" s="98">
        <f>IF(F$5="","",INDEX('Cash Flow'!$F$22:$BZ$22,1,MATCH(F$5,'Cash Flow'!$F$5:$BZ$5,0)))</f>
        <v>0</v>
      </c>
      <c r="G32" s="98">
        <f>IF(G$5="","",INDEX('Cash Flow'!$F$22:$BZ$22,1,MATCH(G$5,'Cash Flow'!$F$5:$BZ$5,0)))</f>
        <v>-40396.370000000003</v>
      </c>
      <c r="H32" s="98">
        <f>IF(H$5="","",INDEX('Cash Flow'!$F$22:$BZ$22,1,MATCH(H$5,'Cash Flow'!$F$5:$BZ$5,0)))</f>
        <v>-16313.27</v>
      </c>
      <c r="I32" s="98">
        <f>IF(I$5="","",INDEX('Cash Flow'!$F$22:$BZ$22,1,MATCH(I$5,'Cash Flow'!$F$5:$BZ$5,0)))</f>
        <v>-83090.98</v>
      </c>
      <c r="J32" s="98">
        <f>IF(J$5="","",INDEX('Cash Flow'!$F$22:$BZ$22,1,MATCH(J$5,'Cash Flow'!$F$5:$BZ$5,0)))</f>
        <v>8019.18</v>
      </c>
      <c r="K32" s="98">
        <f>IF(K$5="","",INDEX('Cash Flow'!$F$22:$BZ$22,1,MATCH(K$5,'Cash Flow'!$F$5:$BZ$5,0)))</f>
        <v>-75673.95</v>
      </c>
      <c r="L32" s="98">
        <f>IF(L$5="","",INDEX('Cash Flow'!$F$22:$BZ$22,1,MATCH(L$5,'Cash Flow'!$F$5:$BZ$5,0)))</f>
        <v>-72184.23</v>
      </c>
      <c r="M32" s="98">
        <f>IF(M$5="","",INDEX('Cash Flow'!$F$22:$BZ$22,1,MATCH(M$5,'Cash Flow'!$F$5:$BZ$5,0)))</f>
        <v>-53183.94</v>
      </c>
      <c r="N32" s="98">
        <f>IF(N$5="","",INDEX('Cash Flow'!$F$22:$BZ$22,1,MATCH(N$5,'Cash Flow'!$F$5:$BZ$5,0)))</f>
        <v>-25909.1</v>
      </c>
      <c r="O32" s="98">
        <f>IF(O$5="","",INDEX('Cash Flow'!$F$22:$BZ$22,1,MATCH(O$5,'Cash Flow'!$F$5:$BZ$5,0)))</f>
        <v>-52210.73</v>
      </c>
      <c r="P32" s="98">
        <f>IF(P$5="","",INDEX('Cash Flow'!$F$22:$BZ$22,1,MATCH(P$5,'Cash Flow'!$F$5:$BZ$5,0)))</f>
        <v>-47304.92</v>
      </c>
      <c r="Q32" s="98">
        <f>IF(Q$5="","",INDEX('Cash Flow'!$F$22:$BZ$22,1,MATCH(Q$5,'Cash Flow'!$F$5:$BZ$5,0)))</f>
        <v>-39332.979941666665</v>
      </c>
      <c r="R32" s="98">
        <f>IF(R$5="","",INDEX('Cash Flow'!$F$22:$BZ$22,1,MATCH(R$5,'Cash Flow'!$F$5:$BZ$5,0)))</f>
        <v>-39332.979941666665</v>
      </c>
      <c r="S32" s="98">
        <f>IF(S$5="","",INDEX('Cash Flow'!$F$22:$BZ$22,1,MATCH(S$5,'Cash Flow'!$F$5:$BZ$5,0)))</f>
        <v>-39332.979941666665</v>
      </c>
      <c r="T32" s="98">
        <f>IF(T$5="","",INDEX('Cash Flow'!$F$22:$BZ$22,1,MATCH(T$5,'Cash Flow'!$F$5:$BZ$5,0)))</f>
        <v>-39332.979941666665</v>
      </c>
      <c r="U32" s="98">
        <f>IF(U$5="","",INDEX('Cash Flow'!$F$22:$BZ$22,1,MATCH(U$5,'Cash Flow'!$F$5:$BZ$5,0)))</f>
        <v>-39332.979941666665</v>
      </c>
      <c r="V32" s="98">
        <f>IF(V$5="","",INDEX('Cash Flow'!$F$22:$BZ$22,1,MATCH(V$5,'Cash Flow'!$F$5:$BZ$5,0)))</f>
        <v>-39332.979941666665</v>
      </c>
      <c r="W32" s="98">
        <f>IF(W$5="","",INDEX('Cash Flow'!$F$22:$BZ$22,1,MATCH(W$5,'Cash Flow'!$F$5:$BZ$5,0)))</f>
        <v>-39332.979941666665</v>
      </c>
      <c r="X32" s="98">
        <f>IF(X$5="","",INDEX('Cash Flow'!$F$22:$BZ$22,1,MATCH(X$5,'Cash Flow'!$F$5:$BZ$5,0)))</f>
        <v>-39332.979941666665</v>
      </c>
      <c r="Y32" s="98">
        <f>IF(Y$5="","",INDEX('Cash Flow'!$F$22:$BZ$22,1,MATCH(Y$5,'Cash Flow'!$F$5:$BZ$5,0)))</f>
        <v>-39332.979941666665</v>
      </c>
      <c r="Z32" s="98">
        <f>IF(Z$5="","",INDEX('Cash Flow'!$F$22:$BZ$22,1,MATCH(Z$5,'Cash Flow'!$F$5:$BZ$5,0)))</f>
        <v>-39332.979941666665</v>
      </c>
      <c r="AA32" s="98">
        <f>IF(AA$5="","",INDEX('Cash Flow'!$F$22:$BZ$22,1,MATCH(AA$5,'Cash Flow'!$F$5:$BZ$5,0)))</f>
        <v>-39332.979941666665</v>
      </c>
      <c r="AB32" s="98">
        <f>IF(AB$5="","",INDEX('Cash Flow'!$F$22:$BZ$22,1,MATCH(AB$5,'Cash Flow'!$F$5:$BZ$5,0)))</f>
        <v>-39332.979941666665</v>
      </c>
      <c r="AC32" s="98">
        <f>IF(AC$5="","",INDEX('Cash Flow'!$F$22:$BZ$22,1,MATCH(AC$5,'Cash Flow'!$F$5:$BZ$5,0)))</f>
        <v>-39332.979941666665</v>
      </c>
      <c r="AD32" s="98">
        <f>IF(AD$5="","",INDEX('Cash Flow'!$F$22:$BZ$22,1,MATCH(AD$5,'Cash Flow'!$F$5:$BZ$5,0)))</f>
        <v>-39332.979941666665</v>
      </c>
      <c r="AE32" s="98">
        <f>IF(AE$5="","",INDEX('Cash Flow'!$F$22:$BZ$22,1,MATCH(AE$5,'Cash Flow'!$F$5:$BZ$5,0)))</f>
        <v>-40512.969339916664</v>
      </c>
      <c r="AF32" s="98">
        <f>IF(AF$5="","",INDEX('Cash Flow'!$F$22:$BZ$22,1,MATCH(AF$5,'Cash Flow'!$F$5:$BZ$5,0)))</f>
        <v>-40512.969339916664</v>
      </c>
      <c r="AG32" s="98">
        <f>IF(AG$5="","",INDEX('Cash Flow'!$F$22:$BZ$22,1,MATCH(AG$5,'Cash Flow'!$F$5:$BZ$5,0)))</f>
        <v>-40512.969339916664</v>
      </c>
      <c r="AH32" s="98">
        <f>IF(AH$5="","",INDEX('Cash Flow'!$F$22:$BZ$22,1,MATCH(AH$5,'Cash Flow'!$F$5:$BZ$5,0)))</f>
        <v>-40512.969339916664</v>
      </c>
      <c r="AI32" s="98">
        <f>IF(AI$5="","",INDEX('Cash Flow'!$F$22:$BZ$22,1,MATCH(AI$5,'Cash Flow'!$F$5:$BZ$5,0)))</f>
        <v>-40512.969339916664</v>
      </c>
      <c r="AJ32" s="98">
        <f>IF(AJ$5="","",INDEX('Cash Flow'!$F$22:$BZ$22,1,MATCH(AJ$5,'Cash Flow'!$F$5:$BZ$5,0)))</f>
        <v>-40512.969339916664</v>
      </c>
      <c r="AK32" s="98">
        <f>IF(AK$5="","",INDEX('Cash Flow'!$F$22:$BZ$22,1,MATCH(AK$5,'Cash Flow'!$F$5:$BZ$5,0)))</f>
        <v>-40512.969339916664</v>
      </c>
      <c r="AL32" s="98">
        <f>IF(AL$5="","",INDEX('Cash Flow'!$F$22:$BZ$22,1,MATCH(AL$5,'Cash Flow'!$F$5:$BZ$5,0)))</f>
        <v>-40512.969339916664</v>
      </c>
      <c r="AM32" s="98">
        <f>IF(AM$5="","",INDEX('Cash Flow'!$F$22:$BZ$22,1,MATCH(AM$5,'Cash Flow'!$F$5:$BZ$5,0)))</f>
        <v>-40512.969339916664</v>
      </c>
      <c r="AN32" s="98">
        <f>IF(AN$5="","",INDEX('Cash Flow'!$F$22:$BZ$22,1,MATCH(AN$5,'Cash Flow'!$F$5:$BZ$5,0)))</f>
        <v>-40512.969339916664</v>
      </c>
      <c r="AO32" s="98">
        <f>IF(AO$5="","",INDEX('Cash Flow'!$F$22:$BZ$22,1,MATCH(AO$5,'Cash Flow'!$F$5:$BZ$5,0)))</f>
        <v>-40512.969339916664</v>
      </c>
      <c r="AP32" s="98">
        <f>IF(AP$5="","",INDEX('Cash Flow'!$F$22:$BZ$22,1,MATCH(AP$5,'Cash Flow'!$F$5:$BZ$5,0)))</f>
        <v>-40512.969339916664</v>
      </c>
      <c r="AQ32" s="98">
        <f>IF(AQ$5="","",INDEX('Cash Flow'!$F$22:$BZ$22,1,MATCH(AQ$5,'Cash Flow'!$F$5:$BZ$5,0)))</f>
        <v>-41728.358420114164</v>
      </c>
      <c r="AR32" s="98">
        <f>IF(AR$5="","",INDEX('Cash Flow'!$F$22:$BZ$22,1,MATCH(AR$5,'Cash Flow'!$F$5:$BZ$5,0)))</f>
        <v>-41728.358420114164</v>
      </c>
      <c r="AS32" s="98">
        <f>IF(AS$5="","",INDEX('Cash Flow'!$F$22:$BZ$22,1,MATCH(AS$5,'Cash Flow'!$F$5:$BZ$5,0)))</f>
        <v>-41728.358420114164</v>
      </c>
      <c r="AT32" s="98">
        <f>IF(AT$5="","",INDEX('Cash Flow'!$F$22:$BZ$22,1,MATCH(AT$5,'Cash Flow'!$F$5:$BZ$5,0)))</f>
        <v>-41728.358420114164</v>
      </c>
      <c r="AU32" s="98">
        <f>IF(AU$5="","",INDEX('Cash Flow'!$F$22:$BZ$22,1,MATCH(AU$5,'Cash Flow'!$F$5:$BZ$5,0)))</f>
        <v>-41728.358420114164</v>
      </c>
      <c r="AV32" s="98">
        <f>IF(AV$5="","",INDEX('Cash Flow'!$F$22:$BZ$22,1,MATCH(AV$5,'Cash Flow'!$F$5:$BZ$5,0)))</f>
        <v>-41728.358420114164</v>
      </c>
      <c r="AW32" s="98">
        <f>IF(AW$5="","",INDEX('Cash Flow'!$F$22:$BZ$22,1,MATCH(AW$5,'Cash Flow'!$F$5:$BZ$5,0)))</f>
        <v>-41728.358420114164</v>
      </c>
      <c r="AX32" s="98">
        <f>IF(AX$5="","",INDEX('Cash Flow'!$F$22:$BZ$22,1,MATCH(AX$5,'Cash Flow'!$F$5:$BZ$5,0)))</f>
        <v>-41728.358420114164</v>
      </c>
      <c r="AY32" s="98">
        <f>IF(AY$5="","",INDEX('Cash Flow'!$F$22:$BZ$22,1,MATCH(AY$5,'Cash Flow'!$F$5:$BZ$5,0)))</f>
        <v>-41728.358420114164</v>
      </c>
      <c r="AZ32" s="98">
        <f>IF(AZ$5="","",INDEX('Cash Flow'!$F$22:$BZ$22,1,MATCH(AZ$5,'Cash Flow'!$F$5:$BZ$5,0)))</f>
        <v>-41728.358420114164</v>
      </c>
      <c r="BA32" s="98">
        <f>IF(BA$5="","",INDEX('Cash Flow'!$F$22:$BZ$22,1,MATCH(BA$5,'Cash Flow'!$F$5:$BZ$5,0)))</f>
        <v>-41728.358420114164</v>
      </c>
      <c r="BB32" s="98">
        <f>IF(BB$5="","",INDEX('Cash Flow'!$F$22:$BZ$22,1,MATCH(BB$5,'Cash Flow'!$F$5:$BZ$5,0)))</f>
        <v>-41728.358420114164</v>
      </c>
      <c r="BC32" s="98">
        <f>IF(BC$5="","",INDEX('Cash Flow'!$F$22:$BZ$22,1,MATCH(BC$5,'Cash Flow'!$F$5:$BZ$5,0)))</f>
        <v>-42980.209172717587</v>
      </c>
      <c r="BD32" s="98">
        <f>IF(BD$5="","",INDEX('Cash Flow'!$F$22:$BZ$22,1,MATCH(BD$5,'Cash Flow'!$F$5:$BZ$5,0)))</f>
        <v>-42980.209172717587</v>
      </c>
      <c r="BE32" s="98">
        <f>IF(BE$5="","",INDEX('Cash Flow'!$F$22:$BZ$22,1,MATCH(BE$5,'Cash Flow'!$F$5:$BZ$5,0)))</f>
        <v>-42980.209172717587</v>
      </c>
      <c r="BF32" s="98">
        <f>IF(BF$5="","",INDEX('Cash Flow'!$F$22:$BZ$22,1,MATCH(BF$5,'Cash Flow'!$F$5:$BZ$5,0)))</f>
        <v>-42980.209172717587</v>
      </c>
      <c r="BG32" s="98">
        <f>IF(BG$5="","",INDEX('Cash Flow'!$F$22:$BZ$22,1,MATCH(BG$5,'Cash Flow'!$F$5:$BZ$5,0)))</f>
        <v>-42980.209172717587</v>
      </c>
      <c r="BH32" s="98">
        <f>IF(BH$5="","",INDEX('Cash Flow'!$F$22:$BZ$22,1,MATCH(BH$5,'Cash Flow'!$F$5:$BZ$5,0)))</f>
        <v>-42980.209172717587</v>
      </c>
      <c r="BI32" s="98">
        <f>IF(BI$5="","",INDEX('Cash Flow'!$F$22:$BZ$22,1,MATCH(BI$5,'Cash Flow'!$F$5:$BZ$5,0)))</f>
        <v>-42980.209172717587</v>
      </c>
      <c r="BJ32" s="98">
        <f>IF(BJ$5="","",INDEX('Cash Flow'!$F$22:$BZ$22,1,MATCH(BJ$5,'Cash Flow'!$F$5:$BZ$5,0)))</f>
        <v>-42980.209172717587</v>
      </c>
      <c r="BK32" s="98">
        <f>IF(BK$5="","",INDEX('Cash Flow'!$F$22:$BZ$22,1,MATCH(BK$5,'Cash Flow'!$F$5:$BZ$5,0)))</f>
        <v>-42980.209172717587</v>
      </c>
      <c r="BL32" s="98">
        <f>IF(BL$5="","",INDEX('Cash Flow'!$F$22:$BZ$22,1,MATCH(BL$5,'Cash Flow'!$F$5:$BZ$5,0)))</f>
        <v>-42980.209172717587</v>
      </c>
      <c r="BM32" s="98">
        <f>IF(BM$5="","",INDEX('Cash Flow'!$F$22:$BZ$22,1,MATCH(BM$5,'Cash Flow'!$F$5:$BZ$5,0)))</f>
        <v>-42980.209172717587</v>
      </c>
      <c r="BN32" s="98">
        <f>IF(BN$5="","",INDEX('Cash Flow'!$F$22:$BZ$22,1,MATCH(BN$5,'Cash Flow'!$F$5:$BZ$5,0)))</f>
        <v>-42980.209172717587</v>
      </c>
    </row>
    <row r="33" spans="2:66" x14ac:dyDescent="0.2">
      <c r="B33" s="65" t="s">
        <v>278</v>
      </c>
      <c r="C33" s="65"/>
      <c r="D33" s="65"/>
      <c r="E33" s="65"/>
      <c r="F33" s="98">
        <f>IF(F$5="","",INDEX('Cash Flow'!$F$23:$BZ$23,1,MATCH(F$5,'Cash Flow'!$F$5:$BZ$5,0)))</f>
        <v>0</v>
      </c>
      <c r="G33" s="98">
        <f>IF(G$5="","",INDEX('Cash Flow'!$F$23:$BZ$23,1,MATCH(G$5,'Cash Flow'!$F$5:$BZ$5,0)))</f>
        <v>-39302.01</v>
      </c>
      <c r="H33" s="98">
        <f>IF(H$5="","",INDEX('Cash Flow'!$F$23:$BZ$23,1,MATCH(H$5,'Cash Flow'!$F$5:$BZ$5,0)))</f>
        <v>-32502.01</v>
      </c>
      <c r="I33" s="98">
        <f>IF(I$5="","",INDEX('Cash Flow'!$F$23:$BZ$23,1,MATCH(I$5,'Cash Flow'!$F$5:$BZ$5,0)))</f>
        <v>-32502.01</v>
      </c>
      <c r="J33" s="98">
        <f>IF(J$5="","",INDEX('Cash Flow'!$F$23:$BZ$23,1,MATCH(J$5,'Cash Flow'!$F$5:$BZ$5,0)))</f>
        <v>-32502</v>
      </c>
      <c r="K33" s="98">
        <f>IF(K$5="","",INDEX('Cash Flow'!$F$23:$BZ$23,1,MATCH(K$5,'Cash Flow'!$F$5:$BZ$5,0)))</f>
        <v>-34502.01</v>
      </c>
      <c r="L33" s="98">
        <f>IF(L$5="","",INDEX('Cash Flow'!$F$23:$BZ$23,1,MATCH(L$5,'Cash Flow'!$F$5:$BZ$5,0)))</f>
        <v>-32502.01</v>
      </c>
      <c r="M33" s="98">
        <f>IF(M$5="","",INDEX('Cash Flow'!$F$23:$BZ$23,1,MATCH(M$5,'Cash Flow'!$F$5:$BZ$5,0)))</f>
        <v>-32502.01</v>
      </c>
      <c r="N33" s="98">
        <f>IF(N$5="","",INDEX('Cash Flow'!$F$23:$BZ$23,1,MATCH(N$5,'Cash Flow'!$F$5:$BZ$5,0)))</f>
        <v>-31158.38</v>
      </c>
      <c r="O33" s="98">
        <f>IF(O$5="","",INDEX('Cash Flow'!$F$23:$BZ$23,1,MATCH(O$5,'Cash Flow'!$F$5:$BZ$5,0)))</f>
        <v>-32166.1</v>
      </c>
      <c r="P33" s="98">
        <f>IF(P$5="","",INDEX('Cash Flow'!$F$23:$BZ$23,1,MATCH(P$5,'Cash Flow'!$F$5:$BZ$5,0)))</f>
        <v>-32166.080000000002</v>
      </c>
      <c r="Q33" s="98">
        <f>IF(Q$5="","",INDEX('Cash Flow'!$F$23:$BZ$23,1,MATCH(Q$5,'Cash Flow'!$F$5:$BZ$5,0)))</f>
        <v>-27650.385000000006</v>
      </c>
      <c r="R33" s="98">
        <f>IF(R$5="","",INDEX('Cash Flow'!$F$23:$BZ$23,1,MATCH(R$5,'Cash Flow'!$F$5:$BZ$5,0)))</f>
        <v>-27650.385000000006</v>
      </c>
      <c r="S33" s="98">
        <f>IF(S$5="","",INDEX('Cash Flow'!$F$23:$BZ$23,1,MATCH(S$5,'Cash Flow'!$F$5:$BZ$5,0)))</f>
        <v>-27650.385000000006</v>
      </c>
      <c r="T33" s="98">
        <f>IF(T$5="","",INDEX('Cash Flow'!$F$23:$BZ$23,1,MATCH(T$5,'Cash Flow'!$F$5:$BZ$5,0)))</f>
        <v>-27650.385000000006</v>
      </c>
      <c r="U33" s="98">
        <f>IF(U$5="","",INDEX('Cash Flow'!$F$23:$BZ$23,1,MATCH(U$5,'Cash Flow'!$F$5:$BZ$5,0)))</f>
        <v>-27650.385000000006</v>
      </c>
      <c r="V33" s="98">
        <f>IF(V$5="","",INDEX('Cash Flow'!$F$23:$BZ$23,1,MATCH(V$5,'Cash Flow'!$F$5:$BZ$5,0)))</f>
        <v>-27650.385000000006</v>
      </c>
      <c r="W33" s="98">
        <f>IF(W$5="","",INDEX('Cash Flow'!$F$23:$BZ$23,1,MATCH(W$5,'Cash Flow'!$F$5:$BZ$5,0)))</f>
        <v>-27650.385000000006</v>
      </c>
      <c r="X33" s="98">
        <f>IF(X$5="","",INDEX('Cash Flow'!$F$23:$BZ$23,1,MATCH(X$5,'Cash Flow'!$F$5:$BZ$5,0)))</f>
        <v>-27650.385000000006</v>
      </c>
      <c r="Y33" s="98">
        <f>IF(Y$5="","",INDEX('Cash Flow'!$F$23:$BZ$23,1,MATCH(Y$5,'Cash Flow'!$F$5:$BZ$5,0)))</f>
        <v>-27650.385000000006</v>
      </c>
      <c r="Z33" s="98">
        <f>IF(Z$5="","",INDEX('Cash Flow'!$F$23:$BZ$23,1,MATCH(Z$5,'Cash Flow'!$F$5:$BZ$5,0)))</f>
        <v>-27650.385000000006</v>
      </c>
      <c r="AA33" s="98">
        <f>IF(AA$5="","",INDEX('Cash Flow'!$F$23:$BZ$23,1,MATCH(AA$5,'Cash Flow'!$F$5:$BZ$5,0)))</f>
        <v>-27650.385000000006</v>
      </c>
      <c r="AB33" s="98">
        <f>IF(AB$5="","",INDEX('Cash Flow'!$F$23:$BZ$23,1,MATCH(AB$5,'Cash Flow'!$F$5:$BZ$5,0)))</f>
        <v>-27650.385000000006</v>
      </c>
      <c r="AC33" s="98">
        <f>IF(AC$5="","",INDEX('Cash Flow'!$F$23:$BZ$23,1,MATCH(AC$5,'Cash Flow'!$F$5:$BZ$5,0)))</f>
        <v>-27650.385000000006</v>
      </c>
      <c r="AD33" s="98">
        <f>IF(AD$5="","",INDEX('Cash Flow'!$F$23:$BZ$23,1,MATCH(AD$5,'Cash Flow'!$F$5:$BZ$5,0)))</f>
        <v>-27650.385000000006</v>
      </c>
      <c r="AE33" s="98">
        <f>IF(AE$5="","",INDEX('Cash Flow'!$F$23:$BZ$23,1,MATCH(AE$5,'Cash Flow'!$F$5:$BZ$5,0)))</f>
        <v>-28479.896550000005</v>
      </c>
      <c r="AF33" s="98">
        <f>IF(AF$5="","",INDEX('Cash Flow'!$F$23:$BZ$23,1,MATCH(AF$5,'Cash Flow'!$F$5:$BZ$5,0)))</f>
        <v>-28479.896550000005</v>
      </c>
      <c r="AG33" s="98">
        <f>IF(AG$5="","",INDEX('Cash Flow'!$F$23:$BZ$23,1,MATCH(AG$5,'Cash Flow'!$F$5:$BZ$5,0)))</f>
        <v>-28479.896550000005</v>
      </c>
      <c r="AH33" s="98">
        <f>IF(AH$5="","",INDEX('Cash Flow'!$F$23:$BZ$23,1,MATCH(AH$5,'Cash Flow'!$F$5:$BZ$5,0)))</f>
        <v>-28479.896550000005</v>
      </c>
      <c r="AI33" s="98">
        <f>IF(AI$5="","",INDEX('Cash Flow'!$F$23:$BZ$23,1,MATCH(AI$5,'Cash Flow'!$F$5:$BZ$5,0)))</f>
        <v>-28479.896550000005</v>
      </c>
      <c r="AJ33" s="98">
        <f>IF(AJ$5="","",INDEX('Cash Flow'!$F$23:$BZ$23,1,MATCH(AJ$5,'Cash Flow'!$F$5:$BZ$5,0)))</f>
        <v>-28479.896550000005</v>
      </c>
      <c r="AK33" s="98">
        <f>IF(AK$5="","",INDEX('Cash Flow'!$F$23:$BZ$23,1,MATCH(AK$5,'Cash Flow'!$F$5:$BZ$5,0)))</f>
        <v>-28479.896550000005</v>
      </c>
      <c r="AL33" s="98">
        <f>IF(AL$5="","",INDEX('Cash Flow'!$F$23:$BZ$23,1,MATCH(AL$5,'Cash Flow'!$F$5:$BZ$5,0)))</f>
        <v>-28479.896550000005</v>
      </c>
      <c r="AM33" s="98">
        <f>IF(AM$5="","",INDEX('Cash Flow'!$F$23:$BZ$23,1,MATCH(AM$5,'Cash Flow'!$F$5:$BZ$5,0)))</f>
        <v>-28479.896550000005</v>
      </c>
      <c r="AN33" s="98">
        <f>IF(AN$5="","",INDEX('Cash Flow'!$F$23:$BZ$23,1,MATCH(AN$5,'Cash Flow'!$F$5:$BZ$5,0)))</f>
        <v>-28479.896550000005</v>
      </c>
      <c r="AO33" s="98">
        <f>IF(AO$5="","",INDEX('Cash Flow'!$F$23:$BZ$23,1,MATCH(AO$5,'Cash Flow'!$F$5:$BZ$5,0)))</f>
        <v>-28479.896550000005</v>
      </c>
      <c r="AP33" s="98">
        <f>IF(AP$5="","",INDEX('Cash Flow'!$F$23:$BZ$23,1,MATCH(AP$5,'Cash Flow'!$F$5:$BZ$5,0)))</f>
        <v>-28479.896550000005</v>
      </c>
      <c r="AQ33" s="98">
        <f>IF(AQ$5="","",INDEX('Cash Flow'!$F$23:$BZ$23,1,MATCH(AQ$5,'Cash Flow'!$F$5:$BZ$5,0)))</f>
        <v>-29334.293446500003</v>
      </c>
      <c r="AR33" s="98">
        <f>IF(AR$5="","",INDEX('Cash Flow'!$F$23:$BZ$23,1,MATCH(AR$5,'Cash Flow'!$F$5:$BZ$5,0)))</f>
        <v>-29334.293446500003</v>
      </c>
      <c r="AS33" s="98">
        <f>IF(AS$5="","",INDEX('Cash Flow'!$F$23:$BZ$23,1,MATCH(AS$5,'Cash Flow'!$F$5:$BZ$5,0)))</f>
        <v>-29334.293446500003</v>
      </c>
      <c r="AT33" s="98">
        <f>IF(AT$5="","",INDEX('Cash Flow'!$F$23:$BZ$23,1,MATCH(AT$5,'Cash Flow'!$F$5:$BZ$5,0)))</f>
        <v>-29334.293446500003</v>
      </c>
      <c r="AU33" s="98">
        <f>IF(AU$5="","",INDEX('Cash Flow'!$F$23:$BZ$23,1,MATCH(AU$5,'Cash Flow'!$F$5:$BZ$5,0)))</f>
        <v>-29334.293446500003</v>
      </c>
      <c r="AV33" s="98">
        <f>IF(AV$5="","",INDEX('Cash Flow'!$F$23:$BZ$23,1,MATCH(AV$5,'Cash Flow'!$F$5:$BZ$5,0)))</f>
        <v>-29334.293446500003</v>
      </c>
      <c r="AW33" s="98">
        <f>IF(AW$5="","",INDEX('Cash Flow'!$F$23:$BZ$23,1,MATCH(AW$5,'Cash Flow'!$F$5:$BZ$5,0)))</f>
        <v>-29334.293446500003</v>
      </c>
      <c r="AX33" s="98">
        <f>IF(AX$5="","",INDEX('Cash Flow'!$F$23:$BZ$23,1,MATCH(AX$5,'Cash Flow'!$F$5:$BZ$5,0)))</f>
        <v>-29334.293446500003</v>
      </c>
      <c r="AY33" s="98">
        <f>IF(AY$5="","",INDEX('Cash Flow'!$F$23:$BZ$23,1,MATCH(AY$5,'Cash Flow'!$F$5:$BZ$5,0)))</f>
        <v>-29334.293446500003</v>
      </c>
      <c r="AZ33" s="98">
        <f>IF(AZ$5="","",INDEX('Cash Flow'!$F$23:$BZ$23,1,MATCH(AZ$5,'Cash Flow'!$F$5:$BZ$5,0)))</f>
        <v>-29334.293446500003</v>
      </c>
      <c r="BA33" s="98">
        <f>IF(BA$5="","",INDEX('Cash Flow'!$F$23:$BZ$23,1,MATCH(BA$5,'Cash Flow'!$F$5:$BZ$5,0)))</f>
        <v>-29334.293446500003</v>
      </c>
      <c r="BB33" s="98">
        <f>IF(BB$5="","",INDEX('Cash Flow'!$F$23:$BZ$23,1,MATCH(BB$5,'Cash Flow'!$F$5:$BZ$5,0)))</f>
        <v>-29334.293446500003</v>
      </c>
      <c r="BC33" s="98">
        <f>IF(BC$5="","",INDEX('Cash Flow'!$F$23:$BZ$23,1,MATCH(BC$5,'Cash Flow'!$F$5:$BZ$5,0)))</f>
        <v>-30214.322249895005</v>
      </c>
      <c r="BD33" s="98">
        <f>IF(BD$5="","",INDEX('Cash Flow'!$F$23:$BZ$23,1,MATCH(BD$5,'Cash Flow'!$F$5:$BZ$5,0)))</f>
        <v>-30214.322249895005</v>
      </c>
      <c r="BE33" s="98">
        <f>IF(BE$5="","",INDEX('Cash Flow'!$F$23:$BZ$23,1,MATCH(BE$5,'Cash Flow'!$F$5:$BZ$5,0)))</f>
        <v>-30214.322249895005</v>
      </c>
      <c r="BF33" s="98">
        <f>IF(BF$5="","",INDEX('Cash Flow'!$F$23:$BZ$23,1,MATCH(BF$5,'Cash Flow'!$F$5:$BZ$5,0)))</f>
        <v>-30214.322249895005</v>
      </c>
      <c r="BG33" s="98">
        <f>IF(BG$5="","",INDEX('Cash Flow'!$F$23:$BZ$23,1,MATCH(BG$5,'Cash Flow'!$F$5:$BZ$5,0)))</f>
        <v>-30214.322249895005</v>
      </c>
      <c r="BH33" s="98">
        <f>IF(BH$5="","",INDEX('Cash Flow'!$F$23:$BZ$23,1,MATCH(BH$5,'Cash Flow'!$F$5:$BZ$5,0)))</f>
        <v>-30214.322249895005</v>
      </c>
      <c r="BI33" s="98">
        <f>IF(BI$5="","",INDEX('Cash Flow'!$F$23:$BZ$23,1,MATCH(BI$5,'Cash Flow'!$F$5:$BZ$5,0)))</f>
        <v>-30214.322249895005</v>
      </c>
      <c r="BJ33" s="98">
        <f>IF(BJ$5="","",INDEX('Cash Flow'!$F$23:$BZ$23,1,MATCH(BJ$5,'Cash Flow'!$F$5:$BZ$5,0)))</f>
        <v>-30214.322249895005</v>
      </c>
      <c r="BK33" s="98">
        <f>IF(BK$5="","",INDEX('Cash Flow'!$F$23:$BZ$23,1,MATCH(BK$5,'Cash Flow'!$F$5:$BZ$5,0)))</f>
        <v>-30214.322249895005</v>
      </c>
      <c r="BL33" s="98">
        <f>IF(BL$5="","",INDEX('Cash Flow'!$F$23:$BZ$23,1,MATCH(BL$5,'Cash Flow'!$F$5:$BZ$5,0)))</f>
        <v>-30214.322249895005</v>
      </c>
      <c r="BM33" s="98">
        <f>IF(BM$5="","",INDEX('Cash Flow'!$F$23:$BZ$23,1,MATCH(BM$5,'Cash Flow'!$F$5:$BZ$5,0)))</f>
        <v>-30214.322249895005</v>
      </c>
      <c r="BN33" s="98">
        <f>IF(BN$5="","",INDEX('Cash Flow'!$F$23:$BZ$23,1,MATCH(BN$5,'Cash Flow'!$F$5:$BZ$5,0)))</f>
        <v>-30214.322249895005</v>
      </c>
    </row>
    <row r="34" spans="2:66" x14ac:dyDescent="0.2">
      <c r="B34" s="65" t="s">
        <v>279</v>
      </c>
      <c r="C34" s="65"/>
      <c r="D34" s="65"/>
      <c r="E34" s="65"/>
      <c r="F34" s="98">
        <f>IF(F$5="","",INDEX('Cash Flow'!$F$24:$BZ$24,1,MATCH(F$5,'Cash Flow'!$F$5:$BZ$5,0)))</f>
        <v>0</v>
      </c>
      <c r="G34" s="98">
        <f>IF(G$5="","",INDEX('Cash Flow'!$F$24:$BZ$24,1,MATCH(G$5,'Cash Flow'!$F$5:$BZ$5,0)))</f>
        <v>-10385.23</v>
      </c>
      <c r="H34" s="98">
        <f>IF(H$5="","",INDEX('Cash Flow'!$F$24:$BZ$24,1,MATCH(H$5,'Cash Flow'!$F$5:$BZ$5,0)))</f>
        <v>-10385.23</v>
      </c>
      <c r="I34" s="98">
        <f>IF(I$5="","",INDEX('Cash Flow'!$F$24:$BZ$24,1,MATCH(I$5,'Cash Flow'!$F$5:$BZ$5,0)))</f>
        <v>-10385.23</v>
      </c>
      <c r="J34" s="98">
        <f>IF(J$5="","",INDEX('Cash Flow'!$F$24:$BZ$24,1,MATCH(J$5,'Cash Flow'!$F$5:$BZ$5,0)))</f>
        <v>-10385.23</v>
      </c>
      <c r="K34" s="98">
        <f>IF(K$5="","",INDEX('Cash Flow'!$F$24:$BZ$24,1,MATCH(K$5,'Cash Flow'!$F$5:$BZ$5,0)))</f>
        <v>-11226.28</v>
      </c>
      <c r="L34" s="98">
        <f>IF(L$5="","",INDEX('Cash Flow'!$F$24:$BZ$24,1,MATCH(L$5,'Cash Flow'!$F$5:$BZ$5,0)))</f>
        <v>-11226.28</v>
      </c>
      <c r="M34" s="98">
        <f>IF(M$5="","",INDEX('Cash Flow'!$F$24:$BZ$24,1,MATCH(M$5,'Cash Flow'!$F$5:$BZ$5,0)))</f>
        <v>-8069.78</v>
      </c>
      <c r="N34" s="98">
        <f>IF(N$5="","",INDEX('Cash Flow'!$F$24:$BZ$24,1,MATCH(N$5,'Cash Flow'!$F$5:$BZ$5,0)))</f>
        <v>-8069.78</v>
      </c>
      <c r="O34" s="98">
        <f>IF(O$5="","",INDEX('Cash Flow'!$F$24:$BZ$24,1,MATCH(O$5,'Cash Flow'!$F$5:$BZ$5,0)))</f>
        <v>-24296.23</v>
      </c>
      <c r="P34" s="98">
        <f>IF(P$5="","",INDEX('Cash Flow'!$F$24:$BZ$24,1,MATCH(P$5,'Cash Flow'!$F$5:$BZ$5,0)))</f>
        <v>-7420.73</v>
      </c>
      <c r="Q34" s="98">
        <f>IF(Q$5="","",INDEX('Cash Flow'!$F$24:$BZ$24,1,MATCH(Q$5,'Cash Flow'!$F$5:$BZ$5,0)))</f>
        <v>-9600.4583333333321</v>
      </c>
      <c r="R34" s="98">
        <f>IF(R$5="","",INDEX('Cash Flow'!$F$24:$BZ$24,1,MATCH(R$5,'Cash Flow'!$F$5:$BZ$5,0)))</f>
        <v>-9600.4583333333321</v>
      </c>
      <c r="S34" s="98">
        <f>IF(S$5="","",INDEX('Cash Flow'!$F$24:$BZ$24,1,MATCH(S$5,'Cash Flow'!$F$5:$BZ$5,0)))</f>
        <v>-9600.4583333333321</v>
      </c>
      <c r="T34" s="98">
        <f>IF(T$5="","",INDEX('Cash Flow'!$F$24:$BZ$24,1,MATCH(T$5,'Cash Flow'!$F$5:$BZ$5,0)))</f>
        <v>-9600.4583333333321</v>
      </c>
      <c r="U34" s="98">
        <f>IF(U$5="","",INDEX('Cash Flow'!$F$24:$BZ$24,1,MATCH(U$5,'Cash Flow'!$F$5:$BZ$5,0)))</f>
        <v>-9600.4583333333321</v>
      </c>
      <c r="V34" s="98">
        <f>IF(V$5="","",INDEX('Cash Flow'!$F$24:$BZ$24,1,MATCH(V$5,'Cash Flow'!$F$5:$BZ$5,0)))</f>
        <v>-9600.4583333333321</v>
      </c>
      <c r="W34" s="98">
        <f>IF(W$5="","",INDEX('Cash Flow'!$F$24:$BZ$24,1,MATCH(W$5,'Cash Flow'!$F$5:$BZ$5,0)))</f>
        <v>-9600.4583333333321</v>
      </c>
      <c r="X34" s="98">
        <f>IF(X$5="","",INDEX('Cash Flow'!$F$24:$BZ$24,1,MATCH(X$5,'Cash Flow'!$F$5:$BZ$5,0)))</f>
        <v>-9600.4583333333321</v>
      </c>
      <c r="Y34" s="98">
        <f>IF(Y$5="","",INDEX('Cash Flow'!$F$24:$BZ$24,1,MATCH(Y$5,'Cash Flow'!$F$5:$BZ$5,0)))</f>
        <v>-9600.4583333333321</v>
      </c>
      <c r="Z34" s="98">
        <f>IF(Z$5="","",INDEX('Cash Flow'!$F$24:$BZ$24,1,MATCH(Z$5,'Cash Flow'!$F$5:$BZ$5,0)))</f>
        <v>-9600.4583333333321</v>
      </c>
      <c r="AA34" s="98">
        <f>IF(AA$5="","",INDEX('Cash Flow'!$F$24:$BZ$24,1,MATCH(AA$5,'Cash Flow'!$F$5:$BZ$5,0)))</f>
        <v>-9600.4583333333321</v>
      </c>
      <c r="AB34" s="98">
        <f>IF(AB$5="","",INDEX('Cash Flow'!$F$24:$BZ$24,1,MATCH(AB$5,'Cash Flow'!$F$5:$BZ$5,0)))</f>
        <v>-9600.4583333333321</v>
      </c>
      <c r="AC34" s="98">
        <f>IF(AC$5="","",INDEX('Cash Flow'!$F$24:$BZ$24,1,MATCH(AC$5,'Cash Flow'!$F$5:$BZ$5,0)))</f>
        <v>-9600.4583333333321</v>
      </c>
      <c r="AD34" s="98">
        <f>IF(AD$5="","",INDEX('Cash Flow'!$F$24:$BZ$24,1,MATCH(AD$5,'Cash Flow'!$F$5:$BZ$5,0)))</f>
        <v>-9600.4583333333321</v>
      </c>
      <c r="AE34" s="98">
        <f>IF(AE$5="","",INDEX('Cash Flow'!$F$24:$BZ$24,1,MATCH(AE$5,'Cash Flow'!$F$5:$BZ$5,0)))</f>
        <v>-9888.4720833333322</v>
      </c>
      <c r="AF34" s="98">
        <f>IF(AF$5="","",INDEX('Cash Flow'!$F$24:$BZ$24,1,MATCH(AF$5,'Cash Flow'!$F$5:$BZ$5,0)))</f>
        <v>-9888.4720833333322</v>
      </c>
      <c r="AG34" s="98">
        <f>IF(AG$5="","",INDEX('Cash Flow'!$F$24:$BZ$24,1,MATCH(AG$5,'Cash Flow'!$F$5:$BZ$5,0)))</f>
        <v>-9888.4720833333322</v>
      </c>
      <c r="AH34" s="98">
        <f>IF(AH$5="","",INDEX('Cash Flow'!$F$24:$BZ$24,1,MATCH(AH$5,'Cash Flow'!$F$5:$BZ$5,0)))</f>
        <v>-9888.4720833333322</v>
      </c>
      <c r="AI34" s="98">
        <f>IF(AI$5="","",INDEX('Cash Flow'!$F$24:$BZ$24,1,MATCH(AI$5,'Cash Flow'!$F$5:$BZ$5,0)))</f>
        <v>-9888.4720833333322</v>
      </c>
      <c r="AJ34" s="98">
        <f>IF(AJ$5="","",INDEX('Cash Flow'!$F$24:$BZ$24,1,MATCH(AJ$5,'Cash Flow'!$F$5:$BZ$5,0)))</f>
        <v>-9888.4720833333322</v>
      </c>
      <c r="AK34" s="98">
        <f>IF(AK$5="","",INDEX('Cash Flow'!$F$24:$BZ$24,1,MATCH(AK$5,'Cash Flow'!$F$5:$BZ$5,0)))</f>
        <v>-9888.4720833333322</v>
      </c>
      <c r="AL34" s="98">
        <f>IF(AL$5="","",INDEX('Cash Flow'!$F$24:$BZ$24,1,MATCH(AL$5,'Cash Flow'!$F$5:$BZ$5,0)))</f>
        <v>-9888.4720833333322</v>
      </c>
      <c r="AM34" s="98">
        <f>IF(AM$5="","",INDEX('Cash Flow'!$F$24:$BZ$24,1,MATCH(AM$5,'Cash Flow'!$F$5:$BZ$5,0)))</f>
        <v>-9888.4720833333322</v>
      </c>
      <c r="AN34" s="98">
        <f>IF(AN$5="","",INDEX('Cash Flow'!$F$24:$BZ$24,1,MATCH(AN$5,'Cash Flow'!$F$5:$BZ$5,0)))</f>
        <v>-9888.4720833333322</v>
      </c>
      <c r="AO34" s="98">
        <f>IF(AO$5="","",INDEX('Cash Flow'!$F$24:$BZ$24,1,MATCH(AO$5,'Cash Flow'!$F$5:$BZ$5,0)))</f>
        <v>-9888.4720833333322</v>
      </c>
      <c r="AP34" s="98">
        <f>IF(AP$5="","",INDEX('Cash Flow'!$F$24:$BZ$24,1,MATCH(AP$5,'Cash Flow'!$F$5:$BZ$5,0)))</f>
        <v>-9888.4720833333322</v>
      </c>
      <c r="AQ34" s="98">
        <f>IF(AQ$5="","",INDEX('Cash Flow'!$F$24:$BZ$24,1,MATCH(AQ$5,'Cash Flow'!$F$5:$BZ$5,0)))</f>
        <v>-10185.126245833331</v>
      </c>
      <c r="AR34" s="98">
        <f>IF(AR$5="","",INDEX('Cash Flow'!$F$24:$BZ$24,1,MATCH(AR$5,'Cash Flow'!$F$5:$BZ$5,0)))</f>
        <v>-10185.126245833331</v>
      </c>
      <c r="AS34" s="98">
        <f>IF(AS$5="","",INDEX('Cash Flow'!$F$24:$BZ$24,1,MATCH(AS$5,'Cash Flow'!$F$5:$BZ$5,0)))</f>
        <v>-10185.126245833331</v>
      </c>
      <c r="AT34" s="98">
        <f>IF(AT$5="","",INDEX('Cash Flow'!$F$24:$BZ$24,1,MATCH(AT$5,'Cash Flow'!$F$5:$BZ$5,0)))</f>
        <v>-10185.126245833331</v>
      </c>
      <c r="AU34" s="98">
        <f>IF(AU$5="","",INDEX('Cash Flow'!$F$24:$BZ$24,1,MATCH(AU$5,'Cash Flow'!$F$5:$BZ$5,0)))</f>
        <v>-10185.126245833331</v>
      </c>
      <c r="AV34" s="98">
        <f>IF(AV$5="","",INDEX('Cash Flow'!$F$24:$BZ$24,1,MATCH(AV$5,'Cash Flow'!$F$5:$BZ$5,0)))</f>
        <v>-10185.126245833331</v>
      </c>
      <c r="AW34" s="98">
        <f>IF(AW$5="","",INDEX('Cash Flow'!$F$24:$BZ$24,1,MATCH(AW$5,'Cash Flow'!$F$5:$BZ$5,0)))</f>
        <v>-10185.126245833331</v>
      </c>
      <c r="AX34" s="98">
        <f>IF(AX$5="","",INDEX('Cash Flow'!$F$24:$BZ$24,1,MATCH(AX$5,'Cash Flow'!$F$5:$BZ$5,0)))</f>
        <v>-10185.126245833331</v>
      </c>
      <c r="AY34" s="98">
        <f>IF(AY$5="","",INDEX('Cash Flow'!$F$24:$BZ$24,1,MATCH(AY$5,'Cash Flow'!$F$5:$BZ$5,0)))</f>
        <v>-10185.126245833331</v>
      </c>
      <c r="AZ34" s="98">
        <f>IF(AZ$5="","",INDEX('Cash Flow'!$F$24:$BZ$24,1,MATCH(AZ$5,'Cash Flow'!$F$5:$BZ$5,0)))</f>
        <v>-10185.126245833331</v>
      </c>
      <c r="BA34" s="98">
        <f>IF(BA$5="","",INDEX('Cash Flow'!$F$24:$BZ$24,1,MATCH(BA$5,'Cash Flow'!$F$5:$BZ$5,0)))</f>
        <v>-10185.126245833331</v>
      </c>
      <c r="BB34" s="98">
        <f>IF(BB$5="","",INDEX('Cash Flow'!$F$24:$BZ$24,1,MATCH(BB$5,'Cash Flow'!$F$5:$BZ$5,0)))</f>
        <v>-10185.126245833331</v>
      </c>
      <c r="BC34" s="98">
        <f>IF(BC$5="","",INDEX('Cash Flow'!$F$24:$BZ$24,1,MATCH(BC$5,'Cash Flow'!$F$5:$BZ$5,0)))</f>
        <v>-10490.680033208331</v>
      </c>
      <c r="BD34" s="98">
        <f>IF(BD$5="","",INDEX('Cash Flow'!$F$24:$BZ$24,1,MATCH(BD$5,'Cash Flow'!$F$5:$BZ$5,0)))</f>
        <v>-10490.680033208331</v>
      </c>
      <c r="BE34" s="98">
        <f>IF(BE$5="","",INDEX('Cash Flow'!$F$24:$BZ$24,1,MATCH(BE$5,'Cash Flow'!$F$5:$BZ$5,0)))</f>
        <v>-10490.680033208331</v>
      </c>
      <c r="BF34" s="98">
        <f>IF(BF$5="","",INDEX('Cash Flow'!$F$24:$BZ$24,1,MATCH(BF$5,'Cash Flow'!$F$5:$BZ$5,0)))</f>
        <v>-10490.680033208331</v>
      </c>
      <c r="BG34" s="98">
        <f>IF(BG$5="","",INDEX('Cash Flow'!$F$24:$BZ$24,1,MATCH(BG$5,'Cash Flow'!$F$5:$BZ$5,0)))</f>
        <v>-10490.680033208331</v>
      </c>
      <c r="BH34" s="98">
        <f>IF(BH$5="","",INDEX('Cash Flow'!$F$24:$BZ$24,1,MATCH(BH$5,'Cash Flow'!$F$5:$BZ$5,0)))</f>
        <v>-10490.680033208331</v>
      </c>
      <c r="BI34" s="98">
        <f>IF(BI$5="","",INDEX('Cash Flow'!$F$24:$BZ$24,1,MATCH(BI$5,'Cash Flow'!$F$5:$BZ$5,0)))</f>
        <v>-10490.680033208331</v>
      </c>
      <c r="BJ34" s="98">
        <f>IF(BJ$5="","",INDEX('Cash Flow'!$F$24:$BZ$24,1,MATCH(BJ$5,'Cash Flow'!$F$5:$BZ$5,0)))</f>
        <v>-10490.680033208331</v>
      </c>
      <c r="BK34" s="98">
        <f>IF(BK$5="","",INDEX('Cash Flow'!$F$24:$BZ$24,1,MATCH(BK$5,'Cash Flow'!$F$5:$BZ$5,0)))</f>
        <v>-10490.680033208331</v>
      </c>
      <c r="BL34" s="98">
        <f>IF(BL$5="","",INDEX('Cash Flow'!$F$24:$BZ$24,1,MATCH(BL$5,'Cash Flow'!$F$5:$BZ$5,0)))</f>
        <v>-10490.680033208331</v>
      </c>
      <c r="BM34" s="98">
        <f>IF(BM$5="","",INDEX('Cash Flow'!$F$24:$BZ$24,1,MATCH(BM$5,'Cash Flow'!$F$5:$BZ$5,0)))</f>
        <v>-10490.680033208331</v>
      </c>
      <c r="BN34" s="98">
        <f>IF(BN$5="","",INDEX('Cash Flow'!$F$24:$BZ$24,1,MATCH(BN$5,'Cash Flow'!$F$5:$BZ$5,0)))</f>
        <v>-10490.680033208331</v>
      </c>
    </row>
    <row r="35" spans="2:66" x14ac:dyDescent="0.2">
      <c r="B35" s="65" t="s">
        <v>280</v>
      </c>
      <c r="C35" s="65"/>
      <c r="D35" s="65"/>
      <c r="E35" s="65"/>
      <c r="F35" s="98">
        <f>IF(F$5="","",INDEX('Cash Flow'!$F$25:$BZ$25,1,MATCH(F$5,'Cash Flow'!$F$5:$BZ$5,0)))</f>
        <v>0</v>
      </c>
      <c r="G35" s="98">
        <f>IF(G$5="","",INDEX('Cash Flow'!$F$25:$BZ$25,1,MATCH(G$5,'Cash Flow'!$F$5:$BZ$5,0)))</f>
        <v>-8253.2900000000009</v>
      </c>
      <c r="H35" s="98">
        <f>IF(H$5="","",INDEX('Cash Flow'!$F$25:$BZ$25,1,MATCH(H$5,'Cash Flow'!$F$5:$BZ$5,0)))</f>
        <v>-6906.04</v>
      </c>
      <c r="I35" s="98">
        <f>IF(I$5="","",INDEX('Cash Flow'!$F$25:$BZ$25,1,MATCH(I$5,'Cash Flow'!$F$5:$BZ$5,0)))</f>
        <v>-5141.93</v>
      </c>
      <c r="J35" s="98">
        <f>IF(J$5="","",INDEX('Cash Flow'!$F$25:$BZ$25,1,MATCH(J$5,'Cash Flow'!$F$5:$BZ$5,0)))</f>
        <v>-7009.87</v>
      </c>
      <c r="K35" s="98">
        <f>IF(K$5="","",INDEX('Cash Flow'!$F$25:$BZ$25,1,MATCH(K$5,'Cash Flow'!$F$5:$BZ$5,0)))</f>
        <v>-5354.47</v>
      </c>
      <c r="L35" s="98">
        <f>IF(L$5="","",INDEX('Cash Flow'!$F$25:$BZ$25,1,MATCH(L$5,'Cash Flow'!$F$5:$BZ$5,0)))</f>
        <v>-6089.1</v>
      </c>
      <c r="M35" s="98">
        <f>IF(M$5="","",INDEX('Cash Flow'!$F$25:$BZ$25,1,MATCH(M$5,'Cash Flow'!$F$5:$BZ$5,0)))</f>
        <v>-5349.05</v>
      </c>
      <c r="N35" s="98">
        <f>IF(N$5="","",INDEX('Cash Flow'!$F$25:$BZ$25,1,MATCH(N$5,'Cash Flow'!$F$5:$BZ$5,0)))</f>
        <v>-5420.85</v>
      </c>
      <c r="O35" s="98">
        <f>IF(O$5="","",INDEX('Cash Flow'!$F$25:$BZ$25,1,MATCH(O$5,'Cash Flow'!$F$5:$BZ$5,0)))</f>
        <v>-5410.04</v>
      </c>
      <c r="P35" s="98">
        <f>IF(P$5="","",INDEX('Cash Flow'!$F$25:$BZ$25,1,MATCH(P$5,'Cash Flow'!$F$5:$BZ$5,0)))</f>
        <v>-5484.89</v>
      </c>
      <c r="Q35" s="98">
        <f>IF(Q$5="","",INDEX('Cash Flow'!$F$25:$BZ$25,1,MATCH(Q$5,'Cash Flow'!$F$5:$BZ$5,0)))</f>
        <v>-5186.0096583333334</v>
      </c>
      <c r="R35" s="98">
        <f>IF(R$5="","",INDEX('Cash Flow'!$F$25:$BZ$25,1,MATCH(R$5,'Cash Flow'!$F$5:$BZ$5,0)))</f>
        <v>-5186.0096583333334</v>
      </c>
      <c r="S35" s="98">
        <f>IF(S$5="","",INDEX('Cash Flow'!$F$25:$BZ$25,1,MATCH(S$5,'Cash Flow'!$F$5:$BZ$5,0)))</f>
        <v>-5186.0096583333334</v>
      </c>
      <c r="T35" s="98">
        <f>IF(T$5="","",INDEX('Cash Flow'!$F$25:$BZ$25,1,MATCH(T$5,'Cash Flow'!$F$5:$BZ$5,0)))</f>
        <v>-5186.0096583333334</v>
      </c>
      <c r="U35" s="98">
        <f>IF(U$5="","",INDEX('Cash Flow'!$F$25:$BZ$25,1,MATCH(U$5,'Cash Flow'!$F$5:$BZ$5,0)))</f>
        <v>-5186.0096583333334</v>
      </c>
      <c r="V35" s="98">
        <f>IF(V$5="","",INDEX('Cash Flow'!$F$25:$BZ$25,1,MATCH(V$5,'Cash Flow'!$F$5:$BZ$5,0)))</f>
        <v>-5186.0096583333334</v>
      </c>
      <c r="W35" s="98">
        <f>IF(W$5="","",INDEX('Cash Flow'!$F$25:$BZ$25,1,MATCH(W$5,'Cash Flow'!$F$5:$BZ$5,0)))</f>
        <v>-5186.0096583333334</v>
      </c>
      <c r="X35" s="98">
        <f>IF(X$5="","",INDEX('Cash Flow'!$F$25:$BZ$25,1,MATCH(X$5,'Cash Flow'!$F$5:$BZ$5,0)))</f>
        <v>-5186.0096583333334</v>
      </c>
      <c r="Y35" s="98">
        <f>IF(Y$5="","",INDEX('Cash Flow'!$F$25:$BZ$25,1,MATCH(Y$5,'Cash Flow'!$F$5:$BZ$5,0)))</f>
        <v>-5186.0096583333334</v>
      </c>
      <c r="Z35" s="98">
        <f>IF(Z$5="","",INDEX('Cash Flow'!$F$25:$BZ$25,1,MATCH(Z$5,'Cash Flow'!$F$5:$BZ$5,0)))</f>
        <v>-5186.0096583333334</v>
      </c>
      <c r="AA35" s="98">
        <f>IF(AA$5="","",INDEX('Cash Flow'!$F$25:$BZ$25,1,MATCH(AA$5,'Cash Flow'!$F$5:$BZ$5,0)))</f>
        <v>-5186.0096583333334</v>
      </c>
      <c r="AB35" s="98">
        <f>IF(AB$5="","",INDEX('Cash Flow'!$F$25:$BZ$25,1,MATCH(AB$5,'Cash Flow'!$F$5:$BZ$5,0)))</f>
        <v>-5186.0096583333334</v>
      </c>
      <c r="AC35" s="98">
        <f>IF(AC$5="","",INDEX('Cash Flow'!$F$25:$BZ$25,1,MATCH(AC$5,'Cash Flow'!$F$5:$BZ$5,0)))</f>
        <v>-5186.0096583333334</v>
      </c>
      <c r="AD35" s="98">
        <f>IF(AD$5="","",INDEX('Cash Flow'!$F$25:$BZ$25,1,MATCH(AD$5,'Cash Flow'!$F$5:$BZ$5,0)))</f>
        <v>-5186.0096583333334</v>
      </c>
      <c r="AE35" s="98">
        <f>IF(AE$5="","",INDEX('Cash Flow'!$F$25:$BZ$25,1,MATCH(AE$5,'Cash Flow'!$F$5:$BZ$5,0)))</f>
        <v>-5341.5899480833332</v>
      </c>
      <c r="AF35" s="98">
        <f>IF(AF$5="","",INDEX('Cash Flow'!$F$25:$BZ$25,1,MATCH(AF$5,'Cash Flow'!$F$5:$BZ$5,0)))</f>
        <v>-5341.5899480833332</v>
      </c>
      <c r="AG35" s="98">
        <f>IF(AG$5="","",INDEX('Cash Flow'!$F$25:$BZ$25,1,MATCH(AG$5,'Cash Flow'!$F$5:$BZ$5,0)))</f>
        <v>-5341.5899480833332</v>
      </c>
      <c r="AH35" s="98">
        <f>IF(AH$5="","",INDEX('Cash Flow'!$F$25:$BZ$25,1,MATCH(AH$5,'Cash Flow'!$F$5:$BZ$5,0)))</f>
        <v>-5341.5899480833332</v>
      </c>
      <c r="AI35" s="98">
        <f>IF(AI$5="","",INDEX('Cash Flow'!$F$25:$BZ$25,1,MATCH(AI$5,'Cash Flow'!$F$5:$BZ$5,0)))</f>
        <v>-5341.5899480833332</v>
      </c>
      <c r="AJ35" s="98">
        <f>IF(AJ$5="","",INDEX('Cash Flow'!$F$25:$BZ$25,1,MATCH(AJ$5,'Cash Flow'!$F$5:$BZ$5,0)))</f>
        <v>-5341.5899480833332</v>
      </c>
      <c r="AK35" s="98">
        <f>IF(AK$5="","",INDEX('Cash Flow'!$F$25:$BZ$25,1,MATCH(AK$5,'Cash Flow'!$F$5:$BZ$5,0)))</f>
        <v>-5341.5899480833332</v>
      </c>
      <c r="AL35" s="98">
        <f>IF(AL$5="","",INDEX('Cash Flow'!$F$25:$BZ$25,1,MATCH(AL$5,'Cash Flow'!$F$5:$BZ$5,0)))</f>
        <v>-5341.5899480833332</v>
      </c>
      <c r="AM35" s="98">
        <f>IF(AM$5="","",INDEX('Cash Flow'!$F$25:$BZ$25,1,MATCH(AM$5,'Cash Flow'!$F$5:$BZ$5,0)))</f>
        <v>-5341.5899480833332</v>
      </c>
      <c r="AN35" s="98">
        <f>IF(AN$5="","",INDEX('Cash Flow'!$F$25:$BZ$25,1,MATCH(AN$5,'Cash Flow'!$F$5:$BZ$5,0)))</f>
        <v>-5341.5899480833332</v>
      </c>
      <c r="AO35" s="98">
        <f>IF(AO$5="","",INDEX('Cash Flow'!$F$25:$BZ$25,1,MATCH(AO$5,'Cash Flow'!$F$5:$BZ$5,0)))</f>
        <v>-5341.5899480833332</v>
      </c>
      <c r="AP35" s="98">
        <f>IF(AP$5="","",INDEX('Cash Flow'!$F$25:$BZ$25,1,MATCH(AP$5,'Cash Flow'!$F$5:$BZ$5,0)))</f>
        <v>-5341.5899480833332</v>
      </c>
      <c r="AQ35" s="98">
        <f>IF(AQ$5="","",INDEX('Cash Flow'!$F$25:$BZ$25,1,MATCH(AQ$5,'Cash Flow'!$F$5:$BZ$5,0)))</f>
        <v>-5501.8376465258334</v>
      </c>
      <c r="AR35" s="98">
        <f>IF(AR$5="","",INDEX('Cash Flow'!$F$25:$BZ$25,1,MATCH(AR$5,'Cash Flow'!$F$5:$BZ$5,0)))</f>
        <v>-5501.8376465258334</v>
      </c>
      <c r="AS35" s="98">
        <f>IF(AS$5="","",INDEX('Cash Flow'!$F$25:$BZ$25,1,MATCH(AS$5,'Cash Flow'!$F$5:$BZ$5,0)))</f>
        <v>-5501.8376465258334</v>
      </c>
      <c r="AT35" s="98">
        <f>IF(AT$5="","",INDEX('Cash Flow'!$F$25:$BZ$25,1,MATCH(AT$5,'Cash Flow'!$F$5:$BZ$5,0)))</f>
        <v>-5501.8376465258334</v>
      </c>
      <c r="AU35" s="98">
        <f>IF(AU$5="","",INDEX('Cash Flow'!$F$25:$BZ$25,1,MATCH(AU$5,'Cash Flow'!$F$5:$BZ$5,0)))</f>
        <v>-5501.8376465258334</v>
      </c>
      <c r="AV35" s="98">
        <f>IF(AV$5="","",INDEX('Cash Flow'!$F$25:$BZ$25,1,MATCH(AV$5,'Cash Flow'!$F$5:$BZ$5,0)))</f>
        <v>-5501.8376465258334</v>
      </c>
      <c r="AW35" s="98">
        <f>IF(AW$5="","",INDEX('Cash Flow'!$F$25:$BZ$25,1,MATCH(AW$5,'Cash Flow'!$F$5:$BZ$5,0)))</f>
        <v>-5501.8376465258334</v>
      </c>
      <c r="AX35" s="98">
        <f>IF(AX$5="","",INDEX('Cash Flow'!$F$25:$BZ$25,1,MATCH(AX$5,'Cash Flow'!$F$5:$BZ$5,0)))</f>
        <v>-5501.8376465258334</v>
      </c>
      <c r="AY35" s="98">
        <f>IF(AY$5="","",INDEX('Cash Flow'!$F$25:$BZ$25,1,MATCH(AY$5,'Cash Flow'!$F$5:$BZ$5,0)))</f>
        <v>-5501.8376465258334</v>
      </c>
      <c r="AZ35" s="98">
        <f>IF(AZ$5="","",INDEX('Cash Flow'!$F$25:$BZ$25,1,MATCH(AZ$5,'Cash Flow'!$F$5:$BZ$5,0)))</f>
        <v>-5501.8376465258334</v>
      </c>
      <c r="BA35" s="98">
        <f>IF(BA$5="","",INDEX('Cash Flow'!$F$25:$BZ$25,1,MATCH(BA$5,'Cash Flow'!$F$5:$BZ$5,0)))</f>
        <v>-5501.8376465258334</v>
      </c>
      <c r="BB35" s="98">
        <f>IF(BB$5="","",INDEX('Cash Flow'!$F$25:$BZ$25,1,MATCH(BB$5,'Cash Flow'!$F$5:$BZ$5,0)))</f>
        <v>-5501.8376465258334</v>
      </c>
      <c r="BC35" s="98">
        <f>IF(BC$5="","",INDEX('Cash Flow'!$F$25:$BZ$25,1,MATCH(BC$5,'Cash Flow'!$F$5:$BZ$5,0)))</f>
        <v>-5666.8927759216085</v>
      </c>
      <c r="BD35" s="98">
        <f>IF(BD$5="","",INDEX('Cash Flow'!$F$25:$BZ$25,1,MATCH(BD$5,'Cash Flow'!$F$5:$BZ$5,0)))</f>
        <v>-5666.8927759216085</v>
      </c>
      <c r="BE35" s="98">
        <f>IF(BE$5="","",INDEX('Cash Flow'!$F$25:$BZ$25,1,MATCH(BE$5,'Cash Flow'!$F$5:$BZ$5,0)))</f>
        <v>-5666.8927759216085</v>
      </c>
      <c r="BF35" s="98">
        <f>IF(BF$5="","",INDEX('Cash Flow'!$F$25:$BZ$25,1,MATCH(BF$5,'Cash Flow'!$F$5:$BZ$5,0)))</f>
        <v>-5666.8927759216085</v>
      </c>
      <c r="BG35" s="98">
        <f>IF(BG$5="","",INDEX('Cash Flow'!$F$25:$BZ$25,1,MATCH(BG$5,'Cash Flow'!$F$5:$BZ$5,0)))</f>
        <v>-5666.8927759216085</v>
      </c>
      <c r="BH35" s="98">
        <f>IF(BH$5="","",INDEX('Cash Flow'!$F$25:$BZ$25,1,MATCH(BH$5,'Cash Flow'!$F$5:$BZ$5,0)))</f>
        <v>-5666.8927759216085</v>
      </c>
      <c r="BI35" s="98">
        <f>IF(BI$5="","",INDEX('Cash Flow'!$F$25:$BZ$25,1,MATCH(BI$5,'Cash Flow'!$F$5:$BZ$5,0)))</f>
        <v>-5666.8927759216085</v>
      </c>
      <c r="BJ35" s="98">
        <f>IF(BJ$5="","",INDEX('Cash Flow'!$F$25:$BZ$25,1,MATCH(BJ$5,'Cash Flow'!$F$5:$BZ$5,0)))</f>
        <v>-5666.8927759216085</v>
      </c>
      <c r="BK35" s="98">
        <f>IF(BK$5="","",INDEX('Cash Flow'!$F$25:$BZ$25,1,MATCH(BK$5,'Cash Flow'!$F$5:$BZ$5,0)))</f>
        <v>-5666.8927759216085</v>
      </c>
      <c r="BL35" s="98">
        <f>IF(BL$5="","",INDEX('Cash Flow'!$F$25:$BZ$25,1,MATCH(BL$5,'Cash Flow'!$F$5:$BZ$5,0)))</f>
        <v>-5666.8927759216085</v>
      </c>
      <c r="BM35" s="98">
        <f>IF(BM$5="","",INDEX('Cash Flow'!$F$25:$BZ$25,1,MATCH(BM$5,'Cash Flow'!$F$5:$BZ$5,0)))</f>
        <v>-5666.8927759216085</v>
      </c>
      <c r="BN35" s="98">
        <f>IF(BN$5="","",INDEX('Cash Flow'!$F$25:$BZ$25,1,MATCH(BN$5,'Cash Flow'!$F$5:$BZ$5,0)))</f>
        <v>-5666.8927759216085</v>
      </c>
    </row>
    <row r="36" spans="2:66" x14ac:dyDescent="0.2">
      <c r="B36" s="65" t="s">
        <v>281</v>
      </c>
      <c r="C36" s="65"/>
      <c r="D36" s="65"/>
      <c r="E36" s="65"/>
      <c r="F36" s="98">
        <f>IF(F$5="","",INDEX('Cash Flow'!$F$26:$BZ$26,1,MATCH(F$5,'Cash Flow'!$F$5:$BZ$5,0)))</f>
        <v>0</v>
      </c>
      <c r="G36" s="98">
        <f>IF(G$5="","",INDEX('Cash Flow'!$F$26:$BZ$26,1,MATCH(G$5,'Cash Flow'!$F$5:$BZ$5,0)))</f>
        <v>24103.63</v>
      </c>
      <c r="H36" s="98">
        <f>IF(H$5="","",INDEX('Cash Flow'!$F$26:$BZ$26,1,MATCH(H$5,'Cash Flow'!$F$5:$BZ$5,0)))</f>
        <v>-1405.85</v>
      </c>
      <c r="I36" s="98">
        <f>IF(I$5="","",INDEX('Cash Flow'!$F$26:$BZ$26,1,MATCH(I$5,'Cash Flow'!$F$5:$BZ$5,0)))</f>
        <v>-1282.29</v>
      </c>
      <c r="J36" s="98">
        <f>IF(J$5="","",INDEX('Cash Flow'!$F$26:$BZ$26,1,MATCH(J$5,'Cash Flow'!$F$5:$BZ$5,0)))</f>
        <v>-1229.19</v>
      </c>
      <c r="K36" s="98">
        <f>IF(K$5="","",INDEX('Cash Flow'!$F$26:$BZ$26,1,MATCH(K$5,'Cash Flow'!$F$5:$BZ$5,0)))</f>
        <v>-1620.26</v>
      </c>
      <c r="L36" s="98">
        <f>IF(L$5="","",INDEX('Cash Flow'!$F$26:$BZ$26,1,MATCH(L$5,'Cash Flow'!$F$5:$BZ$5,0)))</f>
        <v>-1488.35</v>
      </c>
      <c r="M36" s="98">
        <f>IF(M$5="","",INDEX('Cash Flow'!$F$26:$BZ$26,1,MATCH(M$5,'Cash Flow'!$F$5:$BZ$5,0)))</f>
        <v>-663.43</v>
      </c>
      <c r="N36" s="98">
        <f>IF(N$5="","",INDEX('Cash Flow'!$F$26:$BZ$26,1,MATCH(N$5,'Cash Flow'!$F$5:$BZ$5,0)))</f>
        <v>-2068.56</v>
      </c>
      <c r="O36" s="98">
        <f>IF(O$5="","",INDEX('Cash Flow'!$F$26:$BZ$26,1,MATCH(O$5,'Cash Flow'!$F$5:$BZ$5,0)))</f>
        <v>-1063.8800000000001</v>
      </c>
      <c r="P36" s="98">
        <f>IF(P$5="","",INDEX('Cash Flow'!$F$26:$BZ$26,1,MATCH(P$5,'Cash Flow'!$F$5:$BZ$5,0)))</f>
        <v>-1167.23</v>
      </c>
      <c r="Q36" s="98">
        <f>IF(Q$5="","",INDEX('Cash Flow'!$F$26:$BZ$26,1,MATCH(Q$5,'Cash Flow'!$F$5:$BZ$5,0)))</f>
        <v>-1095.8333333333333</v>
      </c>
      <c r="R36" s="98">
        <f>IF(R$5="","",INDEX('Cash Flow'!$F$26:$BZ$26,1,MATCH(R$5,'Cash Flow'!$F$5:$BZ$5,0)))</f>
        <v>-1095.8333333333333</v>
      </c>
      <c r="S36" s="98">
        <f>IF(S$5="","",INDEX('Cash Flow'!$F$26:$BZ$26,1,MATCH(S$5,'Cash Flow'!$F$5:$BZ$5,0)))</f>
        <v>-1095.8333333333333</v>
      </c>
      <c r="T36" s="98">
        <f>IF(T$5="","",INDEX('Cash Flow'!$F$26:$BZ$26,1,MATCH(T$5,'Cash Flow'!$F$5:$BZ$5,0)))</f>
        <v>-1095.8333333333333</v>
      </c>
      <c r="U36" s="98">
        <f>IF(U$5="","",INDEX('Cash Flow'!$F$26:$BZ$26,1,MATCH(U$5,'Cash Flow'!$F$5:$BZ$5,0)))</f>
        <v>-1095.8333333333333</v>
      </c>
      <c r="V36" s="98">
        <f>IF(V$5="","",INDEX('Cash Flow'!$F$26:$BZ$26,1,MATCH(V$5,'Cash Flow'!$F$5:$BZ$5,0)))</f>
        <v>-1095.8333333333333</v>
      </c>
      <c r="W36" s="98">
        <f>IF(W$5="","",INDEX('Cash Flow'!$F$26:$BZ$26,1,MATCH(W$5,'Cash Flow'!$F$5:$BZ$5,0)))</f>
        <v>-1095.8333333333333</v>
      </c>
      <c r="X36" s="98">
        <f>IF(X$5="","",INDEX('Cash Flow'!$F$26:$BZ$26,1,MATCH(X$5,'Cash Flow'!$F$5:$BZ$5,0)))</f>
        <v>-1095.8333333333333</v>
      </c>
      <c r="Y36" s="98">
        <f>IF(Y$5="","",INDEX('Cash Flow'!$F$26:$BZ$26,1,MATCH(Y$5,'Cash Flow'!$F$5:$BZ$5,0)))</f>
        <v>-1095.8333333333333</v>
      </c>
      <c r="Z36" s="98">
        <f>IF(Z$5="","",INDEX('Cash Flow'!$F$26:$BZ$26,1,MATCH(Z$5,'Cash Flow'!$F$5:$BZ$5,0)))</f>
        <v>-1095.8333333333333</v>
      </c>
      <c r="AA36" s="98">
        <f>IF(AA$5="","",INDEX('Cash Flow'!$F$26:$BZ$26,1,MATCH(AA$5,'Cash Flow'!$F$5:$BZ$5,0)))</f>
        <v>-1095.8333333333333</v>
      </c>
      <c r="AB36" s="98">
        <f>IF(AB$5="","",INDEX('Cash Flow'!$F$26:$BZ$26,1,MATCH(AB$5,'Cash Flow'!$F$5:$BZ$5,0)))</f>
        <v>-1095.8333333333333</v>
      </c>
      <c r="AC36" s="98">
        <f>IF(AC$5="","",INDEX('Cash Flow'!$F$26:$BZ$26,1,MATCH(AC$5,'Cash Flow'!$F$5:$BZ$5,0)))</f>
        <v>-1095.8333333333333</v>
      </c>
      <c r="AD36" s="98">
        <f>IF(AD$5="","",INDEX('Cash Flow'!$F$26:$BZ$26,1,MATCH(AD$5,'Cash Flow'!$F$5:$BZ$5,0)))</f>
        <v>-1095.8333333333333</v>
      </c>
      <c r="AE36" s="98">
        <f>IF(AE$5="","",INDEX('Cash Flow'!$F$26:$BZ$26,1,MATCH(AE$5,'Cash Flow'!$F$5:$BZ$5,0)))</f>
        <v>-1128.7083333333333</v>
      </c>
      <c r="AF36" s="98">
        <f>IF(AF$5="","",INDEX('Cash Flow'!$F$26:$BZ$26,1,MATCH(AF$5,'Cash Flow'!$F$5:$BZ$5,0)))</f>
        <v>-1128.7083333333333</v>
      </c>
      <c r="AG36" s="98">
        <f>IF(AG$5="","",INDEX('Cash Flow'!$F$26:$BZ$26,1,MATCH(AG$5,'Cash Flow'!$F$5:$BZ$5,0)))</f>
        <v>-1128.7083333333333</v>
      </c>
      <c r="AH36" s="98">
        <f>IF(AH$5="","",INDEX('Cash Flow'!$F$26:$BZ$26,1,MATCH(AH$5,'Cash Flow'!$F$5:$BZ$5,0)))</f>
        <v>-1128.7083333333333</v>
      </c>
      <c r="AI36" s="98">
        <f>IF(AI$5="","",INDEX('Cash Flow'!$F$26:$BZ$26,1,MATCH(AI$5,'Cash Flow'!$F$5:$BZ$5,0)))</f>
        <v>-1128.7083333333333</v>
      </c>
      <c r="AJ36" s="98">
        <f>IF(AJ$5="","",INDEX('Cash Flow'!$F$26:$BZ$26,1,MATCH(AJ$5,'Cash Flow'!$F$5:$BZ$5,0)))</f>
        <v>-1128.7083333333333</v>
      </c>
      <c r="AK36" s="98">
        <f>IF(AK$5="","",INDEX('Cash Flow'!$F$26:$BZ$26,1,MATCH(AK$5,'Cash Flow'!$F$5:$BZ$5,0)))</f>
        <v>-1128.7083333333333</v>
      </c>
      <c r="AL36" s="98">
        <f>IF(AL$5="","",INDEX('Cash Flow'!$F$26:$BZ$26,1,MATCH(AL$5,'Cash Flow'!$F$5:$BZ$5,0)))</f>
        <v>-1128.7083333333333</v>
      </c>
      <c r="AM36" s="98">
        <f>IF(AM$5="","",INDEX('Cash Flow'!$F$26:$BZ$26,1,MATCH(AM$5,'Cash Flow'!$F$5:$BZ$5,0)))</f>
        <v>-1128.7083333333333</v>
      </c>
      <c r="AN36" s="98">
        <f>IF(AN$5="","",INDEX('Cash Flow'!$F$26:$BZ$26,1,MATCH(AN$5,'Cash Flow'!$F$5:$BZ$5,0)))</f>
        <v>-1128.7083333333333</v>
      </c>
      <c r="AO36" s="98">
        <f>IF(AO$5="","",INDEX('Cash Flow'!$F$26:$BZ$26,1,MATCH(AO$5,'Cash Flow'!$F$5:$BZ$5,0)))</f>
        <v>-1128.7083333333333</v>
      </c>
      <c r="AP36" s="98">
        <f>IF(AP$5="","",INDEX('Cash Flow'!$F$26:$BZ$26,1,MATCH(AP$5,'Cash Flow'!$F$5:$BZ$5,0)))</f>
        <v>-1128.7083333333333</v>
      </c>
      <c r="AQ36" s="98">
        <f>IF(AQ$5="","",INDEX('Cash Flow'!$F$26:$BZ$26,1,MATCH(AQ$5,'Cash Flow'!$F$5:$BZ$5,0)))</f>
        <v>-1162.5695833333332</v>
      </c>
      <c r="AR36" s="98">
        <f>IF(AR$5="","",INDEX('Cash Flow'!$F$26:$BZ$26,1,MATCH(AR$5,'Cash Flow'!$F$5:$BZ$5,0)))</f>
        <v>-1162.5695833333332</v>
      </c>
      <c r="AS36" s="98">
        <f>IF(AS$5="","",INDEX('Cash Flow'!$F$26:$BZ$26,1,MATCH(AS$5,'Cash Flow'!$F$5:$BZ$5,0)))</f>
        <v>-1162.5695833333332</v>
      </c>
      <c r="AT36" s="98">
        <f>IF(AT$5="","",INDEX('Cash Flow'!$F$26:$BZ$26,1,MATCH(AT$5,'Cash Flow'!$F$5:$BZ$5,0)))</f>
        <v>-1162.5695833333332</v>
      </c>
      <c r="AU36" s="98">
        <f>IF(AU$5="","",INDEX('Cash Flow'!$F$26:$BZ$26,1,MATCH(AU$5,'Cash Flow'!$F$5:$BZ$5,0)))</f>
        <v>-1162.5695833333332</v>
      </c>
      <c r="AV36" s="98">
        <f>IF(AV$5="","",INDEX('Cash Flow'!$F$26:$BZ$26,1,MATCH(AV$5,'Cash Flow'!$F$5:$BZ$5,0)))</f>
        <v>-1162.5695833333332</v>
      </c>
      <c r="AW36" s="98">
        <f>IF(AW$5="","",INDEX('Cash Flow'!$F$26:$BZ$26,1,MATCH(AW$5,'Cash Flow'!$F$5:$BZ$5,0)))</f>
        <v>-1162.5695833333332</v>
      </c>
      <c r="AX36" s="98">
        <f>IF(AX$5="","",INDEX('Cash Flow'!$F$26:$BZ$26,1,MATCH(AX$5,'Cash Flow'!$F$5:$BZ$5,0)))</f>
        <v>-1162.5695833333332</v>
      </c>
      <c r="AY36" s="98">
        <f>IF(AY$5="","",INDEX('Cash Flow'!$F$26:$BZ$26,1,MATCH(AY$5,'Cash Flow'!$F$5:$BZ$5,0)))</f>
        <v>-1162.5695833333332</v>
      </c>
      <c r="AZ36" s="98">
        <f>IF(AZ$5="","",INDEX('Cash Flow'!$F$26:$BZ$26,1,MATCH(AZ$5,'Cash Flow'!$F$5:$BZ$5,0)))</f>
        <v>-1162.5695833333332</v>
      </c>
      <c r="BA36" s="98">
        <f>IF(BA$5="","",INDEX('Cash Flow'!$F$26:$BZ$26,1,MATCH(BA$5,'Cash Flow'!$F$5:$BZ$5,0)))</f>
        <v>-1162.5695833333332</v>
      </c>
      <c r="BB36" s="98">
        <f>IF(BB$5="","",INDEX('Cash Flow'!$F$26:$BZ$26,1,MATCH(BB$5,'Cash Flow'!$F$5:$BZ$5,0)))</f>
        <v>-1162.5695833333332</v>
      </c>
      <c r="BC36" s="98">
        <f>IF(BC$5="","",INDEX('Cash Flow'!$F$26:$BZ$26,1,MATCH(BC$5,'Cash Flow'!$F$5:$BZ$5,0)))</f>
        <v>-1197.4466708333332</v>
      </c>
      <c r="BD36" s="98">
        <f>IF(BD$5="","",INDEX('Cash Flow'!$F$26:$BZ$26,1,MATCH(BD$5,'Cash Flow'!$F$5:$BZ$5,0)))</f>
        <v>-1197.4466708333332</v>
      </c>
      <c r="BE36" s="98">
        <f>IF(BE$5="","",INDEX('Cash Flow'!$F$26:$BZ$26,1,MATCH(BE$5,'Cash Flow'!$F$5:$BZ$5,0)))</f>
        <v>-1197.4466708333332</v>
      </c>
      <c r="BF36" s="98">
        <f>IF(BF$5="","",INDEX('Cash Flow'!$F$26:$BZ$26,1,MATCH(BF$5,'Cash Flow'!$F$5:$BZ$5,0)))</f>
        <v>-1197.4466708333332</v>
      </c>
      <c r="BG36" s="98">
        <f>IF(BG$5="","",INDEX('Cash Flow'!$F$26:$BZ$26,1,MATCH(BG$5,'Cash Flow'!$F$5:$BZ$5,0)))</f>
        <v>-1197.4466708333332</v>
      </c>
      <c r="BH36" s="98">
        <f>IF(BH$5="","",INDEX('Cash Flow'!$F$26:$BZ$26,1,MATCH(BH$5,'Cash Flow'!$F$5:$BZ$5,0)))</f>
        <v>-1197.4466708333332</v>
      </c>
      <c r="BI36" s="98">
        <f>IF(BI$5="","",INDEX('Cash Flow'!$F$26:$BZ$26,1,MATCH(BI$5,'Cash Flow'!$F$5:$BZ$5,0)))</f>
        <v>-1197.4466708333332</v>
      </c>
      <c r="BJ36" s="98">
        <f>IF(BJ$5="","",INDEX('Cash Flow'!$F$26:$BZ$26,1,MATCH(BJ$5,'Cash Flow'!$F$5:$BZ$5,0)))</f>
        <v>-1197.4466708333332</v>
      </c>
      <c r="BK36" s="98">
        <f>IF(BK$5="","",INDEX('Cash Flow'!$F$26:$BZ$26,1,MATCH(BK$5,'Cash Flow'!$F$5:$BZ$5,0)))</f>
        <v>-1197.4466708333332</v>
      </c>
      <c r="BL36" s="98">
        <f>IF(BL$5="","",INDEX('Cash Flow'!$F$26:$BZ$26,1,MATCH(BL$5,'Cash Flow'!$F$5:$BZ$5,0)))</f>
        <v>-1197.4466708333332</v>
      </c>
      <c r="BM36" s="98">
        <f>IF(BM$5="","",INDEX('Cash Flow'!$F$26:$BZ$26,1,MATCH(BM$5,'Cash Flow'!$F$5:$BZ$5,0)))</f>
        <v>-1197.4466708333332</v>
      </c>
      <c r="BN36" s="98">
        <f>IF(BN$5="","",INDEX('Cash Flow'!$F$26:$BZ$26,1,MATCH(BN$5,'Cash Flow'!$F$5:$BZ$5,0)))</f>
        <v>-1197.4466708333332</v>
      </c>
    </row>
    <row r="37" spans="2:66" x14ac:dyDescent="0.2">
      <c r="B37" s="65" t="s">
        <v>282</v>
      </c>
      <c r="C37" s="65"/>
      <c r="D37" s="65"/>
      <c r="E37" s="65"/>
      <c r="F37" s="98">
        <f>IF(F$5="","",INDEX('Cash Flow'!$F$27:$BZ$27,1,MATCH(F$5,'Cash Flow'!$F$5:$BZ$5,0)))</f>
        <v>0</v>
      </c>
      <c r="G37" s="98">
        <f>IF(G$5="","",INDEX('Cash Flow'!$F$27:$BZ$27,1,MATCH(G$5,'Cash Flow'!$F$5:$BZ$5,0)))</f>
        <v>0</v>
      </c>
      <c r="H37" s="98">
        <f>IF(H$5="","",INDEX('Cash Flow'!$F$27:$BZ$27,1,MATCH(H$5,'Cash Flow'!$F$5:$BZ$5,0)))</f>
        <v>-250</v>
      </c>
      <c r="I37" s="98">
        <f>IF(I$5="","",INDEX('Cash Flow'!$F$27:$BZ$27,1,MATCH(I$5,'Cash Flow'!$F$5:$BZ$5,0)))</f>
        <v>0</v>
      </c>
      <c r="J37" s="98">
        <f>IF(J$5="","",INDEX('Cash Flow'!$F$27:$BZ$27,1,MATCH(J$5,'Cash Flow'!$F$5:$BZ$5,0)))</f>
        <v>0</v>
      </c>
      <c r="K37" s="98">
        <f>IF(K$5="","",INDEX('Cash Flow'!$F$27:$BZ$27,1,MATCH(K$5,'Cash Flow'!$F$5:$BZ$5,0)))</f>
        <v>0</v>
      </c>
      <c r="L37" s="98">
        <f>IF(L$5="","",INDEX('Cash Flow'!$F$27:$BZ$27,1,MATCH(L$5,'Cash Flow'!$F$5:$BZ$5,0)))</f>
        <v>0</v>
      </c>
      <c r="M37" s="98">
        <f>IF(M$5="","",INDEX('Cash Flow'!$F$27:$BZ$27,1,MATCH(M$5,'Cash Flow'!$F$5:$BZ$5,0)))</f>
        <v>0</v>
      </c>
      <c r="N37" s="98">
        <f>IF(N$5="","",INDEX('Cash Flow'!$F$27:$BZ$27,1,MATCH(N$5,'Cash Flow'!$F$5:$BZ$5,0)))</f>
        <v>0</v>
      </c>
      <c r="O37" s="98">
        <f>IF(O$5="","",INDEX('Cash Flow'!$F$27:$BZ$27,1,MATCH(O$5,'Cash Flow'!$F$5:$BZ$5,0)))</f>
        <v>0</v>
      </c>
      <c r="P37" s="98">
        <f>IF(P$5="","",INDEX('Cash Flow'!$F$27:$BZ$27,1,MATCH(P$5,'Cash Flow'!$F$5:$BZ$5,0)))</f>
        <v>0</v>
      </c>
      <c r="Q37" s="98">
        <f>IF(Q$5="","",INDEX('Cash Flow'!$F$27:$BZ$27,1,MATCH(Q$5,'Cash Flow'!$F$5:$BZ$5,0)))</f>
        <v>-20.833333333333332</v>
      </c>
      <c r="R37" s="98">
        <f>IF(R$5="","",INDEX('Cash Flow'!$F$27:$BZ$27,1,MATCH(R$5,'Cash Flow'!$F$5:$BZ$5,0)))</f>
        <v>-20.833333333333332</v>
      </c>
      <c r="S37" s="98">
        <f>IF(S$5="","",INDEX('Cash Flow'!$F$27:$BZ$27,1,MATCH(S$5,'Cash Flow'!$F$5:$BZ$5,0)))</f>
        <v>-20.833333333333332</v>
      </c>
      <c r="T37" s="98">
        <f>IF(T$5="","",INDEX('Cash Flow'!$F$27:$BZ$27,1,MATCH(T$5,'Cash Flow'!$F$5:$BZ$5,0)))</f>
        <v>-20.833333333333332</v>
      </c>
      <c r="U37" s="98">
        <f>IF(U$5="","",INDEX('Cash Flow'!$F$27:$BZ$27,1,MATCH(U$5,'Cash Flow'!$F$5:$BZ$5,0)))</f>
        <v>-20.833333333333332</v>
      </c>
      <c r="V37" s="98">
        <f>IF(V$5="","",INDEX('Cash Flow'!$F$27:$BZ$27,1,MATCH(V$5,'Cash Flow'!$F$5:$BZ$5,0)))</f>
        <v>-20.833333333333332</v>
      </c>
      <c r="W37" s="98">
        <f>IF(W$5="","",INDEX('Cash Flow'!$F$27:$BZ$27,1,MATCH(W$5,'Cash Flow'!$F$5:$BZ$5,0)))</f>
        <v>-20.833333333333332</v>
      </c>
      <c r="X37" s="98">
        <f>IF(X$5="","",INDEX('Cash Flow'!$F$27:$BZ$27,1,MATCH(X$5,'Cash Flow'!$F$5:$BZ$5,0)))</f>
        <v>-20.833333333333332</v>
      </c>
      <c r="Y37" s="98">
        <f>IF(Y$5="","",INDEX('Cash Flow'!$F$27:$BZ$27,1,MATCH(Y$5,'Cash Flow'!$F$5:$BZ$5,0)))</f>
        <v>-20.833333333333332</v>
      </c>
      <c r="Z37" s="98">
        <f>IF(Z$5="","",INDEX('Cash Flow'!$F$27:$BZ$27,1,MATCH(Z$5,'Cash Flow'!$F$5:$BZ$5,0)))</f>
        <v>-20.833333333333332</v>
      </c>
      <c r="AA37" s="98">
        <f>IF(AA$5="","",INDEX('Cash Flow'!$F$27:$BZ$27,1,MATCH(AA$5,'Cash Flow'!$F$5:$BZ$5,0)))</f>
        <v>-20.833333333333332</v>
      </c>
      <c r="AB37" s="98">
        <f>IF(AB$5="","",INDEX('Cash Flow'!$F$27:$BZ$27,1,MATCH(AB$5,'Cash Flow'!$F$5:$BZ$5,0)))</f>
        <v>-20.833333333333332</v>
      </c>
      <c r="AC37" s="98">
        <f>IF(AC$5="","",INDEX('Cash Flow'!$F$27:$BZ$27,1,MATCH(AC$5,'Cash Flow'!$F$5:$BZ$5,0)))</f>
        <v>-20.833333333333332</v>
      </c>
      <c r="AD37" s="98">
        <f>IF(AD$5="","",INDEX('Cash Flow'!$F$27:$BZ$27,1,MATCH(AD$5,'Cash Flow'!$F$5:$BZ$5,0)))</f>
        <v>-20.833333333333332</v>
      </c>
      <c r="AE37" s="98">
        <f>IF(AE$5="","",INDEX('Cash Flow'!$F$27:$BZ$27,1,MATCH(AE$5,'Cash Flow'!$F$5:$BZ$5,0)))</f>
        <v>-21.458333333333332</v>
      </c>
      <c r="AF37" s="98">
        <f>IF(AF$5="","",INDEX('Cash Flow'!$F$27:$BZ$27,1,MATCH(AF$5,'Cash Flow'!$F$5:$BZ$5,0)))</f>
        <v>-21.458333333333332</v>
      </c>
      <c r="AG37" s="98">
        <f>IF(AG$5="","",INDEX('Cash Flow'!$F$27:$BZ$27,1,MATCH(AG$5,'Cash Flow'!$F$5:$BZ$5,0)))</f>
        <v>-21.458333333333332</v>
      </c>
      <c r="AH37" s="98">
        <f>IF(AH$5="","",INDEX('Cash Flow'!$F$27:$BZ$27,1,MATCH(AH$5,'Cash Flow'!$F$5:$BZ$5,0)))</f>
        <v>-21.458333333333332</v>
      </c>
      <c r="AI37" s="98">
        <f>IF(AI$5="","",INDEX('Cash Flow'!$F$27:$BZ$27,1,MATCH(AI$5,'Cash Flow'!$F$5:$BZ$5,0)))</f>
        <v>-21.458333333333332</v>
      </c>
      <c r="AJ37" s="98">
        <f>IF(AJ$5="","",INDEX('Cash Flow'!$F$27:$BZ$27,1,MATCH(AJ$5,'Cash Flow'!$F$5:$BZ$5,0)))</f>
        <v>-21.458333333333332</v>
      </c>
      <c r="AK37" s="98">
        <f>IF(AK$5="","",INDEX('Cash Flow'!$F$27:$BZ$27,1,MATCH(AK$5,'Cash Flow'!$F$5:$BZ$5,0)))</f>
        <v>-21.458333333333332</v>
      </c>
      <c r="AL37" s="98">
        <f>IF(AL$5="","",INDEX('Cash Flow'!$F$27:$BZ$27,1,MATCH(AL$5,'Cash Flow'!$F$5:$BZ$5,0)))</f>
        <v>-21.458333333333332</v>
      </c>
      <c r="AM37" s="98">
        <f>IF(AM$5="","",INDEX('Cash Flow'!$F$27:$BZ$27,1,MATCH(AM$5,'Cash Flow'!$F$5:$BZ$5,0)))</f>
        <v>-21.458333333333332</v>
      </c>
      <c r="AN37" s="98">
        <f>IF(AN$5="","",INDEX('Cash Flow'!$F$27:$BZ$27,1,MATCH(AN$5,'Cash Flow'!$F$5:$BZ$5,0)))</f>
        <v>-21.458333333333332</v>
      </c>
      <c r="AO37" s="98">
        <f>IF(AO$5="","",INDEX('Cash Flow'!$F$27:$BZ$27,1,MATCH(AO$5,'Cash Flow'!$F$5:$BZ$5,0)))</f>
        <v>-21.458333333333332</v>
      </c>
      <c r="AP37" s="98">
        <f>IF(AP$5="","",INDEX('Cash Flow'!$F$27:$BZ$27,1,MATCH(AP$5,'Cash Flow'!$F$5:$BZ$5,0)))</f>
        <v>-21.458333333333332</v>
      </c>
      <c r="AQ37" s="98">
        <f>IF(AQ$5="","",INDEX('Cash Flow'!$F$27:$BZ$27,1,MATCH(AQ$5,'Cash Flow'!$F$5:$BZ$5,0)))</f>
        <v>-22.102083333333333</v>
      </c>
      <c r="AR37" s="98">
        <f>IF(AR$5="","",INDEX('Cash Flow'!$F$27:$BZ$27,1,MATCH(AR$5,'Cash Flow'!$F$5:$BZ$5,0)))</f>
        <v>-22.102083333333333</v>
      </c>
      <c r="AS37" s="98">
        <f>IF(AS$5="","",INDEX('Cash Flow'!$F$27:$BZ$27,1,MATCH(AS$5,'Cash Flow'!$F$5:$BZ$5,0)))</f>
        <v>-22.102083333333333</v>
      </c>
      <c r="AT37" s="98">
        <f>IF(AT$5="","",INDEX('Cash Flow'!$F$27:$BZ$27,1,MATCH(AT$5,'Cash Flow'!$F$5:$BZ$5,0)))</f>
        <v>-22.102083333333333</v>
      </c>
      <c r="AU37" s="98">
        <f>IF(AU$5="","",INDEX('Cash Flow'!$F$27:$BZ$27,1,MATCH(AU$5,'Cash Flow'!$F$5:$BZ$5,0)))</f>
        <v>-22.102083333333333</v>
      </c>
      <c r="AV37" s="98">
        <f>IF(AV$5="","",INDEX('Cash Flow'!$F$27:$BZ$27,1,MATCH(AV$5,'Cash Flow'!$F$5:$BZ$5,0)))</f>
        <v>-22.102083333333333</v>
      </c>
      <c r="AW37" s="98">
        <f>IF(AW$5="","",INDEX('Cash Flow'!$F$27:$BZ$27,1,MATCH(AW$5,'Cash Flow'!$F$5:$BZ$5,0)))</f>
        <v>-22.102083333333333</v>
      </c>
      <c r="AX37" s="98">
        <f>IF(AX$5="","",INDEX('Cash Flow'!$F$27:$BZ$27,1,MATCH(AX$5,'Cash Flow'!$F$5:$BZ$5,0)))</f>
        <v>-22.102083333333333</v>
      </c>
      <c r="AY37" s="98">
        <f>IF(AY$5="","",INDEX('Cash Flow'!$F$27:$BZ$27,1,MATCH(AY$5,'Cash Flow'!$F$5:$BZ$5,0)))</f>
        <v>-22.102083333333333</v>
      </c>
      <c r="AZ37" s="98">
        <f>IF(AZ$5="","",INDEX('Cash Flow'!$F$27:$BZ$27,1,MATCH(AZ$5,'Cash Flow'!$F$5:$BZ$5,0)))</f>
        <v>-22.102083333333333</v>
      </c>
      <c r="BA37" s="98">
        <f>IF(BA$5="","",INDEX('Cash Flow'!$F$27:$BZ$27,1,MATCH(BA$5,'Cash Flow'!$F$5:$BZ$5,0)))</f>
        <v>-22.102083333333333</v>
      </c>
      <c r="BB37" s="98">
        <f>IF(BB$5="","",INDEX('Cash Flow'!$F$27:$BZ$27,1,MATCH(BB$5,'Cash Flow'!$F$5:$BZ$5,0)))</f>
        <v>-22.102083333333333</v>
      </c>
      <c r="BC37" s="98">
        <f>IF(BC$5="","",INDEX('Cash Flow'!$F$27:$BZ$27,1,MATCH(BC$5,'Cash Flow'!$F$5:$BZ$5,0)))</f>
        <v>-22.765145833333332</v>
      </c>
      <c r="BD37" s="98">
        <f>IF(BD$5="","",INDEX('Cash Flow'!$F$27:$BZ$27,1,MATCH(BD$5,'Cash Flow'!$F$5:$BZ$5,0)))</f>
        <v>-22.765145833333332</v>
      </c>
      <c r="BE37" s="98">
        <f>IF(BE$5="","",INDEX('Cash Flow'!$F$27:$BZ$27,1,MATCH(BE$5,'Cash Flow'!$F$5:$BZ$5,0)))</f>
        <v>-22.765145833333332</v>
      </c>
      <c r="BF37" s="98">
        <f>IF(BF$5="","",INDEX('Cash Flow'!$F$27:$BZ$27,1,MATCH(BF$5,'Cash Flow'!$F$5:$BZ$5,0)))</f>
        <v>-22.765145833333332</v>
      </c>
      <c r="BG37" s="98">
        <f>IF(BG$5="","",INDEX('Cash Flow'!$F$27:$BZ$27,1,MATCH(BG$5,'Cash Flow'!$F$5:$BZ$5,0)))</f>
        <v>-22.765145833333332</v>
      </c>
      <c r="BH37" s="98">
        <f>IF(BH$5="","",INDEX('Cash Flow'!$F$27:$BZ$27,1,MATCH(BH$5,'Cash Flow'!$F$5:$BZ$5,0)))</f>
        <v>-22.765145833333332</v>
      </c>
      <c r="BI37" s="98">
        <f>IF(BI$5="","",INDEX('Cash Flow'!$F$27:$BZ$27,1,MATCH(BI$5,'Cash Flow'!$F$5:$BZ$5,0)))</f>
        <v>-22.765145833333332</v>
      </c>
      <c r="BJ37" s="98">
        <f>IF(BJ$5="","",INDEX('Cash Flow'!$F$27:$BZ$27,1,MATCH(BJ$5,'Cash Flow'!$F$5:$BZ$5,0)))</f>
        <v>-22.765145833333332</v>
      </c>
      <c r="BK37" s="98">
        <f>IF(BK$5="","",INDEX('Cash Flow'!$F$27:$BZ$27,1,MATCH(BK$5,'Cash Flow'!$F$5:$BZ$5,0)))</f>
        <v>-22.765145833333332</v>
      </c>
      <c r="BL37" s="98">
        <f>IF(BL$5="","",INDEX('Cash Flow'!$F$27:$BZ$27,1,MATCH(BL$5,'Cash Flow'!$F$5:$BZ$5,0)))</f>
        <v>-22.765145833333332</v>
      </c>
      <c r="BM37" s="98">
        <f>IF(BM$5="","",INDEX('Cash Flow'!$F$27:$BZ$27,1,MATCH(BM$5,'Cash Flow'!$F$5:$BZ$5,0)))</f>
        <v>-22.765145833333332</v>
      </c>
      <c r="BN37" s="98">
        <f>IF(BN$5="","",INDEX('Cash Flow'!$F$27:$BZ$27,1,MATCH(BN$5,'Cash Flow'!$F$5:$BZ$5,0)))</f>
        <v>-22.765145833333332</v>
      </c>
    </row>
    <row r="38" spans="2:66" x14ac:dyDescent="0.2">
      <c r="B38" s="65" t="s">
        <v>283</v>
      </c>
      <c r="C38" s="65"/>
      <c r="D38" s="65"/>
      <c r="E38" s="65"/>
      <c r="F38" s="98">
        <f>IF(F$5="","",INDEX('Cash Flow'!$F$28:$BZ$28,1,MATCH(F$5,'Cash Flow'!$F$5:$BZ$5,0)))</f>
        <v>0</v>
      </c>
      <c r="G38" s="98">
        <f>IF(G$5="","",INDEX('Cash Flow'!$F$28:$BZ$28,1,MATCH(G$5,'Cash Flow'!$F$5:$BZ$5,0)))</f>
        <v>-2390.04</v>
      </c>
      <c r="H38" s="98">
        <f>IF(H$5="","",INDEX('Cash Flow'!$F$28:$BZ$28,1,MATCH(H$5,'Cash Flow'!$F$5:$BZ$5,0)))</f>
        <v>-5225</v>
      </c>
      <c r="I38" s="98">
        <f>IF(I$5="","",INDEX('Cash Flow'!$F$28:$BZ$28,1,MATCH(I$5,'Cash Flow'!$F$5:$BZ$5,0)))</f>
        <v>-1961</v>
      </c>
      <c r="J38" s="98">
        <f>IF(J$5="","",INDEX('Cash Flow'!$F$28:$BZ$28,1,MATCH(J$5,'Cash Flow'!$F$5:$BZ$5,0)))</f>
        <v>-1875</v>
      </c>
      <c r="K38" s="98">
        <f>IF(K$5="","",INDEX('Cash Flow'!$F$28:$BZ$28,1,MATCH(K$5,'Cash Flow'!$F$5:$BZ$5,0)))</f>
        <v>-2025</v>
      </c>
      <c r="L38" s="98">
        <f>IF(L$5="","",INDEX('Cash Flow'!$F$28:$BZ$28,1,MATCH(L$5,'Cash Flow'!$F$5:$BZ$5,0)))</f>
        <v>-5316.57</v>
      </c>
      <c r="M38" s="98">
        <f>IF(M$5="","",INDEX('Cash Flow'!$F$28:$BZ$28,1,MATCH(M$5,'Cash Flow'!$F$5:$BZ$5,0)))</f>
        <v>-3450</v>
      </c>
      <c r="N38" s="98">
        <f>IF(N$5="","",INDEX('Cash Flow'!$F$28:$BZ$28,1,MATCH(N$5,'Cash Flow'!$F$5:$BZ$5,0)))</f>
        <v>-2800</v>
      </c>
      <c r="O38" s="98">
        <f>IF(O$5="","",INDEX('Cash Flow'!$F$28:$BZ$28,1,MATCH(O$5,'Cash Flow'!$F$5:$BZ$5,0)))</f>
        <v>-3450</v>
      </c>
      <c r="P38" s="98">
        <f>IF(P$5="","",INDEX('Cash Flow'!$F$28:$BZ$28,1,MATCH(P$5,'Cash Flow'!$F$5:$BZ$5,0)))</f>
        <v>-7512</v>
      </c>
      <c r="Q38" s="98">
        <f>IF(Q$5="","",INDEX('Cash Flow'!$F$28:$BZ$28,1,MATCH(Q$5,'Cash Flow'!$F$5:$BZ$5,0)))</f>
        <v>-3208.3333333333335</v>
      </c>
      <c r="R38" s="98">
        <f>IF(R$5="","",INDEX('Cash Flow'!$F$28:$BZ$28,1,MATCH(R$5,'Cash Flow'!$F$5:$BZ$5,0)))</f>
        <v>-3208.3333333333335</v>
      </c>
      <c r="S38" s="98">
        <f>IF(S$5="","",INDEX('Cash Flow'!$F$28:$BZ$28,1,MATCH(S$5,'Cash Flow'!$F$5:$BZ$5,0)))</f>
        <v>-3208.3333333333335</v>
      </c>
      <c r="T38" s="98">
        <f>IF(T$5="","",INDEX('Cash Flow'!$F$28:$BZ$28,1,MATCH(T$5,'Cash Flow'!$F$5:$BZ$5,0)))</f>
        <v>-3208.3333333333335</v>
      </c>
      <c r="U38" s="98">
        <f>IF(U$5="","",INDEX('Cash Flow'!$F$28:$BZ$28,1,MATCH(U$5,'Cash Flow'!$F$5:$BZ$5,0)))</f>
        <v>-3208.3333333333335</v>
      </c>
      <c r="V38" s="98">
        <f>IF(V$5="","",INDEX('Cash Flow'!$F$28:$BZ$28,1,MATCH(V$5,'Cash Flow'!$F$5:$BZ$5,0)))</f>
        <v>-3208.3333333333335</v>
      </c>
      <c r="W38" s="98">
        <f>IF(W$5="","",INDEX('Cash Flow'!$F$28:$BZ$28,1,MATCH(W$5,'Cash Flow'!$F$5:$BZ$5,0)))</f>
        <v>-3208.3333333333335</v>
      </c>
      <c r="X38" s="98">
        <f>IF(X$5="","",INDEX('Cash Flow'!$F$28:$BZ$28,1,MATCH(X$5,'Cash Flow'!$F$5:$BZ$5,0)))</f>
        <v>-3208.3333333333335</v>
      </c>
      <c r="Y38" s="98">
        <f>IF(Y$5="","",INDEX('Cash Flow'!$F$28:$BZ$28,1,MATCH(Y$5,'Cash Flow'!$F$5:$BZ$5,0)))</f>
        <v>-3208.3333333333335</v>
      </c>
      <c r="Z38" s="98">
        <f>IF(Z$5="","",INDEX('Cash Flow'!$F$28:$BZ$28,1,MATCH(Z$5,'Cash Flow'!$F$5:$BZ$5,0)))</f>
        <v>-3208.3333333333335</v>
      </c>
      <c r="AA38" s="98">
        <f>IF(AA$5="","",INDEX('Cash Flow'!$F$28:$BZ$28,1,MATCH(AA$5,'Cash Flow'!$F$5:$BZ$5,0)))</f>
        <v>-3208.3333333333335</v>
      </c>
      <c r="AB38" s="98">
        <f>IF(AB$5="","",INDEX('Cash Flow'!$F$28:$BZ$28,1,MATCH(AB$5,'Cash Flow'!$F$5:$BZ$5,0)))</f>
        <v>-3208.3333333333335</v>
      </c>
      <c r="AC38" s="98">
        <f>IF(AC$5="","",INDEX('Cash Flow'!$F$28:$BZ$28,1,MATCH(AC$5,'Cash Flow'!$F$5:$BZ$5,0)))</f>
        <v>-3208.3333333333335</v>
      </c>
      <c r="AD38" s="98">
        <f>IF(AD$5="","",INDEX('Cash Flow'!$F$28:$BZ$28,1,MATCH(AD$5,'Cash Flow'!$F$5:$BZ$5,0)))</f>
        <v>-3208.3333333333335</v>
      </c>
      <c r="AE38" s="98">
        <f>IF(AE$5="","",INDEX('Cash Flow'!$F$28:$BZ$28,1,MATCH(AE$5,'Cash Flow'!$F$5:$BZ$5,0)))</f>
        <v>-3304.5833333333335</v>
      </c>
      <c r="AF38" s="98">
        <f>IF(AF$5="","",INDEX('Cash Flow'!$F$28:$BZ$28,1,MATCH(AF$5,'Cash Flow'!$F$5:$BZ$5,0)))</f>
        <v>-3304.5833333333335</v>
      </c>
      <c r="AG38" s="98">
        <f>IF(AG$5="","",INDEX('Cash Flow'!$F$28:$BZ$28,1,MATCH(AG$5,'Cash Flow'!$F$5:$BZ$5,0)))</f>
        <v>-3304.5833333333335</v>
      </c>
      <c r="AH38" s="98">
        <f>IF(AH$5="","",INDEX('Cash Flow'!$F$28:$BZ$28,1,MATCH(AH$5,'Cash Flow'!$F$5:$BZ$5,0)))</f>
        <v>-3304.5833333333335</v>
      </c>
      <c r="AI38" s="98">
        <f>IF(AI$5="","",INDEX('Cash Flow'!$F$28:$BZ$28,1,MATCH(AI$5,'Cash Flow'!$F$5:$BZ$5,0)))</f>
        <v>-3304.5833333333335</v>
      </c>
      <c r="AJ38" s="98">
        <f>IF(AJ$5="","",INDEX('Cash Flow'!$F$28:$BZ$28,1,MATCH(AJ$5,'Cash Flow'!$F$5:$BZ$5,0)))</f>
        <v>-3304.5833333333335</v>
      </c>
      <c r="AK38" s="98">
        <f>IF(AK$5="","",INDEX('Cash Flow'!$F$28:$BZ$28,1,MATCH(AK$5,'Cash Flow'!$F$5:$BZ$5,0)))</f>
        <v>-3304.5833333333335</v>
      </c>
      <c r="AL38" s="98">
        <f>IF(AL$5="","",INDEX('Cash Flow'!$F$28:$BZ$28,1,MATCH(AL$5,'Cash Flow'!$F$5:$BZ$5,0)))</f>
        <v>-3304.5833333333335</v>
      </c>
      <c r="AM38" s="98">
        <f>IF(AM$5="","",INDEX('Cash Flow'!$F$28:$BZ$28,1,MATCH(AM$5,'Cash Flow'!$F$5:$BZ$5,0)))</f>
        <v>-3304.5833333333335</v>
      </c>
      <c r="AN38" s="98">
        <f>IF(AN$5="","",INDEX('Cash Flow'!$F$28:$BZ$28,1,MATCH(AN$5,'Cash Flow'!$F$5:$BZ$5,0)))</f>
        <v>-3304.5833333333335</v>
      </c>
      <c r="AO38" s="98">
        <f>IF(AO$5="","",INDEX('Cash Flow'!$F$28:$BZ$28,1,MATCH(AO$5,'Cash Flow'!$F$5:$BZ$5,0)))</f>
        <v>-3304.5833333333335</v>
      </c>
      <c r="AP38" s="98">
        <f>IF(AP$5="","",INDEX('Cash Flow'!$F$28:$BZ$28,1,MATCH(AP$5,'Cash Flow'!$F$5:$BZ$5,0)))</f>
        <v>-3304.5833333333335</v>
      </c>
      <c r="AQ38" s="98">
        <f>IF(AQ$5="","",INDEX('Cash Flow'!$F$28:$BZ$28,1,MATCH(AQ$5,'Cash Flow'!$F$5:$BZ$5,0)))</f>
        <v>-3403.7208333333333</v>
      </c>
      <c r="AR38" s="98">
        <f>IF(AR$5="","",INDEX('Cash Flow'!$F$28:$BZ$28,1,MATCH(AR$5,'Cash Flow'!$F$5:$BZ$5,0)))</f>
        <v>-3403.7208333333333</v>
      </c>
      <c r="AS38" s="98">
        <f>IF(AS$5="","",INDEX('Cash Flow'!$F$28:$BZ$28,1,MATCH(AS$5,'Cash Flow'!$F$5:$BZ$5,0)))</f>
        <v>-3403.7208333333333</v>
      </c>
      <c r="AT38" s="98">
        <f>IF(AT$5="","",INDEX('Cash Flow'!$F$28:$BZ$28,1,MATCH(AT$5,'Cash Flow'!$F$5:$BZ$5,0)))</f>
        <v>-3403.7208333333333</v>
      </c>
      <c r="AU38" s="98">
        <f>IF(AU$5="","",INDEX('Cash Flow'!$F$28:$BZ$28,1,MATCH(AU$5,'Cash Flow'!$F$5:$BZ$5,0)))</f>
        <v>-3403.7208333333333</v>
      </c>
      <c r="AV38" s="98">
        <f>IF(AV$5="","",INDEX('Cash Flow'!$F$28:$BZ$28,1,MATCH(AV$5,'Cash Flow'!$F$5:$BZ$5,0)))</f>
        <v>-3403.7208333333333</v>
      </c>
      <c r="AW38" s="98">
        <f>IF(AW$5="","",INDEX('Cash Flow'!$F$28:$BZ$28,1,MATCH(AW$5,'Cash Flow'!$F$5:$BZ$5,0)))</f>
        <v>-3403.7208333333333</v>
      </c>
      <c r="AX38" s="98">
        <f>IF(AX$5="","",INDEX('Cash Flow'!$F$28:$BZ$28,1,MATCH(AX$5,'Cash Flow'!$F$5:$BZ$5,0)))</f>
        <v>-3403.7208333333333</v>
      </c>
      <c r="AY38" s="98">
        <f>IF(AY$5="","",INDEX('Cash Flow'!$F$28:$BZ$28,1,MATCH(AY$5,'Cash Flow'!$F$5:$BZ$5,0)))</f>
        <v>-3403.7208333333333</v>
      </c>
      <c r="AZ38" s="98">
        <f>IF(AZ$5="","",INDEX('Cash Flow'!$F$28:$BZ$28,1,MATCH(AZ$5,'Cash Flow'!$F$5:$BZ$5,0)))</f>
        <v>-3403.7208333333333</v>
      </c>
      <c r="BA38" s="98">
        <f>IF(BA$5="","",INDEX('Cash Flow'!$F$28:$BZ$28,1,MATCH(BA$5,'Cash Flow'!$F$5:$BZ$5,0)))</f>
        <v>-3403.7208333333333</v>
      </c>
      <c r="BB38" s="98">
        <f>IF(BB$5="","",INDEX('Cash Flow'!$F$28:$BZ$28,1,MATCH(BB$5,'Cash Flow'!$F$5:$BZ$5,0)))</f>
        <v>-3403.7208333333333</v>
      </c>
      <c r="BC38" s="98">
        <f>IF(BC$5="","",INDEX('Cash Flow'!$F$28:$BZ$28,1,MATCH(BC$5,'Cash Flow'!$F$5:$BZ$5,0)))</f>
        <v>-3505.8324583333333</v>
      </c>
      <c r="BD38" s="98">
        <f>IF(BD$5="","",INDEX('Cash Flow'!$F$28:$BZ$28,1,MATCH(BD$5,'Cash Flow'!$F$5:$BZ$5,0)))</f>
        <v>-3505.8324583333333</v>
      </c>
      <c r="BE38" s="98">
        <f>IF(BE$5="","",INDEX('Cash Flow'!$F$28:$BZ$28,1,MATCH(BE$5,'Cash Flow'!$F$5:$BZ$5,0)))</f>
        <v>-3505.8324583333333</v>
      </c>
      <c r="BF38" s="98">
        <f>IF(BF$5="","",INDEX('Cash Flow'!$F$28:$BZ$28,1,MATCH(BF$5,'Cash Flow'!$F$5:$BZ$5,0)))</f>
        <v>-3505.8324583333333</v>
      </c>
      <c r="BG38" s="98">
        <f>IF(BG$5="","",INDEX('Cash Flow'!$F$28:$BZ$28,1,MATCH(BG$5,'Cash Flow'!$F$5:$BZ$5,0)))</f>
        <v>-3505.8324583333333</v>
      </c>
      <c r="BH38" s="98">
        <f>IF(BH$5="","",INDEX('Cash Flow'!$F$28:$BZ$28,1,MATCH(BH$5,'Cash Flow'!$F$5:$BZ$5,0)))</f>
        <v>-3505.8324583333333</v>
      </c>
      <c r="BI38" s="98">
        <f>IF(BI$5="","",INDEX('Cash Flow'!$F$28:$BZ$28,1,MATCH(BI$5,'Cash Flow'!$F$5:$BZ$5,0)))</f>
        <v>-3505.8324583333333</v>
      </c>
      <c r="BJ38" s="98">
        <f>IF(BJ$5="","",INDEX('Cash Flow'!$F$28:$BZ$28,1,MATCH(BJ$5,'Cash Flow'!$F$5:$BZ$5,0)))</f>
        <v>-3505.8324583333333</v>
      </c>
      <c r="BK38" s="98">
        <f>IF(BK$5="","",INDEX('Cash Flow'!$F$28:$BZ$28,1,MATCH(BK$5,'Cash Flow'!$F$5:$BZ$5,0)))</f>
        <v>-3505.8324583333333</v>
      </c>
      <c r="BL38" s="98">
        <f>IF(BL$5="","",INDEX('Cash Flow'!$F$28:$BZ$28,1,MATCH(BL$5,'Cash Flow'!$F$5:$BZ$5,0)))</f>
        <v>-3505.8324583333333</v>
      </c>
      <c r="BM38" s="98">
        <f>IF(BM$5="","",INDEX('Cash Flow'!$F$28:$BZ$28,1,MATCH(BM$5,'Cash Flow'!$F$5:$BZ$5,0)))</f>
        <v>-3505.8324583333333</v>
      </c>
      <c r="BN38" s="98">
        <f>IF(BN$5="","",INDEX('Cash Flow'!$F$28:$BZ$28,1,MATCH(BN$5,'Cash Flow'!$F$5:$BZ$5,0)))</f>
        <v>-3505.8324583333333</v>
      </c>
    </row>
    <row r="39" spans="2:66" x14ac:dyDescent="0.2">
      <c r="B39" s="65" t="s">
        <v>284</v>
      </c>
      <c r="C39" s="65"/>
      <c r="D39" s="65"/>
      <c r="E39" s="65"/>
      <c r="F39" s="98">
        <f>IF(F$5="","",INDEX('Cash Flow'!$F$29:$BZ$29,1,MATCH(F$5,'Cash Flow'!$F$5:$BZ$5,0)))</f>
        <v>0</v>
      </c>
      <c r="G39" s="98">
        <f>IF(G$5="","",INDEX('Cash Flow'!$F$29:$BZ$29,1,MATCH(G$5,'Cash Flow'!$F$5:$BZ$5,0)))</f>
        <v>-2926</v>
      </c>
      <c r="H39" s="98">
        <f>IF(H$5="","",INDEX('Cash Flow'!$F$29:$BZ$29,1,MATCH(H$5,'Cash Flow'!$F$5:$BZ$5,0)))</f>
        <v>0</v>
      </c>
      <c r="I39" s="98">
        <f>IF(I$5="","",INDEX('Cash Flow'!$F$29:$BZ$29,1,MATCH(I$5,'Cash Flow'!$F$5:$BZ$5,0)))</f>
        <v>0</v>
      </c>
      <c r="J39" s="98">
        <f>IF(J$5="","",INDEX('Cash Flow'!$F$29:$BZ$29,1,MATCH(J$5,'Cash Flow'!$F$5:$BZ$5,0)))</f>
        <v>-2926</v>
      </c>
      <c r="K39" s="98">
        <f>IF(K$5="","",INDEX('Cash Flow'!$F$29:$BZ$29,1,MATCH(K$5,'Cash Flow'!$F$5:$BZ$5,0)))</f>
        <v>0</v>
      </c>
      <c r="L39" s="98">
        <f>IF(L$5="","",INDEX('Cash Flow'!$F$29:$BZ$29,1,MATCH(L$5,'Cash Flow'!$F$5:$BZ$5,0)))</f>
        <v>-1463</v>
      </c>
      <c r="M39" s="98">
        <f>IF(M$5="","",INDEX('Cash Flow'!$F$29:$BZ$29,1,MATCH(M$5,'Cash Flow'!$F$5:$BZ$5,0)))</f>
        <v>0</v>
      </c>
      <c r="N39" s="98">
        <f>IF(N$5="","",INDEX('Cash Flow'!$F$29:$BZ$29,1,MATCH(N$5,'Cash Flow'!$F$5:$BZ$5,0)))</f>
        <v>0</v>
      </c>
      <c r="O39" s="98">
        <f>IF(O$5="","",INDEX('Cash Flow'!$F$29:$BZ$29,1,MATCH(O$5,'Cash Flow'!$F$5:$BZ$5,0)))</f>
        <v>0</v>
      </c>
      <c r="P39" s="98">
        <f>IF(P$5="","",INDEX('Cash Flow'!$F$29:$BZ$29,1,MATCH(P$5,'Cash Flow'!$F$5:$BZ$5,0)))</f>
        <v>0</v>
      </c>
      <c r="Q39" s="98">
        <f>IF(Q$5="","",INDEX('Cash Flow'!$F$29:$BZ$29,1,MATCH(Q$5,'Cash Flow'!$F$5:$BZ$5,0)))</f>
        <v>0</v>
      </c>
      <c r="R39" s="98">
        <f>IF(R$5="","",INDEX('Cash Flow'!$F$29:$BZ$29,1,MATCH(R$5,'Cash Flow'!$F$5:$BZ$5,0)))</f>
        <v>0</v>
      </c>
      <c r="S39" s="98">
        <f>IF(S$5="","",INDEX('Cash Flow'!$F$29:$BZ$29,1,MATCH(S$5,'Cash Flow'!$F$5:$BZ$5,0)))</f>
        <v>0</v>
      </c>
      <c r="T39" s="98">
        <f>IF(T$5="","",INDEX('Cash Flow'!$F$29:$BZ$29,1,MATCH(T$5,'Cash Flow'!$F$5:$BZ$5,0)))</f>
        <v>0</v>
      </c>
      <c r="U39" s="98">
        <f>IF(U$5="","",INDEX('Cash Flow'!$F$29:$BZ$29,1,MATCH(U$5,'Cash Flow'!$F$5:$BZ$5,0)))</f>
        <v>0</v>
      </c>
      <c r="V39" s="98">
        <f>IF(V$5="","",INDEX('Cash Flow'!$F$29:$BZ$29,1,MATCH(V$5,'Cash Flow'!$F$5:$BZ$5,0)))</f>
        <v>0</v>
      </c>
      <c r="W39" s="98">
        <f>IF(W$5="","",INDEX('Cash Flow'!$F$29:$BZ$29,1,MATCH(W$5,'Cash Flow'!$F$5:$BZ$5,0)))</f>
        <v>0</v>
      </c>
      <c r="X39" s="98">
        <f>IF(X$5="","",INDEX('Cash Flow'!$F$29:$BZ$29,1,MATCH(X$5,'Cash Flow'!$F$5:$BZ$5,0)))</f>
        <v>0</v>
      </c>
      <c r="Y39" s="98">
        <f>IF(Y$5="","",INDEX('Cash Flow'!$F$29:$BZ$29,1,MATCH(Y$5,'Cash Flow'!$F$5:$BZ$5,0)))</f>
        <v>0</v>
      </c>
      <c r="Z39" s="98">
        <f>IF(Z$5="","",INDEX('Cash Flow'!$F$29:$BZ$29,1,MATCH(Z$5,'Cash Flow'!$F$5:$BZ$5,0)))</f>
        <v>0</v>
      </c>
      <c r="AA39" s="98">
        <f>IF(AA$5="","",INDEX('Cash Flow'!$F$29:$BZ$29,1,MATCH(AA$5,'Cash Flow'!$F$5:$BZ$5,0)))</f>
        <v>0</v>
      </c>
      <c r="AB39" s="98">
        <f>IF(AB$5="","",INDEX('Cash Flow'!$F$29:$BZ$29,1,MATCH(AB$5,'Cash Flow'!$F$5:$BZ$5,0)))</f>
        <v>0</v>
      </c>
      <c r="AC39" s="98">
        <f>IF(AC$5="","",INDEX('Cash Flow'!$F$29:$BZ$29,1,MATCH(AC$5,'Cash Flow'!$F$5:$BZ$5,0)))</f>
        <v>0</v>
      </c>
      <c r="AD39" s="98">
        <f>IF(AD$5="","",INDEX('Cash Flow'!$F$29:$BZ$29,1,MATCH(AD$5,'Cash Flow'!$F$5:$BZ$5,0)))</f>
        <v>0</v>
      </c>
      <c r="AE39" s="98">
        <f>IF(AE$5="","",INDEX('Cash Flow'!$F$29:$BZ$29,1,MATCH(AE$5,'Cash Flow'!$F$5:$BZ$5,0)))</f>
        <v>0</v>
      </c>
      <c r="AF39" s="98">
        <f>IF(AF$5="","",INDEX('Cash Flow'!$F$29:$BZ$29,1,MATCH(AF$5,'Cash Flow'!$F$5:$BZ$5,0)))</f>
        <v>0</v>
      </c>
      <c r="AG39" s="98">
        <f>IF(AG$5="","",INDEX('Cash Flow'!$F$29:$BZ$29,1,MATCH(AG$5,'Cash Flow'!$F$5:$BZ$5,0)))</f>
        <v>0</v>
      </c>
      <c r="AH39" s="98">
        <f>IF(AH$5="","",INDEX('Cash Flow'!$F$29:$BZ$29,1,MATCH(AH$5,'Cash Flow'!$F$5:$BZ$5,0)))</f>
        <v>0</v>
      </c>
      <c r="AI39" s="98">
        <f>IF(AI$5="","",INDEX('Cash Flow'!$F$29:$BZ$29,1,MATCH(AI$5,'Cash Flow'!$F$5:$BZ$5,0)))</f>
        <v>0</v>
      </c>
      <c r="AJ39" s="98">
        <f>IF(AJ$5="","",INDEX('Cash Flow'!$F$29:$BZ$29,1,MATCH(AJ$5,'Cash Flow'!$F$5:$BZ$5,0)))</f>
        <v>0</v>
      </c>
      <c r="AK39" s="98">
        <f>IF(AK$5="","",INDEX('Cash Flow'!$F$29:$BZ$29,1,MATCH(AK$5,'Cash Flow'!$F$5:$BZ$5,0)))</f>
        <v>0</v>
      </c>
      <c r="AL39" s="98">
        <f>IF(AL$5="","",INDEX('Cash Flow'!$F$29:$BZ$29,1,MATCH(AL$5,'Cash Flow'!$F$5:$BZ$5,0)))</f>
        <v>0</v>
      </c>
      <c r="AM39" s="98">
        <f>IF(AM$5="","",INDEX('Cash Flow'!$F$29:$BZ$29,1,MATCH(AM$5,'Cash Flow'!$F$5:$BZ$5,0)))</f>
        <v>0</v>
      </c>
      <c r="AN39" s="98">
        <f>IF(AN$5="","",INDEX('Cash Flow'!$F$29:$BZ$29,1,MATCH(AN$5,'Cash Flow'!$F$5:$BZ$5,0)))</f>
        <v>0</v>
      </c>
      <c r="AO39" s="98">
        <f>IF(AO$5="","",INDEX('Cash Flow'!$F$29:$BZ$29,1,MATCH(AO$5,'Cash Flow'!$F$5:$BZ$5,0)))</f>
        <v>0</v>
      </c>
      <c r="AP39" s="98">
        <f>IF(AP$5="","",INDEX('Cash Flow'!$F$29:$BZ$29,1,MATCH(AP$5,'Cash Flow'!$F$5:$BZ$5,0)))</f>
        <v>0</v>
      </c>
      <c r="AQ39" s="98">
        <f>IF(AQ$5="","",INDEX('Cash Flow'!$F$29:$BZ$29,1,MATCH(AQ$5,'Cash Flow'!$F$5:$BZ$5,0)))</f>
        <v>0</v>
      </c>
      <c r="AR39" s="98">
        <f>IF(AR$5="","",INDEX('Cash Flow'!$F$29:$BZ$29,1,MATCH(AR$5,'Cash Flow'!$F$5:$BZ$5,0)))</f>
        <v>0</v>
      </c>
      <c r="AS39" s="98">
        <f>IF(AS$5="","",INDEX('Cash Flow'!$F$29:$BZ$29,1,MATCH(AS$5,'Cash Flow'!$F$5:$BZ$5,0)))</f>
        <v>0</v>
      </c>
      <c r="AT39" s="98">
        <f>IF(AT$5="","",INDEX('Cash Flow'!$F$29:$BZ$29,1,MATCH(AT$5,'Cash Flow'!$F$5:$BZ$5,0)))</f>
        <v>0</v>
      </c>
      <c r="AU39" s="98">
        <f>IF(AU$5="","",INDEX('Cash Flow'!$F$29:$BZ$29,1,MATCH(AU$5,'Cash Flow'!$F$5:$BZ$5,0)))</f>
        <v>0</v>
      </c>
      <c r="AV39" s="98">
        <f>IF(AV$5="","",INDEX('Cash Flow'!$F$29:$BZ$29,1,MATCH(AV$5,'Cash Flow'!$F$5:$BZ$5,0)))</f>
        <v>0</v>
      </c>
      <c r="AW39" s="98">
        <f>IF(AW$5="","",INDEX('Cash Flow'!$F$29:$BZ$29,1,MATCH(AW$5,'Cash Flow'!$F$5:$BZ$5,0)))</f>
        <v>0</v>
      </c>
      <c r="AX39" s="98">
        <f>IF(AX$5="","",INDEX('Cash Flow'!$F$29:$BZ$29,1,MATCH(AX$5,'Cash Flow'!$F$5:$BZ$5,0)))</f>
        <v>0</v>
      </c>
      <c r="AY39" s="98">
        <f>IF(AY$5="","",INDEX('Cash Flow'!$F$29:$BZ$29,1,MATCH(AY$5,'Cash Flow'!$F$5:$BZ$5,0)))</f>
        <v>0</v>
      </c>
      <c r="AZ39" s="98">
        <f>IF(AZ$5="","",INDEX('Cash Flow'!$F$29:$BZ$29,1,MATCH(AZ$5,'Cash Flow'!$F$5:$BZ$5,0)))</f>
        <v>0</v>
      </c>
      <c r="BA39" s="98">
        <f>IF(BA$5="","",INDEX('Cash Flow'!$F$29:$BZ$29,1,MATCH(BA$5,'Cash Flow'!$F$5:$BZ$5,0)))</f>
        <v>0</v>
      </c>
      <c r="BB39" s="98">
        <f>IF(BB$5="","",INDEX('Cash Flow'!$F$29:$BZ$29,1,MATCH(BB$5,'Cash Flow'!$F$5:$BZ$5,0)))</f>
        <v>0</v>
      </c>
      <c r="BC39" s="98">
        <f>IF(BC$5="","",INDEX('Cash Flow'!$F$29:$BZ$29,1,MATCH(BC$5,'Cash Flow'!$F$5:$BZ$5,0)))</f>
        <v>0</v>
      </c>
      <c r="BD39" s="98">
        <f>IF(BD$5="","",INDEX('Cash Flow'!$F$29:$BZ$29,1,MATCH(BD$5,'Cash Flow'!$F$5:$BZ$5,0)))</f>
        <v>0</v>
      </c>
      <c r="BE39" s="98">
        <f>IF(BE$5="","",INDEX('Cash Flow'!$F$29:$BZ$29,1,MATCH(BE$5,'Cash Flow'!$F$5:$BZ$5,0)))</f>
        <v>0</v>
      </c>
      <c r="BF39" s="98">
        <f>IF(BF$5="","",INDEX('Cash Flow'!$F$29:$BZ$29,1,MATCH(BF$5,'Cash Flow'!$F$5:$BZ$5,0)))</f>
        <v>0</v>
      </c>
      <c r="BG39" s="98">
        <f>IF(BG$5="","",INDEX('Cash Flow'!$F$29:$BZ$29,1,MATCH(BG$5,'Cash Flow'!$F$5:$BZ$5,0)))</f>
        <v>0</v>
      </c>
      <c r="BH39" s="98">
        <f>IF(BH$5="","",INDEX('Cash Flow'!$F$29:$BZ$29,1,MATCH(BH$5,'Cash Flow'!$F$5:$BZ$5,0)))</f>
        <v>0</v>
      </c>
      <c r="BI39" s="98">
        <f>IF(BI$5="","",INDEX('Cash Flow'!$F$29:$BZ$29,1,MATCH(BI$5,'Cash Flow'!$F$5:$BZ$5,0)))</f>
        <v>0</v>
      </c>
      <c r="BJ39" s="98">
        <f>IF(BJ$5="","",INDEX('Cash Flow'!$F$29:$BZ$29,1,MATCH(BJ$5,'Cash Flow'!$F$5:$BZ$5,0)))</f>
        <v>0</v>
      </c>
      <c r="BK39" s="98">
        <f>IF(BK$5="","",INDEX('Cash Flow'!$F$29:$BZ$29,1,MATCH(BK$5,'Cash Flow'!$F$5:$BZ$5,0)))</f>
        <v>0</v>
      </c>
      <c r="BL39" s="98">
        <f>IF(BL$5="","",INDEX('Cash Flow'!$F$29:$BZ$29,1,MATCH(BL$5,'Cash Flow'!$F$5:$BZ$5,0)))</f>
        <v>0</v>
      </c>
      <c r="BM39" s="98">
        <f>IF(BM$5="","",INDEX('Cash Flow'!$F$29:$BZ$29,1,MATCH(BM$5,'Cash Flow'!$F$5:$BZ$5,0)))</f>
        <v>0</v>
      </c>
      <c r="BN39" s="98">
        <f>IF(BN$5="","",INDEX('Cash Flow'!$F$29:$BZ$29,1,MATCH(BN$5,'Cash Flow'!$F$5:$BZ$5,0)))</f>
        <v>0</v>
      </c>
    </row>
    <row r="40" spans="2:66" ht="17" thickBot="1" x14ac:dyDescent="0.25">
      <c r="B40" s="65" t="s">
        <v>285</v>
      </c>
      <c r="C40" s="65"/>
      <c r="D40" s="65"/>
      <c r="E40" s="65"/>
      <c r="F40" s="98">
        <f>IF(F$5="","",INDEX('Cash Flow'!$F$30:$BZ$30,1,MATCH(F$5,'Cash Flow'!$F$5:$BZ$5,0)))</f>
        <v>0</v>
      </c>
      <c r="G40" s="98">
        <f>IF(G$5="","",INDEX('Cash Flow'!$F$30:$BZ$30,1,MATCH(G$5,'Cash Flow'!$F$5:$BZ$5,0)))</f>
        <v>0</v>
      </c>
      <c r="H40" s="98">
        <f>IF(H$5="","",INDEX('Cash Flow'!$F$30:$BZ$30,1,MATCH(H$5,'Cash Flow'!$F$5:$BZ$5,0)))</f>
        <v>0</v>
      </c>
      <c r="I40" s="98">
        <f>IF(I$5="","",INDEX('Cash Flow'!$F$30:$BZ$30,1,MATCH(I$5,'Cash Flow'!$F$5:$BZ$5,0)))</f>
        <v>0</v>
      </c>
      <c r="J40" s="98">
        <f>IF(J$5="","",INDEX('Cash Flow'!$F$30:$BZ$30,1,MATCH(J$5,'Cash Flow'!$F$5:$BZ$5,0)))</f>
        <v>0</v>
      </c>
      <c r="K40" s="98">
        <f>IF(K$5="","",INDEX('Cash Flow'!$F$30:$BZ$30,1,MATCH(K$5,'Cash Flow'!$F$5:$BZ$5,0)))</f>
        <v>0</v>
      </c>
      <c r="L40" s="98">
        <f>IF(L$5="","",INDEX('Cash Flow'!$F$30:$BZ$30,1,MATCH(L$5,'Cash Flow'!$F$5:$BZ$5,0)))</f>
        <v>-566.57000000000005</v>
      </c>
      <c r="M40" s="98">
        <f>IF(M$5="","",INDEX('Cash Flow'!$F$30:$BZ$30,1,MATCH(M$5,'Cash Flow'!$F$5:$BZ$5,0)))</f>
        <v>0</v>
      </c>
      <c r="N40" s="98">
        <f>IF(N$5="","",INDEX('Cash Flow'!$F$30:$BZ$30,1,MATCH(N$5,'Cash Flow'!$F$5:$BZ$5,0)))</f>
        <v>0</v>
      </c>
      <c r="O40" s="98">
        <f>IF(O$5="","",INDEX('Cash Flow'!$F$30:$BZ$30,1,MATCH(O$5,'Cash Flow'!$F$5:$BZ$5,0)))</f>
        <v>0</v>
      </c>
      <c r="P40" s="98">
        <f>IF(P$5="","",INDEX('Cash Flow'!$F$30:$BZ$30,1,MATCH(P$5,'Cash Flow'!$F$5:$BZ$5,0)))</f>
        <v>0</v>
      </c>
      <c r="Q40" s="98">
        <f>IF(Q$5="","",INDEX('Cash Flow'!$F$30:$BZ$30,1,MATCH(Q$5,'Cash Flow'!$F$5:$BZ$5,0)))</f>
        <v>-209.25</v>
      </c>
      <c r="R40" s="98">
        <f>IF(R$5="","",INDEX('Cash Flow'!$F$30:$BZ$30,1,MATCH(R$5,'Cash Flow'!$F$5:$BZ$5,0)))</f>
        <v>-209.25</v>
      </c>
      <c r="S40" s="98">
        <f>IF(S$5="","",INDEX('Cash Flow'!$F$30:$BZ$30,1,MATCH(S$5,'Cash Flow'!$F$5:$BZ$5,0)))</f>
        <v>-209.25</v>
      </c>
      <c r="T40" s="98">
        <f>IF(T$5="","",INDEX('Cash Flow'!$F$30:$BZ$30,1,MATCH(T$5,'Cash Flow'!$F$5:$BZ$5,0)))</f>
        <v>-209.25</v>
      </c>
      <c r="U40" s="98">
        <f>IF(U$5="","",INDEX('Cash Flow'!$F$30:$BZ$30,1,MATCH(U$5,'Cash Flow'!$F$5:$BZ$5,0)))</f>
        <v>-209.25</v>
      </c>
      <c r="V40" s="98">
        <f>IF(V$5="","",INDEX('Cash Flow'!$F$30:$BZ$30,1,MATCH(V$5,'Cash Flow'!$F$5:$BZ$5,0)))</f>
        <v>-209.25</v>
      </c>
      <c r="W40" s="98">
        <f>IF(W$5="","",INDEX('Cash Flow'!$F$30:$BZ$30,1,MATCH(W$5,'Cash Flow'!$F$5:$BZ$5,0)))</f>
        <v>-209.25</v>
      </c>
      <c r="X40" s="98">
        <f>IF(X$5="","",INDEX('Cash Flow'!$F$30:$BZ$30,1,MATCH(X$5,'Cash Flow'!$F$5:$BZ$5,0)))</f>
        <v>-209.25</v>
      </c>
      <c r="Y40" s="98">
        <f>IF(Y$5="","",INDEX('Cash Flow'!$F$30:$BZ$30,1,MATCH(Y$5,'Cash Flow'!$F$5:$BZ$5,0)))</f>
        <v>-209.25</v>
      </c>
      <c r="Z40" s="98">
        <f>IF(Z$5="","",INDEX('Cash Flow'!$F$30:$BZ$30,1,MATCH(Z$5,'Cash Flow'!$F$5:$BZ$5,0)))</f>
        <v>-209.25</v>
      </c>
      <c r="AA40" s="98">
        <f>IF(AA$5="","",INDEX('Cash Flow'!$F$30:$BZ$30,1,MATCH(AA$5,'Cash Flow'!$F$5:$BZ$5,0)))</f>
        <v>-209.25</v>
      </c>
      <c r="AB40" s="98">
        <f>IF(AB$5="","",INDEX('Cash Flow'!$F$30:$BZ$30,1,MATCH(AB$5,'Cash Flow'!$F$5:$BZ$5,0)))</f>
        <v>-209.25</v>
      </c>
      <c r="AC40" s="98">
        <f>IF(AC$5="","",INDEX('Cash Flow'!$F$30:$BZ$30,1,MATCH(AC$5,'Cash Flow'!$F$5:$BZ$5,0)))</f>
        <v>-209.25</v>
      </c>
      <c r="AD40" s="98">
        <f>IF(AD$5="","",INDEX('Cash Flow'!$F$30:$BZ$30,1,MATCH(AD$5,'Cash Flow'!$F$5:$BZ$5,0)))</f>
        <v>-209.25</v>
      </c>
      <c r="AE40" s="98">
        <f>IF(AE$5="","",INDEX('Cash Flow'!$F$30:$BZ$30,1,MATCH(AE$5,'Cash Flow'!$F$5:$BZ$5,0)))</f>
        <v>-215.5275</v>
      </c>
      <c r="AF40" s="98">
        <f>IF(AF$5="","",INDEX('Cash Flow'!$F$30:$BZ$30,1,MATCH(AF$5,'Cash Flow'!$F$5:$BZ$5,0)))</f>
        <v>-215.5275</v>
      </c>
      <c r="AG40" s="98">
        <f>IF(AG$5="","",INDEX('Cash Flow'!$F$30:$BZ$30,1,MATCH(AG$5,'Cash Flow'!$F$5:$BZ$5,0)))</f>
        <v>-215.5275</v>
      </c>
      <c r="AH40" s="98">
        <f>IF(AH$5="","",INDEX('Cash Flow'!$F$30:$BZ$30,1,MATCH(AH$5,'Cash Flow'!$F$5:$BZ$5,0)))</f>
        <v>-215.5275</v>
      </c>
      <c r="AI40" s="98">
        <f>IF(AI$5="","",INDEX('Cash Flow'!$F$30:$BZ$30,1,MATCH(AI$5,'Cash Flow'!$F$5:$BZ$5,0)))</f>
        <v>-215.5275</v>
      </c>
      <c r="AJ40" s="98">
        <f>IF(AJ$5="","",INDEX('Cash Flow'!$F$30:$BZ$30,1,MATCH(AJ$5,'Cash Flow'!$F$5:$BZ$5,0)))</f>
        <v>-215.5275</v>
      </c>
      <c r="AK40" s="98">
        <f>IF(AK$5="","",INDEX('Cash Flow'!$F$30:$BZ$30,1,MATCH(AK$5,'Cash Flow'!$F$5:$BZ$5,0)))</f>
        <v>-215.5275</v>
      </c>
      <c r="AL40" s="98">
        <f>IF(AL$5="","",INDEX('Cash Flow'!$F$30:$BZ$30,1,MATCH(AL$5,'Cash Flow'!$F$5:$BZ$5,0)))</f>
        <v>-215.5275</v>
      </c>
      <c r="AM40" s="98">
        <f>IF(AM$5="","",INDEX('Cash Flow'!$F$30:$BZ$30,1,MATCH(AM$5,'Cash Flow'!$F$5:$BZ$5,0)))</f>
        <v>-215.5275</v>
      </c>
      <c r="AN40" s="98">
        <f>IF(AN$5="","",INDEX('Cash Flow'!$F$30:$BZ$30,1,MATCH(AN$5,'Cash Flow'!$F$5:$BZ$5,0)))</f>
        <v>-215.5275</v>
      </c>
      <c r="AO40" s="98">
        <f>IF(AO$5="","",INDEX('Cash Flow'!$F$30:$BZ$30,1,MATCH(AO$5,'Cash Flow'!$F$5:$BZ$5,0)))</f>
        <v>-215.5275</v>
      </c>
      <c r="AP40" s="98">
        <f>IF(AP$5="","",INDEX('Cash Flow'!$F$30:$BZ$30,1,MATCH(AP$5,'Cash Flow'!$F$5:$BZ$5,0)))</f>
        <v>-215.5275</v>
      </c>
      <c r="AQ40" s="98">
        <f>IF(AQ$5="","",INDEX('Cash Flow'!$F$30:$BZ$30,1,MATCH(AQ$5,'Cash Flow'!$F$5:$BZ$5,0)))</f>
        <v>-221.993325</v>
      </c>
      <c r="AR40" s="98">
        <f>IF(AR$5="","",INDEX('Cash Flow'!$F$30:$BZ$30,1,MATCH(AR$5,'Cash Flow'!$F$5:$BZ$5,0)))</f>
        <v>-221.993325</v>
      </c>
      <c r="AS40" s="98">
        <f>IF(AS$5="","",INDEX('Cash Flow'!$F$30:$BZ$30,1,MATCH(AS$5,'Cash Flow'!$F$5:$BZ$5,0)))</f>
        <v>-221.993325</v>
      </c>
      <c r="AT40" s="98">
        <f>IF(AT$5="","",INDEX('Cash Flow'!$F$30:$BZ$30,1,MATCH(AT$5,'Cash Flow'!$F$5:$BZ$5,0)))</f>
        <v>-221.993325</v>
      </c>
      <c r="AU40" s="98">
        <f>IF(AU$5="","",INDEX('Cash Flow'!$F$30:$BZ$30,1,MATCH(AU$5,'Cash Flow'!$F$5:$BZ$5,0)))</f>
        <v>-221.993325</v>
      </c>
      <c r="AV40" s="98">
        <f>IF(AV$5="","",INDEX('Cash Flow'!$F$30:$BZ$30,1,MATCH(AV$5,'Cash Flow'!$F$5:$BZ$5,0)))</f>
        <v>-221.993325</v>
      </c>
      <c r="AW40" s="98">
        <f>IF(AW$5="","",INDEX('Cash Flow'!$F$30:$BZ$30,1,MATCH(AW$5,'Cash Flow'!$F$5:$BZ$5,0)))</f>
        <v>-221.993325</v>
      </c>
      <c r="AX40" s="98">
        <f>IF(AX$5="","",INDEX('Cash Flow'!$F$30:$BZ$30,1,MATCH(AX$5,'Cash Flow'!$F$5:$BZ$5,0)))</f>
        <v>-221.993325</v>
      </c>
      <c r="AY40" s="98">
        <f>IF(AY$5="","",INDEX('Cash Flow'!$F$30:$BZ$30,1,MATCH(AY$5,'Cash Flow'!$F$5:$BZ$5,0)))</f>
        <v>-221.993325</v>
      </c>
      <c r="AZ40" s="98">
        <f>IF(AZ$5="","",INDEX('Cash Flow'!$F$30:$BZ$30,1,MATCH(AZ$5,'Cash Flow'!$F$5:$BZ$5,0)))</f>
        <v>-221.993325</v>
      </c>
      <c r="BA40" s="98">
        <f>IF(BA$5="","",INDEX('Cash Flow'!$F$30:$BZ$30,1,MATCH(BA$5,'Cash Flow'!$F$5:$BZ$5,0)))</f>
        <v>-221.993325</v>
      </c>
      <c r="BB40" s="98">
        <f>IF(BB$5="","",INDEX('Cash Flow'!$F$30:$BZ$30,1,MATCH(BB$5,'Cash Flow'!$F$5:$BZ$5,0)))</f>
        <v>-221.993325</v>
      </c>
      <c r="BC40" s="98">
        <f>IF(BC$5="","",INDEX('Cash Flow'!$F$30:$BZ$30,1,MATCH(BC$5,'Cash Flow'!$F$5:$BZ$5,0)))</f>
        <v>-228.65312474999999</v>
      </c>
      <c r="BD40" s="98">
        <f>IF(BD$5="","",INDEX('Cash Flow'!$F$30:$BZ$30,1,MATCH(BD$5,'Cash Flow'!$F$5:$BZ$5,0)))</f>
        <v>-228.65312474999999</v>
      </c>
      <c r="BE40" s="98">
        <f>IF(BE$5="","",INDEX('Cash Flow'!$F$30:$BZ$30,1,MATCH(BE$5,'Cash Flow'!$F$5:$BZ$5,0)))</f>
        <v>-228.65312474999999</v>
      </c>
      <c r="BF40" s="98">
        <f>IF(BF$5="","",INDEX('Cash Flow'!$F$30:$BZ$30,1,MATCH(BF$5,'Cash Flow'!$F$5:$BZ$5,0)))</f>
        <v>-228.65312474999999</v>
      </c>
      <c r="BG40" s="98">
        <f>IF(BG$5="","",INDEX('Cash Flow'!$F$30:$BZ$30,1,MATCH(BG$5,'Cash Flow'!$F$5:$BZ$5,0)))</f>
        <v>-228.65312474999999</v>
      </c>
      <c r="BH40" s="98">
        <f>IF(BH$5="","",INDEX('Cash Flow'!$F$30:$BZ$30,1,MATCH(BH$5,'Cash Flow'!$F$5:$BZ$5,0)))</f>
        <v>-228.65312474999999</v>
      </c>
      <c r="BI40" s="98">
        <f>IF(BI$5="","",INDEX('Cash Flow'!$F$30:$BZ$30,1,MATCH(BI$5,'Cash Flow'!$F$5:$BZ$5,0)))</f>
        <v>-228.65312474999999</v>
      </c>
      <c r="BJ40" s="98">
        <f>IF(BJ$5="","",INDEX('Cash Flow'!$F$30:$BZ$30,1,MATCH(BJ$5,'Cash Flow'!$F$5:$BZ$5,0)))</f>
        <v>-228.65312474999999</v>
      </c>
      <c r="BK40" s="98">
        <f>IF(BK$5="","",INDEX('Cash Flow'!$F$30:$BZ$30,1,MATCH(BK$5,'Cash Flow'!$F$5:$BZ$5,0)))</f>
        <v>-228.65312474999999</v>
      </c>
      <c r="BL40" s="98">
        <f>IF(BL$5="","",INDEX('Cash Flow'!$F$30:$BZ$30,1,MATCH(BL$5,'Cash Flow'!$F$5:$BZ$5,0)))</f>
        <v>-228.65312474999999</v>
      </c>
      <c r="BM40" s="98">
        <f>IF(BM$5="","",INDEX('Cash Flow'!$F$30:$BZ$30,1,MATCH(BM$5,'Cash Flow'!$F$5:$BZ$5,0)))</f>
        <v>-228.65312474999999</v>
      </c>
      <c r="BN40" s="98">
        <f>IF(BN$5="","",INDEX('Cash Flow'!$F$30:$BZ$30,1,MATCH(BN$5,'Cash Flow'!$F$5:$BZ$5,0)))</f>
        <v>-228.65312474999999</v>
      </c>
    </row>
    <row r="41" spans="2:66" x14ac:dyDescent="0.2">
      <c r="B41" s="101" t="s">
        <v>286</v>
      </c>
      <c r="C41" s="101"/>
      <c r="D41" s="101"/>
      <c r="E41" s="101"/>
      <c r="F41" s="102">
        <f>SUM(F31:F40)</f>
        <v>0</v>
      </c>
      <c r="G41" s="102">
        <f t="shared" ref="G41:BN41" si="17">SUM(G31:G40)</f>
        <v>-108783.55999999998</v>
      </c>
      <c r="H41" s="102">
        <f t="shared" si="17"/>
        <v>-115321.95</v>
      </c>
      <c r="I41" s="102">
        <f t="shared" si="17"/>
        <v>-159768.64000000001</v>
      </c>
      <c r="J41" s="102">
        <f t="shared" si="17"/>
        <v>-65522.720000000008</v>
      </c>
      <c r="K41" s="102">
        <f t="shared" si="17"/>
        <v>-151531.92000000001</v>
      </c>
      <c r="L41" s="102">
        <f t="shared" si="17"/>
        <v>-175142.66000000003</v>
      </c>
      <c r="M41" s="102">
        <f t="shared" si="17"/>
        <v>-131083.81</v>
      </c>
      <c r="N41" s="102">
        <f t="shared" si="17"/>
        <v>-84586.67</v>
      </c>
      <c r="O41" s="102">
        <f t="shared" si="17"/>
        <v>-176705.53000000003</v>
      </c>
      <c r="P41" s="102">
        <f t="shared" si="17"/>
        <v>-110850.15</v>
      </c>
      <c r="Q41" s="102">
        <f t="shared" si="17"/>
        <v>-109529.08293333332</v>
      </c>
      <c r="R41" s="102">
        <f t="shared" si="17"/>
        <v>-109529.08293333332</v>
      </c>
      <c r="S41" s="102">
        <f t="shared" si="17"/>
        <v>-109529.08293333332</v>
      </c>
      <c r="T41" s="102">
        <f t="shared" si="17"/>
        <v>-109529.08293333332</v>
      </c>
      <c r="U41" s="102">
        <f t="shared" si="17"/>
        <v>-109529.08293333332</v>
      </c>
      <c r="V41" s="102">
        <f t="shared" si="17"/>
        <v>-109529.08293333332</v>
      </c>
      <c r="W41" s="102">
        <f t="shared" si="17"/>
        <v>-109529.08293333332</v>
      </c>
      <c r="X41" s="102">
        <f t="shared" si="17"/>
        <v>-109529.08293333332</v>
      </c>
      <c r="Y41" s="102">
        <f t="shared" si="17"/>
        <v>-109529.08293333332</v>
      </c>
      <c r="Z41" s="102">
        <f t="shared" si="17"/>
        <v>-109529.08293333332</v>
      </c>
      <c r="AA41" s="102">
        <f t="shared" si="17"/>
        <v>-109529.08293333332</v>
      </c>
      <c r="AB41" s="102">
        <f t="shared" si="17"/>
        <v>-109529.08293333332</v>
      </c>
      <c r="AC41" s="102">
        <f t="shared" si="17"/>
        <v>-109529.08293333332</v>
      </c>
      <c r="AD41" s="102">
        <f t="shared" si="17"/>
        <v>-109529.08293333332</v>
      </c>
      <c r="AE41" s="102">
        <f t="shared" si="17"/>
        <v>-112814.9554213333</v>
      </c>
      <c r="AF41" s="102">
        <f t="shared" si="17"/>
        <v>-112814.9554213333</v>
      </c>
      <c r="AG41" s="102">
        <f t="shared" si="17"/>
        <v>-112814.9554213333</v>
      </c>
      <c r="AH41" s="102">
        <f t="shared" si="17"/>
        <v>-112814.9554213333</v>
      </c>
      <c r="AI41" s="102">
        <f t="shared" si="17"/>
        <v>-112814.9554213333</v>
      </c>
      <c r="AJ41" s="102">
        <f t="shared" si="17"/>
        <v>-112814.9554213333</v>
      </c>
      <c r="AK41" s="102">
        <f t="shared" si="17"/>
        <v>-112814.9554213333</v>
      </c>
      <c r="AL41" s="102">
        <f t="shared" si="17"/>
        <v>-112814.9554213333</v>
      </c>
      <c r="AM41" s="102">
        <f t="shared" si="17"/>
        <v>-112814.9554213333</v>
      </c>
      <c r="AN41" s="102">
        <f t="shared" si="17"/>
        <v>-112814.9554213333</v>
      </c>
      <c r="AO41" s="102">
        <f t="shared" si="17"/>
        <v>-112814.9554213333</v>
      </c>
      <c r="AP41" s="102">
        <f t="shared" si="17"/>
        <v>-112814.9554213333</v>
      </c>
      <c r="AQ41" s="102">
        <f t="shared" si="17"/>
        <v>-116199.40408397334</v>
      </c>
      <c r="AR41" s="102">
        <f t="shared" si="17"/>
        <v>-116199.40408397334</v>
      </c>
      <c r="AS41" s="102">
        <f t="shared" si="17"/>
        <v>-116199.40408397334</v>
      </c>
      <c r="AT41" s="102">
        <f t="shared" si="17"/>
        <v>-116199.40408397334</v>
      </c>
      <c r="AU41" s="102">
        <f t="shared" si="17"/>
        <v>-116199.40408397334</v>
      </c>
      <c r="AV41" s="102">
        <f t="shared" si="17"/>
        <v>-116199.40408397334</v>
      </c>
      <c r="AW41" s="102">
        <f t="shared" si="17"/>
        <v>-116199.40408397334</v>
      </c>
      <c r="AX41" s="102">
        <f t="shared" si="17"/>
        <v>-116199.40408397334</v>
      </c>
      <c r="AY41" s="102">
        <f t="shared" si="17"/>
        <v>-116199.40408397334</v>
      </c>
      <c r="AZ41" s="102">
        <f t="shared" si="17"/>
        <v>-116199.40408397334</v>
      </c>
      <c r="BA41" s="102">
        <f t="shared" si="17"/>
        <v>-116199.40408397334</v>
      </c>
      <c r="BB41" s="102">
        <f t="shared" si="17"/>
        <v>-116199.40408397334</v>
      </c>
      <c r="BC41" s="102">
        <f t="shared" si="17"/>
        <v>-119685.38620649252</v>
      </c>
      <c r="BD41" s="102">
        <f t="shared" si="17"/>
        <v>-119685.38620649252</v>
      </c>
      <c r="BE41" s="102">
        <f t="shared" si="17"/>
        <v>-119685.38620649252</v>
      </c>
      <c r="BF41" s="102">
        <f t="shared" si="17"/>
        <v>-119685.38620649252</v>
      </c>
      <c r="BG41" s="102">
        <f t="shared" si="17"/>
        <v>-119685.38620649252</v>
      </c>
      <c r="BH41" s="102">
        <f t="shared" si="17"/>
        <v>-119685.38620649252</v>
      </c>
      <c r="BI41" s="102">
        <f t="shared" si="17"/>
        <v>-119685.38620649252</v>
      </c>
      <c r="BJ41" s="102">
        <f t="shared" si="17"/>
        <v>-119685.38620649252</v>
      </c>
      <c r="BK41" s="102">
        <f t="shared" si="17"/>
        <v>-119685.38620649252</v>
      </c>
      <c r="BL41" s="102">
        <f t="shared" si="17"/>
        <v>-119685.38620649252</v>
      </c>
      <c r="BM41" s="102">
        <f t="shared" si="17"/>
        <v>-119685.38620649252</v>
      </c>
      <c r="BN41" s="102">
        <f t="shared" si="17"/>
        <v>-119685.38620649252</v>
      </c>
    </row>
    <row r="42" spans="2:66" ht="17" thickBot="1" x14ac:dyDescent="0.25">
      <c r="B42" s="65"/>
      <c r="C42" s="65"/>
      <c r="D42" s="65"/>
      <c r="E42" s="65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</row>
    <row r="43" spans="2:66" x14ac:dyDescent="0.2">
      <c r="B43" s="101" t="s">
        <v>296</v>
      </c>
      <c r="C43" s="101"/>
      <c r="D43" s="101"/>
      <c r="E43" s="101"/>
      <c r="F43" s="102">
        <f>IF(F$5="","",INDEX('Cash Flow'!$F$33:$BZ$33,1,MATCH(F$5,'Cash Flow'!$F$5:$BZ$5,0)))</f>
        <v>0</v>
      </c>
      <c r="G43" s="102">
        <f>G25+G41</f>
        <v>19220.650000000023</v>
      </c>
      <c r="H43" s="102">
        <f t="shared" ref="H43:BN43" si="18">H25+H41</f>
        <v>112326.99999999999</v>
      </c>
      <c r="I43" s="102">
        <f t="shared" si="18"/>
        <v>59421.76999999999</v>
      </c>
      <c r="J43" s="102">
        <f t="shared" si="18"/>
        <v>188279.78999999998</v>
      </c>
      <c r="K43" s="102">
        <f t="shared" si="18"/>
        <v>59065.5</v>
      </c>
      <c r="L43" s="102">
        <f t="shared" si="18"/>
        <v>68421.289999999979</v>
      </c>
      <c r="M43" s="102">
        <f t="shared" si="18"/>
        <v>104430.65</v>
      </c>
      <c r="N43" s="102">
        <f t="shared" si="18"/>
        <v>175250.97000000003</v>
      </c>
      <c r="O43" s="102">
        <f t="shared" si="18"/>
        <v>90894.76999999996</v>
      </c>
      <c r="P43" s="102">
        <f t="shared" si="18"/>
        <v>127741.32</v>
      </c>
      <c r="Q43" s="102">
        <f t="shared" si="18"/>
        <v>146548.60456666668</v>
      </c>
      <c r="R43" s="102">
        <f t="shared" si="18"/>
        <v>161673.60456666668</v>
      </c>
      <c r="S43" s="102">
        <f t="shared" si="18"/>
        <v>165045.32399166669</v>
      </c>
      <c r="T43" s="102">
        <f t="shared" si="18"/>
        <v>165045.32399166669</v>
      </c>
      <c r="U43" s="102">
        <f t="shared" si="18"/>
        <v>161214.42399166667</v>
      </c>
      <c r="V43" s="102">
        <f t="shared" si="18"/>
        <v>161938.5654916667</v>
      </c>
      <c r="W43" s="102">
        <f t="shared" si="18"/>
        <v>162205.91229166664</v>
      </c>
      <c r="X43" s="102">
        <f t="shared" si="18"/>
        <v>174502.8681916667</v>
      </c>
      <c r="Y43" s="102">
        <f t="shared" si="18"/>
        <v>206037.8681916667</v>
      </c>
      <c r="Z43" s="102">
        <f t="shared" si="18"/>
        <v>197621.41819166669</v>
      </c>
      <c r="AA43" s="102">
        <f t="shared" si="18"/>
        <v>210978.19913541674</v>
      </c>
      <c r="AB43" s="102">
        <f t="shared" si="18"/>
        <v>211164.73163541671</v>
      </c>
      <c r="AC43" s="102">
        <f t="shared" si="18"/>
        <v>212428.06981041664</v>
      </c>
      <c r="AD43" s="102">
        <f t="shared" si="18"/>
        <v>216250.63231041664</v>
      </c>
      <c r="AE43" s="102">
        <f t="shared" si="18"/>
        <v>206546.69852977915</v>
      </c>
      <c r="AF43" s="102">
        <f t="shared" si="18"/>
        <v>206546.69852977915</v>
      </c>
      <c r="AG43" s="102">
        <f t="shared" si="18"/>
        <v>206614.52852977917</v>
      </c>
      <c r="AH43" s="102">
        <f t="shared" si="18"/>
        <v>207323.10098752921</v>
      </c>
      <c r="AI43" s="102">
        <f t="shared" si="18"/>
        <v>210869.06452752923</v>
      </c>
      <c r="AJ43" s="102">
        <f t="shared" si="18"/>
        <v>192444.03692252922</v>
      </c>
      <c r="AK43" s="102">
        <f t="shared" si="18"/>
        <v>193342.78442252922</v>
      </c>
      <c r="AL43" s="102">
        <f t="shared" si="18"/>
        <v>193461.48692252918</v>
      </c>
      <c r="AM43" s="102">
        <f t="shared" si="18"/>
        <v>194515.97210252919</v>
      </c>
      <c r="AN43" s="102">
        <f t="shared" si="18"/>
        <v>203332.20057752921</v>
      </c>
      <c r="AO43" s="102">
        <f t="shared" si="18"/>
        <v>192979.94895377918</v>
      </c>
      <c r="AP43" s="102">
        <f t="shared" si="18"/>
        <v>194034.92032877915</v>
      </c>
      <c r="AQ43" s="102">
        <f t="shared" si="18"/>
        <v>193757.15728472255</v>
      </c>
      <c r="AR43" s="102">
        <f t="shared" si="18"/>
        <v>203253.35728472256</v>
      </c>
      <c r="AS43" s="102">
        <f t="shared" si="18"/>
        <v>217906.6721847225</v>
      </c>
      <c r="AT43" s="102">
        <f t="shared" si="18"/>
        <v>218636.50181620504</v>
      </c>
      <c r="AU43" s="102">
        <f t="shared" si="18"/>
        <v>219004.479566205</v>
      </c>
      <c r="AV43" s="102">
        <f t="shared" si="18"/>
        <v>219631.50008620502</v>
      </c>
      <c r="AW43" s="102">
        <f t="shared" si="18"/>
        <v>220557.21001120505</v>
      </c>
      <c r="AX43" s="102">
        <f t="shared" si="18"/>
        <v>230853.97358620499</v>
      </c>
      <c r="AY43" s="102">
        <f t="shared" si="18"/>
        <v>231940.093321605</v>
      </c>
      <c r="AZ43" s="102">
        <f t="shared" si="18"/>
        <v>232542.05865085497</v>
      </c>
      <c r="BA43" s="102">
        <f t="shared" si="18"/>
        <v>233548.00638239254</v>
      </c>
      <c r="BB43" s="102">
        <f t="shared" si="18"/>
        <v>234110.11793864256</v>
      </c>
      <c r="BC43" s="102">
        <f t="shared" si="18"/>
        <v>233824.0220032642</v>
      </c>
      <c r="BD43" s="102">
        <f t="shared" si="18"/>
        <v>234108.90800326419</v>
      </c>
      <c r="BE43" s="102">
        <f t="shared" si="18"/>
        <v>234618.37235026414</v>
      </c>
      <c r="BF43" s="102">
        <f t="shared" si="18"/>
        <v>235370.09687069114</v>
      </c>
      <c r="BG43" s="102">
        <f t="shared" si="18"/>
        <v>235749.11395319112</v>
      </c>
      <c r="BH43" s="102">
        <f t="shared" si="18"/>
        <v>236394.94508879117</v>
      </c>
      <c r="BI43" s="102">
        <f t="shared" si="18"/>
        <v>237348.42631154114</v>
      </c>
      <c r="BJ43" s="102">
        <f t="shared" si="18"/>
        <v>237779.59279379118</v>
      </c>
      <c r="BK43" s="102">
        <f t="shared" si="18"/>
        <v>238898.29612125314</v>
      </c>
      <c r="BL43" s="102">
        <f t="shared" si="18"/>
        <v>239518.32041038063</v>
      </c>
      <c r="BM43" s="102">
        <f t="shared" si="18"/>
        <v>240554.44657386429</v>
      </c>
      <c r="BN43" s="102">
        <f t="shared" si="18"/>
        <v>241133.42147680177</v>
      </c>
    </row>
    <row r="44" spans="2:66" x14ac:dyDescent="0.2">
      <c r="B44" s="68"/>
      <c r="C44" s="65"/>
      <c r="D44" s="65"/>
      <c r="E44" s="65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</row>
    <row r="45" spans="2:66" ht="17" thickBot="1" x14ac:dyDescent="0.25">
      <c r="B45" s="68" t="s">
        <v>358</v>
      </c>
      <c r="C45" s="65"/>
      <c r="D45" s="65"/>
      <c r="E45" s="65"/>
      <c r="F45" s="98">
        <f>IF(F$5="","",IF(F$5=Assumption!$D$4,Assumption!$D$17-Assumption!$D$18,0))</f>
        <v>0</v>
      </c>
      <c r="G45" s="98">
        <f>IF(G$5="","",IF(G$5=Assumption!$D$4,Assumption!$D$17-Assumption!$D$18,0))</f>
        <v>0</v>
      </c>
      <c r="H45" s="98">
        <f>IF(H$5="","",IF(H$5=Assumption!$D$4,Assumption!$D$17-Assumption!$D$18,0))</f>
        <v>0</v>
      </c>
      <c r="I45" s="98">
        <f>IF(I$5="","",IF(I$5=Assumption!$D$4,Assumption!$D$17-Assumption!$D$18,0))</f>
        <v>0</v>
      </c>
      <c r="J45" s="98">
        <f>IF(J$5="","",IF(J$5=Assumption!$D$4,Assumption!$D$17-Assumption!$D$18,0))</f>
        <v>0</v>
      </c>
      <c r="K45" s="98">
        <f>IF(K$5="","",IF(K$5=Assumption!$D$4,Assumption!$D$17-Assumption!$D$18,0))</f>
        <v>0</v>
      </c>
      <c r="L45" s="98">
        <f>IF(L$5="","",IF(L$5=Assumption!$D$4,Assumption!$D$17-Assumption!$D$18,0))</f>
        <v>0</v>
      </c>
      <c r="M45" s="98">
        <f>IF(M$5="","",IF(M$5=Assumption!$D$4,Assumption!$D$17-Assumption!$D$18,0))</f>
        <v>0</v>
      </c>
      <c r="N45" s="98">
        <f>IF(N$5="","",IF(N$5=Assumption!$D$4,Assumption!$D$17-Assumption!$D$18,0))</f>
        <v>0</v>
      </c>
      <c r="O45" s="98">
        <f>IF(O$5="","",IF(O$5=Assumption!$D$4,Assumption!$D$17-Assumption!$D$18,0))</f>
        <v>0</v>
      </c>
      <c r="P45" s="98">
        <f>IF(P$5="","",IF(P$5=Assumption!$D$4,Assumption!$D$17-Assumption!$D$18,0))</f>
        <v>0</v>
      </c>
      <c r="Q45" s="98">
        <f>IF(Q$5="","",IF(Q$5=Assumption!$D$4,Assumption!$D$17-Assumption!$D$18,0))</f>
        <v>0</v>
      </c>
      <c r="R45" s="98">
        <f>IF(R$5="","",IF(R$5=Assumption!$D$4,Assumption!$D$17-Assumption!$D$18,0))</f>
        <v>0</v>
      </c>
      <c r="S45" s="98">
        <f>IF(S$5="","",IF(S$5=Assumption!$D$4,Assumption!$D$17-Assumption!$D$18,0))</f>
        <v>0</v>
      </c>
      <c r="T45" s="98">
        <f>IF(T$5="","",IF(T$5=Assumption!$D$4,Assumption!$D$17-Assumption!$D$18,0))</f>
        <v>0</v>
      </c>
      <c r="U45" s="98">
        <f>IF(U$5="","",IF(U$5=Assumption!$D$4,Assumption!$D$17-Assumption!$D$18,0))</f>
        <v>0</v>
      </c>
      <c r="V45" s="98">
        <f>IF(V$5="","",IF(V$5=Assumption!$D$4,Assumption!$D$17-Assumption!$D$18,0))</f>
        <v>0</v>
      </c>
      <c r="W45" s="98">
        <f>IF(W$5="","",IF(W$5=Assumption!$D$4,Assumption!$D$17-Assumption!$D$18,0))</f>
        <v>0</v>
      </c>
      <c r="X45" s="98">
        <f>IF(X$5="","",IF(X$5=Assumption!$D$4,Assumption!$D$17-Assumption!$D$18,0))</f>
        <v>0</v>
      </c>
      <c r="Y45" s="98">
        <f>IF(Y$5="","",IF(Y$5=Assumption!$D$4,Assumption!$D$17-Assumption!$D$18,0))</f>
        <v>0</v>
      </c>
      <c r="Z45" s="98">
        <f>IF(Z$5="","",IF(Z$5=Assumption!$D$4,Assumption!$D$17-Assumption!$D$18,0))</f>
        <v>0</v>
      </c>
      <c r="AA45" s="98">
        <f>IF(AA$5="","",IF(AA$5=Assumption!$D$4,Assumption!$D$17-Assumption!$D$18,0))</f>
        <v>0</v>
      </c>
      <c r="AB45" s="98">
        <f>IF(AB$5="","",IF(AB$5=Assumption!$D$4,Assumption!$D$17-Assumption!$D$18,0))</f>
        <v>0</v>
      </c>
      <c r="AC45" s="98">
        <f>IF(AC$5="","",IF(AC$5=Assumption!$D$4,Assumption!$D$17-Assumption!$D$18,0))</f>
        <v>0</v>
      </c>
      <c r="AD45" s="98">
        <f>IF(AD$5="","",IF(AD$5=Assumption!$D$4,Assumption!$D$17-Assumption!$D$18,0))</f>
        <v>0</v>
      </c>
      <c r="AE45" s="98">
        <f>IF(AE$5="","",IF(AE$5=Assumption!$D$4,Assumption!$D$17-Assumption!$D$18,0))</f>
        <v>0</v>
      </c>
      <c r="AF45" s="98">
        <f>IF(AF$5="","",IF(AF$5=Assumption!$D$4,Assumption!$D$17-Assumption!$D$18,0))</f>
        <v>0</v>
      </c>
      <c r="AG45" s="98">
        <f>IF(AG$5="","",IF(AG$5=Assumption!$D$4,Assumption!$D$17-Assumption!$D$18,0))</f>
        <v>0</v>
      </c>
      <c r="AH45" s="98">
        <f>IF(AH$5="","",IF(AH$5=Assumption!$D$4,Assumption!$D$17-Assumption!$D$18,0))</f>
        <v>0</v>
      </c>
      <c r="AI45" s="98">
        <f>IF(AI$5="","",IF(AI$5=Assumption!$D$4,Assumption!$D$17-Assumption!$D$18,0))</f>
        <v>0</v>
      </c>
      <c r="AJ45" s="98">
        <f>IF(AJ$5="","",IF(AJ$5=Assumption!$D$4,Assumption!$D$17-Assumption!$D$18,0))</f>
        <v>0</v>
      </c>
      <c r="AK45" s="98">
        <f>IF(AK$5="","",IF(AK$5=Assumption!$D$4,Assumption!$D$17-Assumption!$D$18,0))</f>
        <v>0</v>
      </c>
      <c r="AL45" s="98">
        <f>IF(AL$5="","",IF(AL$5=Assumption!$D$4,Assumption!$D$17-Assumption!$D$18,0))</f>
        <v>0</v>
      </c>
      <c r="AM45" s="98">
        <f>IF(AM$5="","",IF(AM$5=Assumption!$D$4,Assumption!$D$17-Assumption!$D$18,0))</f>
        <v>0</v>
      </c>
      <c r="AN45" s="98">
        <f>IF(AN$5="","",IF(AN$5=Assumption!$D$4,Assumption!$D$17-Assumption!$D$18,0))</f>
        <v>0</v>
      </c>
      <c r="AO45" s="98">
        <f>IF(AO$5="","",IF(AO$5=Assumption!$D$4,Assumption!$D$17-Assumption!$D$18,0))</f>
        <v>0</v>
      </c>
      <c r="AP45" s="98">
        <f>IF(AP$5="","",IF(AP$5=Assumption!$D$4,Assumption!$D$17-Assumption!$D$18,0))</f>
        <v>0</v>
      </c>
      <c r="AQ45" s="98">
        <f>IF(AQ$5="","",IF(AQ$5=Assumption!$D$4,Assumption!$D$17-Assumption!$D$18,0))</f>
        <v>0</v>
      </c>
      <c r="AR45" s="98">
        <f>IF(AR$5="","",IF(AR$5=Assumption!$D$4,Assumption!$D$17-Assumption!$D$18,0))</f>
        <v>0</v>
      </c>
      <c r="AS45" s="98">
        <f>IF(AS$5="","",IF(AS$5=Assumption!$D$4,Assumption!$D$17-Assumption!$D$18,0))</f>
        <v>0</v>
      </c>
      <c r="AT45" s="98">
        <f>IF(AT$5="","",IF(AT$5=Assumption!$D$4,Assumption!$D$17-Assumption!$D$18,0))</f>
        <v>0</v>
      </c>
      <c r="AU45" s="98">
        <f>IF(AU$5="","",IF(AU$5=Assumption!$D$4,Assumption!$D$17-Assumption!$D$18,0))</f>
        <v>0</v>
      </c>
      <c r="AV45" s="98">
        <f>IF(AV$5="","",IF(AV$5=Assumption!$D$4,Assumption!$D$17-Assumption!$D$18,0))</f>
        <v>0</v>
      </c>
      <c r="AW45" s="98">
        <f>IF(AW$5="","",IF(AW$5=Assumption!$D$4,Assumption!$D$17-Assumption!$D$18,0))</f>
        <v>0</v>
      </c>
      <c r="AX45" s="98">
        <f>IF(AX$5="","",IF(AX$5=Assumption!$D$4,Assumption!$D$17-Assumption!$D$18,0))</f>
        <v>0</v>
      </c>
      <c r="AY45" s="98">
        <f>IF(AY$5="","",IF(AY$5=Assumption!$D$4,Assumption!$D$17-Assumption!$D$18,0))</f>
        <v>0</v>
      </c>
      <c r="AZ45" s="98">
        <f>IF(AZ$5="","",IF(AZ$5=Assumption!$D$4,Assumption!$D$17-Assumption!$D$18,0))</f>
        <v>0</v>
      </c>
      <c r="BA45" s="98">
        <f>IF(BA$5="","",IF(BA$5=Assumption!$D$4,Assumption!$D$17-Assumption!$D$18,0))</f>
        <v>0</v>
      </c>
      <c r="BB45" s="98">
        <f>IF(BB$5="","",IF(BB$5=Assumption!$D$4,Assumption!$D$17-Assumption!$D$18,0))</f>
        <v>0</v>
      </c>
      <c r="BC45" s="98">
        <f>IF(BC$5="","",IF(BC$5=Assumption!$D$4,Assumption!$D$17-Assumption!$D$18,0))</f>
        <v>0</v>
      </c>
      <c r="BD45" s="98">
        <f>IF(BD$5="","",IF(BD$5=Assumption!$D$4,Assumption!$D$17-Assumption!$D$18,0))</f>
        <v>0</v>
      </c>
      <c r="BE45" s="98">
        <f>IF(BE$5="","",IF(BE$5=Assumption!$D$4,Assumption!$D$17-Assumption!$D$18,0))</f>
        <v>0</v>
      </c>
      <c r="BF45" s="98">
        <f>IF(BF$5="","",IF(BF$5=Assumption!$D$4,Assumption!$D$17-Assumption!$D$18,0))</f>
        <v>0</v>
      </c>
      <c r="BG45" s="98">
        <f>IF(BG$5="","",IF(BG$5=Assumption!$D$4,Assumption!$D$17-Assumption!$D$18,0))</f>
        <v>0</v>
      </c>
      <c r="BH45" s="98">
        <f>IF(BH$5="","",IF(BH$5=Assumption!$D$4,Assumption!$D$17-Assumption!$D$18,0))</f>
        <v>0</v>
      </c>
      <c r="BI45" s="98">
        <f>IF(BI$5="","",IF(BI$5=Assumption!$D$4,Assumption!$D$17-Assumption!$D$18,0))</f>
        <v>0</v>
      </c>
      <c r="BJ45" s="98">
        <f>IF(BJ$5="","",IF(BJ$5=Assumption!$D$4,Assumption!$D$17-Assumption!$D$18,0))</f>
        <v>0</v>
      </c>
      <c r="BK45" s="98">
        <f>IF(BK$5="","",IF(BK$5=Assumption!$D$4,Assumption!$D$17-Assumption!$D$18,0))</f>
        <v>0</v>
      </c>
      <c r="BL45" s="98">
        <f>IF(BL$5="","",IF(BL$5=Assumption!$D$4,Assumption!$D$17-Assumption!$D$18,0))</f>
        <v>0</v>
      </c>
      <c r="BM45" s="98">
        <f>IF(BM$5="","",IF(BM$5=Assumption!$D$4,Assumption!$D$17-Assumption!$D$18,0))</f>
        <v>0</v>
      </c>
      <c r="BN45" s="98">
        <f ca="1">IF(BN$5="","",IF(BN$5=Assumption!$D$4,Assumption!$D$17-Assumption!$D$18,0))</f>
        <v>43818419.444276921</v>
      </c>
    </row>
    <row r="46" spans="2:66" ht="17" thickBot="1" x14ac:dyDescent="0.25">
      <c r="B46" s="101" t="s">
        <v>362</v>
      </c>
      <c r="C46" s="101"/>
      <c r="D46" s="101"/>
      <c r="E46" s="101"/>
      <c r="F46" s="102">
        <f t="shared" ref="F46:AK46" si="19">IF(F$5="","",SUM(F8,F13,F43,F45))</f>
        <v>-25507408.695652176</v>
      </c>
      <c r="G46" s="102">
        <f t="shared" si="19"/>
        <v>19220.650000000023</v>
      </c>
      <c r="H46" s="102">
        <f t="shared" si="19"/>
        <v>112326.99999999999</v>
      </c>
      <c r="I46" s="102">
        <f t="shared" si="19"/>
        <v>59421.76999999999</v>
      </c>
      <c r="J46" s="102">
        <f t="shared" si="19"/>
        <v>188279.78999999998</v>
      </c>
      <c r="K46" s="102">
        <f t="shared" si="19"/>
        <v>59065.5</v>
      </c>
      <c r="L46" s="102">
        <f t="shared" si="19"/>
        <v>68421.289999999979</v>
      </c>
      <c r="M46" s="102">
        <f t="shared" si="19"/>
        <v>104430.65</v>
      </c>
      <c r="N46" s="102">
        <f t="shared" si="19"/>
        <v>175250.97000000003</v>
      </c>
      <c r="O46" s="102">
        <f t="shared" si="19"/>
        <v>-130217.98239685124</v>
      </c>
      <c r="P46" s="102">
        <f t="shared" si="19"/>
        <v>-150377.06387416442</v>
      </c>
      <c r="Q46" s="102">
        <f t="shared" si="19"/>
        <v>146548.60456666668</v>
      </c>
      <c r="R46" s="102">
        <f t="shared" si="19"/>
        <v>-123354.55281989931</v>
      </c>
      <c r="S46" s="102">
        <f t="shared" si="19"/>
        <v>165045.32399166669</v>
      </c>
      <c r="T46" s="102">
        <f t="shared" si="19"/>
        <v>165045.32399166669</v>
      </c>
      <c r="U46" s="102">
        <f t="shared" si="19"/>
        <v>92116.688867650664</v>
      </c>
      <c r="V46" s="102">
        <f t="shared" si="19"/>
        <v>161938.5654916667</v>
      </c>
      <c r="W46" s="102">
        <f t="shared" si="19"/>
        <v>162205.91229166664</v>
      </c>
      <c r="X46" s="102">
        <f t="shared" si="19"/>
        <v>-157166.2604036101</v>
      </c>
      <c r="Y46" s="102">
        <f t="shared" si="19"/>
        <v>-709507.1222015454</v>
      </c>
      <c r="Z46" s="102">
        <f t="shared" si="19"/>
        <v>76700.381724638675</v>
      </c>
      <c r="AA46" s="102">
        <f t="shared" si="19"/>
        <v>-635469.05613377923</v>
      </c>
      <c r="AB46" s="102">
        <f t="shared" si="19"/>
        <v>211164.73163541671</v>
      </c>
      <c r="AC46" s="102">
        <f t="shared" si="19"/>
        <v>212428.06981041664</v>
      </c>
      <c r="AD46" s="102">
        <f t="shared" si="19"/>
        <v>112604.02962439263</v>
      </c>
      <c r="AE46" s="102">
        <f t="shared" si="19"/>
        <v>33802.360719739139</v>
      </c>
      <c r="AF46" s="102">
        <f t="shared" si="19"/>
        <v>206546.69852977915</v>
      </c>
      <c r="AG46" s="102">
        <f t="shared" si="19"/>
        <v>206614.52852977917</v>
      </c>
      <c r="AH46" s="102">
        <f t="shared" si="19"/>
        <v>207323.10098752921</v>
      </c>
      <c r="AI46" s="102">
        <f t="shared" si="19"/>
        <v>-163986.14852025762</v>
      </c>
      <c r="AJ46" s="102">
        <f t="shared" si="19"/>
        <v>-104676.2241107396</v>
      </c>
      <c r="AK46" s="102">
        <f t="shared" si="19"/>
        <v>193342.78442252922</v>
      </c>
      <c r="AL46" s="102">
        <f t="shared" ref="AL46:BN46" si="20">IF(AL$5="","",SUM(AL8,AL13,AL43,AL45))</f>
        <v>193461.48692252918</v>
      </c>
      <c r="AM46" s="102">
        <f t="shared" si="20"/>
        <v>194515.97210252919</v>
      </c>
      <c r="AN46" s="102">
        <f t="shared" si="20"/>
        <v>-55784.306137530803</v>
      </c>
      <c r="AO46" s="102">
        <f t="shared" si="20"/>
        <v>-14313.256418268837</v>
      </c>
      <c r="AP46" s="102">
        <f t="shared" si="20"/>
        <v>194034.92032877915</v>
      </c>
      <c r="AQ46" s="102">
        <f t="shared" si="20"/>
        <v>193757.15728472255</v>
      </c>
      <c r="AR46" s="102">
        <f t="shared" si="20"/>
        <v>-86957.130236144643</v>
      </c>
      <c r="AS46" s="102">
        <f t="shared" si="20"/>
        <v>-227773.7193651807</v>
      </c>
      <c r="AT46" s="102">
        <f t="shared" si="20"/>
        <v>218636.50181620504</v>
      </c>
      <c r="AU46" s="102">
        <f t="shared" si="20"/>
        <v>219004.479566205</v>
      </c>
      <c r="AV46" s="102">
        <f t="shared" si="20"/>
        <v>219631.50008620502</v>
      </c>
      <c r="AW46" s="102">
        <f t="shared" si="20"/>
        <v>220557.21001120505</v>
      </c>
      <c r="AX46" s="102">
        <f t="shared" si="20"/>
        <v>-80085.834471867012</v>
      </c>
      <c r="AY46" s="102">
        <f t="shared" si="20"/>
        <v>231940.093321605</v>
      </c>
      <c r="AZ46" s="102">
        <f t="shared" si="20"/>
        <v>232542.05865085497</v>
      </c>
      <c r="BA46" s="102">
        <f t="shared" si="20"/>
        <v>233548.00638239254</v>
      </c>
      <c r="BB46" s="102">
        <f t="shared" si="20"/>
        <v>234110.11793864256</v>
      </c>
      <c r="BC46" s="102">
        <f t="shared" si="20"/>
        <v>233824.0220032642</v>
      </c>
      <c r="BD46" s="102">
        <f t="shared" si="20"/>
        <v>234108.90800326419</v>
      </c>
      <c r="BE46" s="102">
        <f t="shared" si="20"/>
        <v>234618.37235026414</v>
      </c>
      <c r="BF46" s="102">
        <f t="shared" si="20"/>
        <v>235370.09687069114</v>
      </c>
      <c r="BG46" s="102">
        <f t="shared" si="20"/>
        <v>235749.11395319112</v>
      </c>
      <c r="BH46" s="102">
        <f t="shared" si="20"/>
        <v>236394.94508879117</v>
      </c>
      <c r="BI46" s="102">
        <f t="shared" si="20"/>
        <v>237348.42631154114</v>
      </c>
      <c r="BJ46" s="102">
        <f t="shared" si="20"/>
        <v>237779.59279379118</v>
      </c>
      <c r="BK46" s="102">
        <f t="shared" si="20"/>
        <v>238898.29612125314</v>
      </c>
      <c r="BL46" s="102">
        <f t="shared" si="20"/>
        <v>239518.32041038063</v>
      </c>
      <c r="BM46" s="102">
        <f t="shared" si="20"/>
        <v>240554.44657386429</v>
      </c>
      <c r="BN46" s="102">
        <f t="shared" ca="1" si="20"/>
        <v>44059552.865753725</v>
      </c>
    </row>
    <row r="47" spans="2:66" ht="17" thickTop="1" x14ac:dyDescent="0.2">
      <c r="B47" s="70" t="s">
        <v>376</v>
      </c>
      <c r="C47" s="70"/>
      <c r="D47" s="70"/>
      <c r="E47" s="70"/>
      <c r="F47" s="104">
        <f ca="1">IFERROR((1+IRR(F46:BN46))^12-1,"")</f>
        <v>0.14936969207692852</v>
      </c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4"/>
      <c r="BK47" s="104"/>
      <c r="BL47" s="104"/>
      <c r="BM47" s="104"/>
      <c r="BN47" s="104"/>
    </row>
    <row r="48" spans="2:66" x14ac:dyDescent="0.2"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</row>
    <row r="49" spans="2:67" x14ac:dyDescent="0.2">
      <c r="B49" s="67" t="s">
        <v>356</v>
      </c>
      <c r="C49" s="67" t="s">
        <v>359</v>
      </c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</row>
    <row r="50" spans="2:67" x14ac:dyDescent="0.2">
      <c r="B50" s="94" t="s">
        <v>331</v>
      </c>
      <c r="C50" s="65"/>
      <c r="D50" s="65"/>
      <c r="E50" s="65"/>
      <c r="F50" s="98">
        <f t="shared" ref="F50:AK50" si="21">IF(F$5="","",-MIN(0,F61))</f>
        <v>11709551.287207184</v>
      </c>
      <c r="G50" s="98">
        <f t="shared" si="21"/>
        <v>65232.449770764681</v>
      </c>
      <c r="H50" s="98">
        <f t="shared" si="21"/>
        <v>0</v>
      </c>
      <c r="I50" s="98">
        <f t="shared" si="21"/>
        <v>25031.329770764714</v>
      </c>
      <c r="J50" s="98">
        <f t="shared" si="21"/>
        <v>0</v>
      </c>
      <c r="K50" s="98">
        <f t="shared" si="21"/>
        <v>25387.599770764704</v>
      </c>
      <c r="L50" s="98">
        <f t="shared" si="21"/>
        <v>16031.809770764725</v>
      </c>
      <c r="M50" s="98">
        <f t="shared" si="21"/>
        <v>0</v>
      </c>
      <c r="N50" s="98">
        <f t="shared" si="21"/>
        <v>0</v>
      </c>
      <c r="O50" s="98">
        <f t="shared" si="21"/>
        <v>0</v>
      </c>
      <c r="P50" s="98">
        <f t="shared" si="21"/>
        <v>0</v>
      </c>
      <c r="Q50" s="98">
        <f t="shared" si="21"/>
        <v>0</v>
      </c>
      <c r="R50" s="98">
        <f t="shared" si="21"/>
        <v>0</v>
      </c>
      <c r="S50" s="98">
        <f t="shared" si="21"/>
        <v>0</v>
      </c>
      <c r="T50" s="98">
        <f t="shared" si="21"/>
        <v>0</v>
      </c>
      <c r="U50" s="98">
        <f t="shared" si="21"/>
        <v>0</v>
      </c>
      <c r="V50" s="98">
        <f t="shared" si="21"/>
        <v>0</v>
      </c>
      <c r="W50" s="98">
        <f t="shared" si="21"/>
        <v>0</v>
      </c>
      <c r="X50" s="98">
        <f t="shared" si="21"/>
        <v>0</v>
      </c>
      <c r="Y50" s="98">
        <f t="shared" si="21"/>
        <v>0</v>
      </c>
      <c r="Z50" s="98">
        <f t="shared" si="21"/>
        <v>0</v>
      </c>
      <c r="AA50" s="98">
        <f t="shared" si="21"/>
        <v>0</v>
      </c>
      <c r="AB50" s="98">
        <f t="shared" si="21"/>
        <v>0</v>
      </c>
      <c r="AC50" s="98">
        <f t="shared" si="21"/>
        <v>0</v>
      </c>
      <c r="AD50" s="98">
        <f t="shared" si="21"/>
        <v>0</v>
      </c>
      <c r="AE50" s="98">
        <f t="shared" si="21"/>
        <v>0</v>
      </c>
      <c r="AF50" s="98">
        <f t="shared" si="21"/>
        <v>0</v>
      </c>
      <c r="AG50" s="98">
        <f t="shared" si="21"/>
        <v>0</v>
      </c>
      <c r="AH50" s="98">
        <f t="shared" si="21"/>
        <v>0</v>
      </c>
      <c r="AI50" s="98">
        <f t="shared" si="21"/>
        <v>0</v>
      </c>
      <c r="AJ50" s="98">
        <f t="shared" si="21"/>
        <v>0</v>
      </c>
      <c r="AK50" s="98">
        <f t="shared" si="21"/>
        <v>0</v>
      </c>
      <c r="AL50" s="98">
        <f t="shared" ref="AL50:BN50" si="22">IF(AL$5="","",-MIN(0,AL61))</f>
        <v>0</v>
      </c>
      <c r="AM50" s="98">
        <f t="shared" si="22"/>
        <v>0</v>
      </c>
      <c r="AN50" s="98">
        <f t="shared" si="22"/>
        <v>0</v>
      </c>
      <c r="AO50" s="98">
        <f t="shared" si="22"/>
        <v>0</v>
      </c>
      <c r="AP50" s="98">
        <f t="shared" si="22"/>
        <v>0</v>
      </c>
      <c r="AQ50" s="98">
        <f t="shared" si="22"/>
        <v>0</v>
      </c>
      <c r="AR50" s="98">
        <f t="shared" si="22"/>
        <v>0</v>
      </c>
      <c r="AS50" s="98">
        <f t="shared" si="22"/>
        <v>0</v>
      </c>
      <c r="AT50" s="98">
        <f t="shared" si="22"/>
        <v>0</v>
      </c>
      <c r="AU50" s="98">
        <f t="shared" si="22"/>
        <v>0</v>
      </c>
      <c r="AV50" s="98">
        <f t="shared" si="22"/>
        <v>0</v>
      </c>
      <c r="AW50" s="98">
        <f t="shared" si="22"/>
        <v>0</v>
      </c>
      <c r="AX50" s="98">
        <f t="shared" si="22"/>
        <v>0</v>
      </c>
      <c r="AY50" s="98">
        <f t="shared" si="22"/>
        <v>0</v>
      </c>
      <c r="AZ50" s="98">
        <f t="shared" si="22"/>
        <v>0</v>
      </c>
      <c r="BA50" s="98">
        <f t="shared" si="22"/>
        <v>0</v>
      </c>
      <c r="BB50" s="98">
        <f t="shared" si="22"/>
        <v>0</v>
      </c>
      <c r="BC50" s="98">
        <f t="shared" si="22"/>
        <v>0</v>
      </c>
      <c r="BD50" s="98">
        <f t="shared" si="22"/>
        <v>0</v>
      </c>
      <c r="BE50" s="98">
        <f t="shared" si="22"/>
        <v>0</v>
      </c>
      <c r="BF50" s="98">
        <f t="shared" si="22"/>
        <v>0</v>
      </c>
      <c r="BG50" s="98">
        <f t="shared" si="22"/>
        <v>0</v>
      </c>
      <c r="BH50" s="98">
        <f t="shared" si="22"/>
        <v>0</v>
      </c>
      <c r="BI50" s="98">
        <f t="shared" si="22"/>
        <v>0</v>
      </c>
      <c r="BJ50" s="98">
        <f t="shared" si="22"/>
        <v>0</v>
      </c>
      <c r="BK50" s="98">
        <f t="shared" si="22"/>
        <v>0</v>
      </c>
      <c r="BL50" s="98">
        <f t="shared" si="22"/>
        <v>0</v>
      </c>
      <c r="BM50" s="98">
        <f t="shared" si="22"/>
        <v>0</v>
      </c>
      <c r="BN50" s="98">
        <f t="shared" ca="1" si="22"/>
        <v>0</v>
      </c>
    </row>
    <row r="51" spans="2:67" x14ac:dyDescent="0.2">
      <c r="B51" s="94" t="s">
        <v>361</v>
      </c>
      <c r="C51" s="65"/>
      <c r="D51" s="65"/>
      <c r="E51" s="65"/>
      <c r="F51" s="98">
        <f t="shared" ref="F51:AK51" si="23">IF(F$5="","",F53+F54)</f>
        <v>13978444.099988639</v>
      </c>
      <c r="G51" s="98">
        <f t="shared" si="23"/>
        <v>0</v>
      </c>
      <c r="H51" s="98">
        <f t="shared" si="23"/>
        <v>0</v>
      </c>
      <c r="I51" s="98">
        <f t="shared" si="23"/>
        <v>0</v>
      </c>
      <c r="J51" s="98">
        <f t="shared" si="23"/>
        <v>0</v>
      </c>
      <c r="K51" s="98">
        <f t="shared" si="23"/>
        <v>0</v>
      </c>
      <c r="L51" s="98">
        <f t="shared" si="23"/>
        <v>0</v>
      </c>
      <c r="M51" s="98">
        <f t="shared" si="23"/>
        <v>0</v>
      </c>
      <c r="N51" s="98">
        <f t="shared" si="23"/>
        <v>0</v>
      </c>
      <c r="O51" s="98">
        <f t="shared" si="23"/>
        <v>221112.7523968512</v>
      </c>
      <c r="P51" s="98">
        <f t="shared" si="23"/>
        <v>278118.38387416443</v>
      </c>
      <c r="Q51" s="98">
        <f t="shared" si="23"/>
        <v>0</v>
      </c>
      <c r="R51" s="98">
        <f t="shared" si="23"/>
        <v>285028.15738656599</v>
      </c>
      <c r="S51" s="98">
        <f t="shared" si="23"/>
        <v>0</v>
      </c>
      <c r="T51" s="98">
        <f t="shared" si="23"/>
        <v>0</v>
      </c>
      <c r="U51" s="98">
        <f t="shared" si="23"/>
        <v>69097.735124016006</v>
      </c>
      <c r="V51" s="98">
        <f t="shared" si="23"/>
        <v>0</v>
      </c>
      <c r="W51" s="98">
        <f t="shared" si="23"/>
        <v>0</v>
      </c>
      <c r="X51" s="98">
        <f t="shared" si="23"/>
        <v>331669.12859527679</v>
      </c>
      <c r="Y51" s="98">
        <f t="shared" si="23"/>
        <v>915544.99039321207</v>
      </c>
      <c r="Z51" s="98">
        <f t="shared" si="23"/>
        <v>120921.03646702801</v>
      </c>
      <c r="AA51" s="98">
        <f t="shared" si="23"/>
        <v>846447.255269196</v>
      </c>
      <c r="AB51" s="98">
        <f t="shared" si="23"/>
        <v>0</v>
      </c>
      <c r="AC51" s="98">
        <f t="shared" si="23"/>
        <v>0</v>
      </c>
      <c r="AD51" s="98">
        <f t="shared" si="23"/>
        <v>103646.60268602401</v>
      </c>
      <c r="AE51" s="98">
        <f t="shared" si="23"/>
        <v>172744.33781004002</v>
      </c>
      <c r="AF51" s="98">
        <f t="shared" si="23"/>
        <v>0</v>
      </c>
      <c r="AG51" s="98">
        <f t="shared" si="23"/>
        <v>0</v>
      </c>
      <c r="AH51" s="98">
        <f t="shared" si="23"/>
        <v>0</v>
      </c>
      <c r="AI51" s="98">
        <f t="shared" si="23"/>
        <v>374855.21304778685</v>
      </c>
      <c r="AJ51" s="98">
        <f t="shared" si="23"/>
        <v>297120.26103326882</v>
      </c>
      <c r="AK51" s="98">
        <f t="shared" si="23"/>
        <v>0</v>
      </c>
      <c r="AL51" s="98">
        <f t="shared" ref="AL51:BN51" si="24">IF(AL$5="","",AL53+AL54)</f>
        <v>0</v>
      </c>
      <c r="AM51" s="98">
        <f t="shared" si="24"/>
        <v>0</v>
      </c>
      <c r="AN51" s="98">
        <f t="shared" si="24"/>
        <v>259116.50671506001</v>
      </c>
      <c r="AO51" s="98">
        <f t="shared" si="24"/>
        <v>207293.20537204802</v>
      </c>
      <c r="AP51" s="98">
        <f t="shared" si="24"/>
        <v>0</v>
      </c>
      <c r="AQ51" s="98">
        <f t="shared" si="24"/>
        <v>0</v>
      </c>
      <c r="AR51" s="98">
        <f t="shared" si="24"/>
        <v>290210.4875208672</v>
      </c>
      <c r="AS51" s="98">
        <f t="shared" si="24"/>
        <v>445680.3915499032</v>
      </c>
      <c r="AT51" s="98">
        <f t="shared" si="24"/>
        <v>0</v>
      </c>
      <c r="AU51" s="98">
        <f t="shared" si="24"/>
        <v>0</v>
      </c>
      <c r="AV51" s="98">
        <f t="shared" si="24"/>
        <v>0</v>
      </c>
      <c r="AW51" s="98">
        <f t="shared" si="24"/>
        <v>0</v>
      </c>
      <c r="AX51" s="98">
        <f t="shared" si="24"/>
        <v>310939.808058072</v>
      </c>
      <c r="AY51" s="98">
        <f t="shared" si="24"/>
        <v>0</v>
      </c>
      <c r="AZ51" s="98">
        <f t="shared" si="24"/>
        <v>0</v>
      </c>
      <c r="BA51" s="98">
        <f t="shared" si="24"/>
        <v>0</v>
      </c>
      <c r="BB51" s="98">
        <f t="shared" si="24"/>
        <v>0</v>
      </c>
      <c r="BC51" s="98">
        <f t="shared" si="24"/>
        <v>0</v>
      </c>
      <c r="BD51" s="98">
        <f t="shared" si="24"/>
        <v>0</v>
      </c>
      <c r="BE51" s="98">
        <f t="shared" si="24"/>
        <v>0</v>
      </c>
      <c r="BF51" s="98">
        <f t="shared" si="24"/>
        <v>0</v>
      </c>
      <c r="BG51" s="98">
        <f t="shared" si="24"/>
        <v>0</v>
      </c>
      <c r="BH51" s="98">
        <f t="shared" si="24"/>
        <v>0</v>
      </c>
      <c r="BI51" s="98">
        <f t="shared" si="24"/>
        <v>0</v>
      </c>
      <c r="BJ51" s="98">
        <f t="shared" si="24"/>
        <v>0</v>
      </c>
      <c r="BK51" s="98">
        <f t="shared" si="24"/>
        <v>0</v>
      </c>
      <c r="BL51" s="98">
        <f t="shared" si="24"/>
        <v>0</v>
      </c>
      <c r="BM51" s="98">
        <f t="shared" si="24"/>
        <v>0</v>
      </c>
      <c r="BN51" s="98">
        <f t="shared" si="24"/>
        <v>0</v>
      </c>
    </row>
    <row r="52" spans="2:67" x14ac:dyDescent="0.2">
      <c r="B52" s="94" t="s">
        <v>363</v>
      </c>
      <c r="C52" s="65"/>
      <c r="D52" s="65"/>
      <c r="E52" s="65"/>
      <c r="F52" s="98">
        <f>0</f>
        <v>0</v>
      </c>
      <c r="G52" s="98">
        <f t="shared" ref="G52:AL52" si="25">IF(G$5="","",F56)</f>
        <v>13978444.099988639</v>
      </c>
      <c r="H52" s="98">
        <f t="shared" si="25"/>
        <v>13978444.099988639</v>
      </c>
      <c r="I52" s="98">
        <f t="shared" si="25"/>
        <v>13978444.099988639</v>
      </c>
      <c r="J52" s="98">
        <f t="shared" si="25"/>
        <v>13978444.099988639</v>
      </c>
      <c r="K52" s="98">
        <f t="shared" si="25"/>
        <v>13978444.099988639</v>
      </c>
      <c r="L52" s="98">
        <f t="shared" si="25"/>
        <v>13978444.099988639</v>
      </c>
      <c r="M52" s="98">
        <f t="shared" si="25"/>
        <v>13978444.099988639</v>
      </c>
      <c r="N52" s="98">
        <f t="shared" si="25"/>
        <v>13978444.099988639</v>
      </c>
      <c r="O52" s="98">
        <f t="shared" si="25"/>
        <v>13978444.099988639</v>
      </c>
      <c r="P52" s="98">
        <f t="shared" si="25"/>
        <v>14199556.852385491</v>
      </c>
      <c r="Q52" s="98">
        <f t="shared" si="25"/>
        <v>14477675.236259656</v>
      </c>
      <c r="R52" s="98">
        <f t="shared" si="25"/>
        <v>14477675.236259656</v>
      </c>
      <c r="S52" s="98">
        <f t="shared" si="25"/>
        <v>14762703.393646222</v>
      </c>
      <c r="T52" s="98">
        <f t="shared" si="25"/>
        <v>14762703.393646222</v>
      </c>
      <c r="U52" s="98">
        <f t="shared" si="25"/>
        <v>14762703.393646222</v>
      </c>
      <c r="V52" s="98">
        <f t="shared" si="25"/>
        <v>14831801.128770238</v>
      </c>
      <c r="W52" s="98">
        <f t="shared" si="25"/>
        <v>14831801.128770238</v>
      </c>
      <c r="X52" s="98">
        <f t="shared" si="25"/>
        <v>14831801.128770238</v>
      </c>
      <c r="Y52" s="98">
        <f t="shared" si="25"/>
        <v>15163470.257365515</v>
      </c>
      <c r="Z52" s="98">
        <f t="shared" si="25"/>
        <v>16079015.247758728</v>
      </c>
      <c r="AA52" s="98">
        <f t="shared" si="25"/>
        <v>16199936.284225756</v>
      </c>
      <c r="AB52" s="98">
        <f t="shared" si="25"/>
        <v>17046383.539494954</v>
      </c>
      <c r="AC52" s="98">
        <f t="shared" si="25"/>
        <v>17046383.539494954</v>
      </c>
      <c r="AD52" s="98">
        <f t="shared" si="25"/>
        <v>17046383.539494954</v>
      </c>
      <c r="AE52" s="98">
        <f t="shared" si="25"/>
        <v>17150030.142180979</v>
      </c>
      <c r="AF52" s="98">
        <f t="shared" si="25"/>
        <v>17322774.479991019</v>
      </c>
      <c r="AG52" s="98">
        <f t="shared" si="25"/>
        <v>17322774.479991019</v>
      </c>
      <c r="AH52" s="98">
        <f t="shared" si="25"/>
        <v>17322774.479991019</v>
      </c>
      <c r="AI52" s="98">
        <f t="shared" si="25"/>
        <v>17322774.479991019</v>
      </c>
      <c r="AJ52" s="98">
        <f t="shared" si="25"/>
        <v>17697629.693038806</v>
      </c>
      <c r="AK52" s="98">
        <f t="shared" si="25"/>
        <v>17994749.954072077</v>
      </c>
      <c r="AL52" s="98">
        <f t="shared" si="25"/>
        <v>17994749.954072077</v>
      </c>
      <c r="AM52" s="98">
        <f t="shared" ref="AM52:BN52" si="26">IF(AM$5="","",AL56)</f>
        <v>17994749.954072077</v>
      </c>
      <c r="AN52" s="98">
        <f t="shared" si="26"/>
        <v>17994749.954072077</v>
      </c>
      <c r="AO52" s="98">
        <f t="shared" si="26"/>
        <v>18253866.460787136</v>
      </c>
      <c r="AP52" s="98">
        <f t="shared" si="26"/>
        <v>18461159.666159183</v>
      </c>
      <c r="AQ52" s="98">
        <f t="shared" si="26"/>
        <v>18461159.666159183</v>
      </c>
      <c r="AR52" s="98">
        <f t="shared" si="26"/>
        <v>18461159.666159183</v>
      </c>
      <c r="AS52" s="98">
        <f t="shared" si="26"/>
        <v>18751370.153680049</v>
      </c>
      <c r="AT52" s="98">
        <f t="shared" si="26"/>
        <v>19197050.545229953</v>
      </c>
      <c r="AU52" s="98">
        <f t="shared" si="26"/>
        <v>19197050.545229953</v>
      </c>
      <c r="AV52" s="98">
        <f t="shared" si="26"/>
        <v>19197050.545229953</v>
      </c>
      <c r="AW52" s="98">
        <f t="shared" si="26"/>
        <v>19197050.545229953</v>
      </c>
      <c r="AX52" s="98">
        <f t="shared" si="26"/>
        <v>19197050.545229953</v>
      </c>
      <c r="AY52" s="98">
        <f t="shared" si="26"/>
        <v>19507990.353288025</v>
      </c>
      <c r="AZ52" s="98">
        <f t="shared" si="26"/>
        <v>19507990.353288025</v>
      </c>
      <c r="BA52" s="98">
        <f t="shared" si="26"/>
        <v>19507990.353288025</v>
      </c>
      <c r="BB52" s="98">
        <f t="shared" si="26"/>
        <v>19507990.353288025</v>
      </c>
      <c r="BC52" s="98">
        <f t="shared" si="26"/>
        <v>19507990.353288025</v>
      </c>
      <c r="BD52" s="98">
        <f t="shared" si="26"/>
        <v>19507990.353288025</v>
      </c>
      <c r="BE52" s="98">
        <f t="shared" si="26"/>
        <v>19507990.353288025</v>
      </c>
      <c r="BF52" s="98">
        <f t="shared" si="26"/>
        <v>19507990.353288025</v>
      </c>
      <c r="BG52" s="98">
        <f t="shared" si="26"/>
        <v>19507990.353288025</v>
      </c>
      <c r="BH52" s="98">
        <f t="shared" si="26"/>
        <v>19507990.353288025</v>
      </c>
      <c r="BI52" s="98">
        <f t="shared" si="26"/>
        <v>19507990.353288025</v>
      </c>
      <c r="BJ52" s="98">
        <f t="shared" si="26"/>
        <v>19507990.353288025</v>
      </c>
      <c r="BK52" s="98">
        <f t="shared" si="26"/>
        <v>19507990.353288025</v>
      </c>
      <c r="BL52" s="98">
        <f t="shared" si="26"/>
        <v>19507990.353288025</v>
      </c>
      <c r="BM52" s="98">
        <f t="shared" si="26"/>
        <v>19507990.353288025</v>
      </c>
      <c r="BN52" s="98">
        <f t="shared" si="26"/>
        <v>19507990.353288025</v>
      </c>
    </row>
    <row r="53" spans="2:67" x14ac:dyDescent="0.2">
      <c r="B53" s="94" t="s">
        <v>322</v>
      </c>
      <c r="C53" s="65"/>
      <c r="D53" s="65"/>
      <c r="E53" s="65"/>
      <c r="F53" s="98">
        <f>Assumption!$D$23</f>
        <v>13978444.099988639</v>
      </c>
      <c r="G53" s="98">
        <f t="shared" ref="G53:AL53" si="27">IF(G$5="","",0)</f>
        <v>0</v>
      </c>
      <c r="H53" s="98">
        <f t="shared" si="27"/>
        <v>0</v>
      </c>
      <c r="I53" s="98">
        <f t="shared" si="27"/>
        <v>0</v>
      </c>
      <c r="J53" s="98">
        <f t="shared" si="27"/>
        <v>0</v>
      </c>
      <c r="K53" s="98">
        <f t="shared" si="27"/>
        <v>0</v>
      </c>
      <c r="L53" s="98">
        <f t="shared" si="27"/>
        <v>0</v>
      </c>
      <c r="M53" s="98">
        <f t="shared" si="27"/>
        <v>0</v>
      </c>
      <c r="N53" s="98">
        <f t="shared" si="27"/>
        <v>0</v>
      </c>
      <c r="O53" s="98">
        <f t="shared" si="27"/>
        <v>0</v>
      </c>
      <c r="P53" s="98">
        <f t="shared" si="27"/>
        <v>0</v>
      </c>
      <c r="Q53" s="98">
        <f t="shared" si="27"/>
        <v>0</v>
      </c>
      <c r="R53" s="98">
        <f t="shared" si="27"/>
        <v>0</v>
      </c>
      <c r="S53" s="98">
        <f t="shared" si="27"/>
        <v>0</v>
      </c>
      <c r="T53" s="98">
        <f t="shared" si="27"/>
        <v>0</v>
      </c>
      <c r="U53" s="98">
        <f t="shared" si="27"/>
        <v>0</v>
      </c>
      <c r="V53" s="98">
        <f t="shared" si="27"/>
        <v>0</v>
      </c>
      <c r="W53" s="98">
        <f t="shared" si="27"/>
        <v>0</v>
      </c>
      <c r="X53" s="98">
        <f t="shared" si="27"/>
        <v>0</v>
      </c>
      <c r="Y53" s="98">
        <f t="shared" si="27"/>
        <v>0</v>
      </c>
      <c r="Z53" s="98">
        <f t="shared" si="27"/>
        <v>0</v>
      </c>
      <c r="AA53" s="98">
        <f t="shared" si="27"/>
        <v>0</v>
      </c>
      <c r="AB53" s="98">
        <f t="shared" si="27"/>
        <v>0</v>
      </c>
      <c r="AC53" s="98">
        <f t="shared" si="27"/>
        <v>0</v>
      </c>
      <c r="AD53" s="98">
        <f t="shared" si="27"/>
        <v>0</v>
      </c>
      <c r="AE53" s="98">
        <f t="shared" si="27"/>
        <v>0</v>
      </c>
      <c r="AF53" s="98">
        <f t="shared" si="27"/>
        <v>0</v>
      </c>
      <c r="AG53" s="98">
        <f t="shared" si="27"/>
        <v>0</v>
      </c>
      <c r="AH53" s="98">
        <f t="shared" si="27"/>
        <v>0</v>
      </c>
      <c r="AI53" s="98">
        <f t="shared" si="27"/>
        <v>0</v>
      </c>
      <c r="AJ53" s="98">
        <f t="shared" si="27"/>
        <v>0</v>
      </c>
      <c r="AK53" s="98">
        <f t="shared" si="27"/>
        <v>0</v>
      </c>
      <c r="AL53" s="98">
        <f t="shared" si="27"/>
        <v>0</v>
      </c>
      <c r="AM53" s="98">
        <f t="shared" ref="AM53:BN53" si="28">IF(AM$5="","",0)</f>
        <v>0</v>
      </c>
      <c r="AN53" s="98">
        <f t="shared" si="28"/>
        <v>0</v>
      </c>
      <c r="AO53" s="98">
        <f t="shared" si="28"/>
        <v>0</v>
      </c>
      <c r="AP53" s="98">
        <f t="shared" si="28"/>
        <v>0</v>
      </c>
      <c r="AQ53" s="98">
        <f t="shared" si="28"/>
        <v>0</v>
      </c>
      <c r="AR53" s="98">
        <f t="shared" si="28"/>
        <v>0</v>
      </c>
      <c r="AS53" s="98">
        <f t="shared" si="28"/>
        <v>0</v>
      </c>
      <c r="AT53" s="98">
        <f t="shared" si="28"/>
        <v>0</v>
      </c>
      <c r="AU53" s="98">
        <f t="shared" si="28"/>
        <v>0</v>
      </c>
      <c r="AV53" s="98">
        <f t="shared" si="28"/>
        <v>0</v>
      </c>
      <c r="AW53" s="98">
        <f t="shared" si="28"/>
        <v>0</v>
      </c>
      <c r="AX53" s="98">
        <f t="shared" si="28"/>
        <v>0</v>
      </c>
      <c r="AY53" s="98">
        <f t="shared" si="28"/>
        <v>0</v>
      </c>
      <c r="AZ53" s="98">
        <f t="shared" si="28"/>
        <v>0</v>
      </c>
      <c r="BA53" s="98">
        <f t="shared" si="28"/>
        <v>0</v>
      </c>
      <c r="BB53" s="98">
        <f t="shared" si="28"/>
        <v>0</v>
      </c>
      <c r="BC53" s="98">
        <f t="shared" si="28"/>
        <v>0</v>
      </c>
      <c r="BD53" s="98">
        <f t="shared" si="28"/>
        <v>0</v>
      </c>
      <c r="BE53" s="98">
        <f t="shared" si="28"/>
        <v>0</v>
      </c>
      <c r="BF53" s="98">
        <f t="shared" si="28"/>
        <v>0</v>
      </c>
      <c r="BG53" s="98">
        <f t="shared" si="28"/>
        <v>0</v>
      </c>
      <c r="BH53" s="98">
        <f t="shared" si="28"/>
        <v>0</v>
      </c>
      <c r="BI53" s="98">
        <f t="shared" si="28"/>
        <v>0</v>
      </c>
      <c r="BJ53" s="98">
        <f t="shared" si="28"/>
        <v>0</v>
      </c>
      <c r="BK53" s="98">
        <f t="shared" si="28"/>
        <v>0</v>
      </c>
      <c r="BL53" s="98">
        <f t="shared" si="28"/>
        <v>0</v>
      </c>
      <c r="BM53" s="98">
        <f t="shared" si="28"/>
        <v>0</v>
      </c>
      <c r="BN53" s="98">
        <f t="shared" si="28"/>
        <v>0</v>
      </c>
    </row>
    <row r="54" spans="2:67" x14ac:dyDescent="0.2">
      <c r="B54" s="94" t="s">
        <v>364</v>
      </c>
      <c r="C54" s="65"/>
      <c r="D54" s="65"/>
      <c r="E54" s="65"/>
      <c r="F54" s="98">
        <f t="shared" ref="F54:AK54" si="29">IF(F$5="","",MAX(0,-F13))</f>
        <v>0</v>
      </c>
      <c r="G54" s="98">
        <f t="shared" si="29"/>
        <v>0</v>
      </c>
      <c r="H54" s="98">
        <f t="shared" si="29"/>
        <v>0</v>
      </c>
      <c r="I54" s="98">
        <f t="shared" si="29"/>
        <v>0</v>
      </c>
      <c r="J54" s="98">
        <f t="shared" si="29"/>
        <v>0</v>
      </c>
      <c r="K54" s="98">
        <f t="shared" si="29"/>
        <v>0</v>
      </c>
      <c r="L54" s="98">
        <f t="shared" si="29"/>
        <v>0</v>
      </c>
      <c r="M54" s="98">
        <f t="shared" si="29"/>
        <v>0</v>
      </c>
      <c r="N54" s="98">
        <f t="shared" si="29"/>
        <v>0</v>
      </c>
      <c r="O54" s="98">
        <f t="shared" si="29"/>
        <v>221112.7523968512</v>
      </c>
      <c r="P54" s="98">
        <f t="shared" si="29"/>
        <v>278118.38387416443</v>
      </c>
      <c r="Q54" s="98">
        <f t="shared" si="29"/>
        <v>0</v>
      </c>
      <c r="R54" s="98">
        <f t="shared" si="29"/>
        <v>285028.15738656599</v>
      </c>
      <c r="S54" s="98">
        <f t="shared" si="29"/>
        <v>0</v>
      </c>
      <c r="T54" s="98">
        <f t="shared" si="29"/>
        <v>0</v>
      </c>
      <c r="U54" s="98">
        <f t="shared" si="29"/>
        <v>69097.735124016006</v>
      </c>
      <c r="V54" s="98">
        <f t="shared" si="29"/>
        <v>0</v>
      </c>
      <c r="W54" s="98">
        <f t="shared" si="29"/>
        <v>0</v>
      </c>
      <c r="X54" s="98">
        <f t="shared" si="29"/>
        <v>331669.12859527679</v>
      </c>
      <c r="Y54" s="98">
        <f t="shared" si="29"/>
        <v>915544.99039321207</v>
      </c>
      <c r="Z54" s="98">
        <f t="shared" si="29"/>
        <v>120921.03646702801</v>
      </c>
      <c r="AA54" s="98">
        <f t="shared" si="29"/>
        <v>846447.255269196</v>
      </c>
      <c r="AB54" s="98">
        <f t="shared" si="29"/>
        <v>0</v>
      </c>
      <c r="AC54" s="98">
        <f t="shared" si="29"/>
        <v>0</v>
      </c>
      <c r="AD54" s="98">
        <f t="shared" si="29"/>
        <v>103646.60268602401</v>
      </c>
      <c r="AE54" s="98">
        <f t="shared" si="29"/>
        <v>172744.33781004002</v>
      </c>
      <c r="AF54" s="98">
        <f t="shared" si="29"/>
        <v>0</v>
      </c>
      <c r="AG54" s="98">
        <f t="shared" si="29"/>
        <v>0</v>
      </c>
      <c r="AH54" s="98">
        <f t="shared" si="29"/>
        <v>0</v>
      </c>
      <c r="AI54" s="98">
        <f t="shared" si="29"/>
        <v>374855.21304778685</v>
      </c>
      <c r="AJ54" s="98">
        <f t="shared" si="29"/>
        <v>297120.26103326882</v>
      </c>
      <c r="AK54" s="98">
        <f t="shared" si="29"/>
        <v>0</v>
      </c>
      <c r="AL54" s="98">
        <f t="shared" ref="AL54:BN54" si="30">IF(AL$5="","",MAX(0,-AL13))</f>
        <v>0</v>
      </c>
      <c r="AM54" s="98">
        <f t="shared" si="30"/>
        <v>0</v>
      </c>
      <c r="AN54" s="98">
        <f t="shared" si="30"/>
        <v>259116.50671506001</v>
      </c>
      <c r="AO54" s="98">
        <f t="shared" si="30"/>
        <v>207293.20537204802</v>
      </c>
      <c r="AP54" s="98">
        <f t="shared" si="30"/>
        <v>0</v>
      </c>
      <c r="AQ54" s="98">
        <f t="shared" si="30"/>
        <v>0</v>
      </c>
      <c r="AR54" s="98">
        <f t="shared" si="30"/>
        <v>290210.4875208672</v>
      </c>
      <c r="AS54" s="98">
        <f t="shared" si="30"/>
        <v>445680.3915499032</v>
      </c>
      <c r="AT54" s="98">
        <f t="shared" si="30"/>
        <v>0</v>
      </c>
      <c r="AU54" s="98">
        <f t="shared" si="30"/>
        <v>0</v>
      </c>
      <c r="AV54" s="98">
        <f t="shared" si="30"/>
        <v>0</v>
      </c>
      <c r="AW54" s="98">
        <f t="shared" si="30"/>
        <v>0</v>
      </c>
      <c r="AX54" s="98">
        <f t="shared" si="30"/>
        <v>310939.808058072</v>
      </c>
      <c r="AY54" s="98">
        <f t="shared" si="30"/>
        <v>0</v>
      </c>
      <c r="AZ54" s="98">
        <f t="shared" si="30"/>
        <v>0</v>
      </c>
      <c r="BA54" s="98">
        <f t="shared" si="30"/>
        <v>0</v>
      </c>
      <c r="BB54" s="98">
        <f t="shared" si="30"/>
        <v>0</v>
      </c>
      <c r="BC54" s="98">
        <f t="shared" si="30"/>
        <v>0</v>
      </c>
      <c r="BD54" s="98">
        <f t="shared" si="30"/>
        <v>0</v>
      </c>
      <c r="BE54" s="98">
        <f t="shared" si="30"/>
        <v>0</v>
      </c>
      <c r="BF54" s="98">
        <f t="shared" si="30"/>
        <v>0</v>
      </c>
      <c r="BG54" s="98">
        <f t="shared" si="30"/>
        <v>0</v>
      </c>
      <c r="BH54" s="98">
        <f t="shared" si="30"/>
        <v>0</v>
      </c>
      <c r="BI54" s="98">
        <f t="shared" si="30"/>
        <v>0</v>
      </c>
      <c r="BJ54" s="98">
        <f t="shared" si="30"/>
        <v>0</v>
      </c>
      <c r="BK54" s="98">
        <f t="shared" si="30"/>
        <v>0</v>
      </c>
      <c r="BL54" s="98">
        <f t="shared" si="30"/>
        <v>0</v>
      </c>
      <c r="BM54" s="98">
        <f t="shared" si="30"/>
        <v>0</v>
      </c>
      <c r="BN54" s="98">
        <f t="shared" si="30"/>
        <v>0</v>
      </c>
    </row>
    <row r="55" spans="2:67" ht="17" thickBot="1" x14ac:dyDescent="0.25">
      <c r="B55" s="94" t="s">
        <v>365</v>
      </c>
      <c r="C55" s="65"/>
      <c r="D55" s="65"/>
      <c r="E55" s="65"/>
      <c r="F55" s="98">
        <f>IF(F$5="","",IF(F$5=Assumption!$D$4,-(F52+F53+F54),0))</f>
        <v>0</v>
      </c>
      <c r="G55" s="98">
        <f>IF(G$5="","",IF(G$5=Assumption!$D$4,-(G52+G53+G54),0))</f>
        <v>0</v>
      </c>
      <c r="H55" s="98">
        <f>IF(H$5="","",IF(H$5=Assumption!$D$4,-(H52+H53+H54),0))</f>
        <v>0</v>
      </c>
      <c r="I55" s="98">
        <f>IF(I$5="","",IF(I$5=Assumption!$D$4,-(I52+I53+I54),0))</f>
        <v>0</v>
      </c>
      <c r="J55" s="98">
        <f>IF(J$5="","",IF(J$5=Assumption!$D$4,-(J52+J53+J54),0))</f>
        <v>0</v>
      </c>
      <c r="K55" s="98">
        <f>IF(K$5="","",IF(K$5=Assumption!$D$4,-(K52+K53+K54),0))</f>
        <v>0</v>
      </c>
      <c r="L55" s="98">
        <f>IF(L$5="","",IF(L$5=Assumption!$D$4,-(L52+L53+L54),0))</f>
        <v>0</v>
      </c>
      <c r="M55" s="98">
        <f>IF(M$5="","",IF(M$5=Assumption!$D$4,-(M52+M53+M54),0))</f>
        <v>0</v>
      </c>
      <c r="N55" s="98">
        <f>IF(N$5="","",IF(N$5=Assumption!$D$4,-(N52+N53+N54),0))</f>
        <v>0</v>
      </c>
      <c r="O55" s="98">
        <f>IF(O$5="","",IF(O$5=Assumption!$D$4,-(O52+O53+O54),0))</f>
        <v>0</v>
      </c>
      <c r="P55" s="98">
        <f>IF(P$5="","",IF(P$5=Assumption!$D$4,-(P52+P53+P54),0))</f>
        <v>0</v>
      </c>
      <c r="Q55" s="98">
        <f>IF(Q$5="","",IF(Q$5=Assumption!$D$4,-(Q52+Q53+Q54),0))</f>
        <v>0</v>
      </c>
      <c r="R55" s="98">
        <f>IF(R$5="","",IF(R$5=Assumption!$D$4,-(R52+R53+R54),0))</f>
        <v>0</v>
      </c>
      <c r="S55" s="98">
        <f>IF(S$5="","",IF(S$5=Assumption!$D$4,-(S52+S53+S54),0))</f>
        <v>0</v>
      </c>
      <c r="T55" s="98">
        <f>IF(T$5="","",IF(T$5=Assumption!$D$4,-(T52+T53+T54),0))</f>
        <v>0</v>
      </c>
      <c r="U55" s="98">
        <f>IF(U$5="","",IF(U$5=Assumption!$D$4,-(U52+U53+U54),0))</f>
        <v>0</v>
      </c>
      <c r="V55" s="98">
        <f>IF(V$5="","",IF(V$5=Assumption!$D$4,-(V52+V53+V54),0))</f>
        <v>0</v>
      </c>
      <c r="W55" s="98">
        <f>IF(W$5="","",IF(W$5=Assumption!$D$4,-(W52+W53+W54),0))</f>
        <v>0</v>
      </c>
      <c r="X55" s="98">
        <f>IF(X$5="","",IF(X$5=Assumption!$D$4,-(X52+X53+X54),0))</f>
        <v>0</v>
      </c>
      <c r="Y55" s="98">
        <f>IF(Y$5="","",IF(Y$5=Assumption!$D$4,-(Y52+Y53+Y54),0))</f>
        <v>0</v>
      </c>
      <c r="Z55" s="98">
        <f>IF(Z$5="","",IF(Z$5=Assumption!$D$4,-(Z52+Z53+Z54),0))</f>
        <v>0</v>
      </c>
      <c r="AA55" s="98">
        <f>IF(AA$5="","",IF(AA$5=Assumption!$D$4,-(AA52+AA53+AA54),0))</f>
        <v>0</v>
      </c>
      <c r="AB55" s="98">
        <f>IF(AB$5="","",IF(AB$5=Assumption!$D$4,-(AB52+AB53+AB54),0))</f>
        <v>0</v>
      </c>
      <c r="AC55" s="98">
        <f>IF(AC$5="","",IF(AC$5=Assumption!$D$4,-(AC52+AC53+AC54),0))</f>
        <v>0</v>
      </c>
      <c r="AD55" s="98">
        <f>IF(AD$5="","",IF(AD$5=Assumption!$D$4,-(AD52+AD53+AD54),0))</f>
        <v>0</v>
      </c>
      <c r="AE55" s="98">
        <f>IF(AE$5="","",IF(AE$5=Assumption!$D$4,-(AE52+AE53+AE54),0))</f>
        <v>0</v>
      </c>
      <c r="AF55" s="98">
        <f>IF(AF$5="","",IF(AF$5=Assumption!$D$4,-(AF52+AF53+AF54),0))</f>
        <v>0</v>
      </c>
      <c r="AG55" s="98">
        <f>IF(AG$5="","",IF(AG$5=Assumption!$D$4,-(AG52+AG53+AG54),0))</f>
        <v>0</v>
      </c>
      <c r="AH55" s="98">
        <f>IF(AH$5="","",IF(AH$5=Assumption!$D$4,-(AH52+AH53+AH54),0))</f>
        <v>0</v>
      </c>
      <c r="AI55" s="98">
        <f>IF(AI$5="","",IF(AI$5=Assumption!$D$4,-(AI52+AI53+AI54),0))</f>
        <v>0</v>
      </c>
      <c r="AJ55" s="98">
        <f>IF(AJ$5="","",IF(AJ$5=Assumption!$D$4,-(AJ52+AJ53+AJ54),0))</f>
        <v>0</v>
      </c>
      <c r="AK55" s="98">
        <f>IF(AK$5="","",IF(AK$5=Assumption!$D$4,-(AK52+AK53+AK54),0))</f>
        <v>0</v>
      </c>
      <c r="AL55" s="98">
        <f>IF(AL$5="","",IF(AL$5=Assumption!$D$4,-(AL52+AL53+AL54),0))</f>
        <v>0</v>
      </c>
      <c r="AM55" s="98">
        <f>IF(AM$5="","",IF(AM$5=Assumption!$D$4,-(AM52+AM53+AM54),0))</f>
        <v>0</v>
      </c>
      <c r="AN55" s="98">
        <f>IF(AN$5="","",IF(AN$5=Assumption!$D$4,-(AN52+AN53+AN54),0))</f>
        <v>0</v>
      </c>
      <c r="AO55" s="98">
        <f>IF(AO$5="","",IF(AO$5=Assumption!$D$4,-(AO52+AO53+AO54),0))</f>
        <v>0</v>
      </c>
      <c r="AP55" s="98">
        <f>IF(AP$5="","",IF(AP$5=Assumption!$D$4,-(AP52+AP53+AP54),0))</f>
        <v>0</v>
      </c>
      <c r="AQ55" s="98">
        <f>IF(AQ$5="","",IF(AQ$5=Assumption!$D$4,-(AQ52+AQ53+AQ54),0))</f>
        <v>0</v>
      </c>
      <c r="AR55" s="98">
        <f>IF(AR$5="","",IF(AR$5=Assumption!$D$4,-(AR52+AR53+AR54),0))</f>
        <v>0</v>
      </c>
      <c r="AS55" s="98">
        <f>IF(AS$5="","",IF(AS$5=Assumption!$D$4,-(AS52+AS53+AS54),0))</f>
        <v>0</v>
      </c>
      <c r="AT55" s="98">
        <f>IF(AT$5="","",IF(AT$5=Assumption!$D$4,-(AT52+AT53+AT54),0))</f>
        <v>0</v>
      </c>
      <c r="AU55" s="98">
        <f>IF(AU$5="","",IF(AU$5=Assumption!$D$4,-(AU52+AU53+AU54),0))</f>
        <v>0</v>
      </c>
      <c r="AV55" s="98">
        <f>IF(AV$5="","",IF(AV$5=Assumption!$D$4,-(AV52+AV53+AV54),0))</f>
        <v>0</v>
      </c>
      <c r="AW55" s="98">
        <f>IF(AW$5="","",IF(AW$5=Assumption!$D$4,-(AW52+AW53+AW54),0))</f>
        <v>0</v>
      </c>
      <c r="AX55" s="98">
        <f>IF(AX$5="","",IF(AX$5=Assumption!$D$4,-(AX52+AX53+AX54),0))</f>
        <v>0</v>
      </c>
      <c r="AY55" s="98">
        <f>IF(AY$5="","",IF(AY$5=Assumption!$D$4,-(AY52+AY53+AY54),0))</f>
        <v>0</v>
      </c>
      <c r="AZ55" s="98">
        <f>IF(AZ$5="","",IF(AZ$5=Assumption!$D$4,-(AZ52+AZ53+AZ54),0))</f>
        <v>0</v>
      </c>
      <c r="BA55" s="98">
        <f>IF(BA$5="","",IF(BA$5=Assumption!$D$4,-(BA52+BA53+BA54),0))</f>
        <v>0</v>
      </c>
      <c r="BB55" s="98">
        <f>IF(BB$5="","",IF(BB$5=Assumption!$D$4,-(BB52+BB53+BB54),0))</f>
        <v>0</v>
      </c>
      <c r="BC55" s="98">
        <f>IF(BC$5="","",IF(BC$5=Assumption!$D$4,-(BC52+BC53+BC54),0))</f>
        <v>0</v>
      </c>
      <c r="BD55" s="98">
        <f>IF(BD$5="","",IF(BD$5=Assumption!$D$4,-(BD52+BD53+BD54),0))</f>
        <v>0</v>
      </c>
      <c r="BE55" s="98">
        <f>IF(BE$5="","",IF(BE$5=Assumption!$D$4,-(BE52+BE53+BE54),0))</f>
        <v>0</v>
      </c>
      <c r="BF55" s="98">
        <f>IF(BF$5="","",IF(BF$5=Assumption!$D$4,-(BF52+BF53+BF54),0))</f>
        <v>0</v>
      </c>
      <c r="BG55" s="98">
        <f>IF(BG$5="","",IF(BG$5=Assumption!$D$4,-(BG52+BG53+BG54),0))</f>
        <v>0</v>
      </c>
      <c r="BH55" s="98">
        <f>IF(BH$5="","",IF(BH$5=Assumption!$D$4,-(BH52+BH53+BH54),0))</f>
        <v>0</v>
      </c>
      <c r="BI55" s="98">
        <f>IF(BI$5="","",IF(BI$5=Assumption!$D$4,-(BI52+BI53+BI54),0))</f>
        <v>0</v>
      </c>
      <c r="BJ55" s="98">
        <f>IF(BJ$5="","",IF(BJ$5=Assumption!$D$4,-(BJ52+BJ53+BJ54),0))</f>
        <v>0</v>
      </c>
      <c r="BK55" s="98">
        <f>IF(BK$5="","",IF(BK$5=Assumption!$D$4,-(BK52+BK53+BK54),0))</f>
        <v>0</v>
      </c>
      <c r="BL55" s="98">
        <f>IF(BL$5="","",IF(BL$5=Assumption!$D$4,-(BL52+BL53+BL54),0))</f>
        <v>0</v>
      </c>
      <c r="BM55" s="98">
        <f>IF(BM$5="","",IF(BM$5=Assumption!$D$4,-(BM52+BM53+BM54),0))</f>
        <v>0</v>
      </c>
      <c r="BN55" s="98">
        <f>IF(BN$5="","",IF(BN$5=Assumption!$D$4,-(BN52+BN53+BN54),0))</f>
        <v>-19507990.353288025</v>
      </c>
    </row>
    <row r="56" spans="2:67" x14ac:dyDescent="0.2">
      <c r="B56" s="103" t="s">
        <v>379</v>
      </c>
      <c r="C56" s="101"/>
      <c r="D56" s="101"/>
      <c r="E56" s="101"/>
      <c r="F56" s="102">
        <f t="shared" ref="F56:AK56" si="31">IF(F$5="","",SUM(F52:F55))</f>
        <v>13978444.099988639</v>
      </c>
      <c r="G56" s="102">
        <f t="shared" si="31"/>
        <v>13978444.099988639</v>
      </c>
      <c r="H56" s="102">
        <f t="shared" si="31"/>
        <v>13978444.099988639</v>
      </c>
      <c r="I56" s="102">
        <f t="shared" si="31"/>
        <v>13978444.099988639</v>
      </c>
      <c r="J56" s="102">
        <f t="shared" si="31"/>
        <v>13978444.099988639</v>
      </c>
      <c r="K56" s="102">
        <f t="shared" si="31"/>
        <v>13978444.099988639</v>
      </c>
      <c r="L56" s="102">
        <f t="shared" si="31"/>
        <v>13978444.099988639</v>
      </c>
      <c r="M56" s="102">
        <f t="shared" si="31"/>
        <v>13978444.099988639</v>
      </c>
      <c r="N56" s="102">
        <f t="shared" si="31"/>
        <v>13978444.099988639</v>
      </c>
      <c r="O56" s="102">
        <f t="shared" si="31"/>
        <v>14199556.852385491</v>
      </c>
      <c r="P56" s="102">
        <f t="shared" si="31"/>
        <v>14477675.236259656</v>
      </c>
      <c r="Q56" s="102">
        <f t="shared" si="31"/>
        <v>14477675.236259656</v>
      </c>
      <c r="R56" s="102">
        <f t="shared" si="31"/>
        <v>14762703.393646222</v>
      </c>
      <c r="S56" s="102">
        <f t="shared" si="31"/>
        <v>14762703.393646222</v>
      </c>
      <c r="T56" s="102">
        <f t="shared" si="31"/>
        <v>14762703.393646222</v>
      </c>
      <c r="U56" s="102">
        <f t="shared" si="31"/>
        <v>14831801.128770238</v>
      </c>
      <c r="V56" s="102">
        <f t="shared" si="31"/>
        <v>14831801.128770238</v>
      </c>
      <c r="W56" s="102">
        <f t="shared" si="31"/>
        <v>14831801.128770238</v>
      </c>
      <c r="X56" s="102">
        <f t="shared" si="31"/>
        <v>15163470.257365515</v>
      </c>
      <c r="Y56" s="102">
        <f t="shared" si="31"/>
        <v>16079015.247758728</v>
      </c>
      <c r="Z56" s="102">
        <f t="shared" si="31"/>
        <v>16199936.284225756</v>
      </c>
      <c r="AA56" s="102">
        <f t="shared" si="31"/>
        <v>17046383.539494954</v>
      </c>
      <c r="AB56" s="102">
        <f t="shared" si="31"/>
        <v>17046383.539494954</v>
      </c>
      <c r="AC56" s="102">
        <f t="shared" si="31"/>
        <v>17046383.539494954</v>
      </c>
      <c r="AD56" s="102">
        <f t="shared" si="31"/>
        <v>17150030.142180979</v>
      </c>
      <c r="AE56" s="102">
        <f t="shared" si="31"/>
        <v>17322774.479991019</v>
      </c>
      <c r="AF56" s="102">
        <f t="shared" si="31"/>
        <v>17322774.479991019</v>
      </c>
      <c r="AG56" s="102">
        <f t="shared" si="31"/>
        <v>17322774.479991019</v>
      </c>
      <c r="AH56" s="102">
        <f t="shared" si="31"/>
        <v>17322774.479991019</v>
      </c>
      <c r="AI56" s="102">
        <f t="shared" si="31"/>
        <v>17697629.693038806</v>
      </c>
      <c r="AJ56" s="102">
        <f t="shared" si="31"/>
        <v>17994749.954072077</v>
      </c>
      <c r="AK56" s="102">
        <f t="shared" si="31"/>
        <v>17994749.954072077</v>
      </c>
      <c r="AL56" s="102">
        <f t="shared" ref="AL56:BN56" si="32">IF(AL$5="","",SUM(AL52:AL55))</f>
        <v>17994749.954072077</v>
      </c>
      <c r="AM56" s="102">
        <f t="shared" si="32"/>
        <v>17994749.954072077</v>
      </c>
      <c r="AN56" s="102">
        <f t="shared" si="32"/>
        <v>18253866.460787136</v>
      </c>
      <c r="AO56" s="102">
        <f t="shared" si="32"/>
        <v>18461159.666159183</v>
      </c>
      <c r="AP56" s="102">
        <f t="shared" si="32"/>
        <v>18461159.666159183</v>
      </c>
      <c r="AQ56" s="102">
        <f t="shared" si="32"/>
        <v>18461159.666159183</v>
      </c>
      <c r="AR56" s="102">
        <f t="shared" si="32"/>
        <v>18751370.153680049</v>
      </c>
      <c r="AS56" s="102">
        <f t="shared" si="32"/>
        <v>19197050.545229953</v>
      </c>
      <c r="AT56" s="102">
        <f t="shared" si="32"/>
        <v>19197050.545229953</v>
      </c>
      <c r="AU56" s="102">
        <f t="shared" si="32"/>
        <v>19197050.545229953</v>
      </c>
      <c r="AV56" s="102">
        <f t="shared" si="32"/>
        <v>19197050.545229953</v>
      </c>
      <c r="AW56" s="102">
        <f t="shared" si="32"/>
        <v>19197050.545229953</v>
      </c>
      <c r="AX56" s="102">
        <f t="shared" si="32"/>
        <v>19507990.353288025</v>
      </c>
      <c r="AY56" s="102">
        <f t="shared" si="32"/>
        <v>19507990.353288025</v>
      </c>
      <c r="AZ56" s="102">
        <f t="shared" si="32"/>
        <v>19507990.353288025</v>
      </c>
      <c r="BA56" s="102">
        <f t="shared" si="32"/>
        <v>19507990.353288025</v>
      </c>
      <c r="BB56" s="102">
        <f t="shared" si="32"/>
        <v>19507990.353288025</v>
      </c>
      <c r="BC56" s="102">
        <f t="shared" si="32"/>
        <v>19507990.353288025</v>
      </c>
      <c r="BD56" s="102">
        <f t="shared" si="32"/>
        <v>19507990.353288025</v>
      </c>
      <c r="BE56" s="102">
        <f t="shared" si="32"/>
        <v>19507990.353288025</v>
      </c>
      <c r="BF56" s="102">
        <f t="shared" si="32"/>
        <v>19507990.353288025</v>
      </c>
      <c r="BG56" s="102">
        <f t="shared" si="32"/>
        <v>19507990.353288025</v>
      </c>
      <c r="BH56" s="102">
        <f t="shared" si="32"/>
        <v>19507990.353288025</v>
      </c>
      <c r="BI56" s="102">
        <f t="shared" si="32"/>
        <v>19507990.353288025</v>
      </c>
      <c r="BJ56" s="102">
        <f t="shared" si="32"/>
        <v>19507990.353288025</v>
      </c>
      <c r="BK56" s="102">
        <f t="shared" si="32"/>
        <v>19507990.353288025</v>
      </c>
      <c r="BL56" s="102">
        <f t="shared" si="32"/>
        <v>19507990.353288025</v>
      </c>
      <c r="BM56" s="102">
        <f t="shared" si="32"/>
        <v>19507990.353288025</v>
      </c>
      <c r="BN56" s="102">
        <f t="shared" si="32"/>
        <v>0</v>
      </c>
    </row>
    <row r="57" spans="2:67" x14ac:dyDescent="0.2">
      <c r="B57" s="105" t="s">
        <v>366</v>
      </c>
      <c r="C57" s="65"/>
      <c r="D57" s="65"/>
      <c r="E57" s="65"/>
      <c r="F57" s="99">
        <f>0</f>
        <v>0</v>
      </c>
      <c r="G57" s="99">
        <f>IF(G$5="","",MAX(Assumption!$D$36,IFERROR(AVERAGEIFS('SOFR Curve'!$C$3:$DD$3,'SOFR Curve'!$C$2:$DD$2,"&gt;"&amp;F$6,'SOFR Curve'!$C$2:$DD$2,"&lt;="&amp;G$6),Assumption!$D$36)))</f>
        <v>3.7499999999999999E-2</v>
      </c>
      <c r="H57" s="99">
        <f>IF(H$5="","",MAX(Assumption!$D$36,IFERROR(AVERAGEIFS('SOFR Curve'!$C$3:$DD$3,'SOFR Curve'!$C$2:$DD$2,"&gt;"&amp;G$6,'SOFR Curve'!$C$2:$DD$2,"&lt;="&amp;H$6),Assumption!$D$36)))</f>
        <v>3.7499999999999999E-2</v>
      </c>
      <c r="I57" s="99">
        <f>IF(I$5="","",MAX(Assumption!$D$36,IFERROR(AVERAGEIFS('SOFR Curve'!$C$3:$DD$3,'SOFR Curve'!$C$2:$DD$2,"&gt;"&amp;H$6,'SOFR Curve'!$C$2:$DD$2,"&lt;="&amp;I$6),Assumption!$D$36)))</f>
        <v>3.7499999999999999E-2</v>
      </c>
      <c r="J57" s="99">
        <f>IF(J$5="","",MAX(Assumption!$D$36,IFERROR(AVERAGEIFS('SOFR Curve'!$C$3:$DD$3,'SOFR Curve'!$C$2:$DD$2,"&gt;"&amp;I$6,'SOFR Curve'!$C$2:$DD$2,"&lt;="&amp;J$6),Assumption!$D$36)))</f>
        <v>3.7499999999999999E-2</v>
      </c>
      <c r="K57" s="99">
        <f>IF(K$5="","",MAX(Assumption!$D$36,IFERROR(AVERAGEIFS('SOFR Curve'!$C$3:$DD$3,'SOFR Curve'!$C$2:$DD$2,"&gt;"&amp;J$6,'SOFR Curve'!$C$2:$DD$2,"&lt;="&amp;K$6),Assumption!$D$36)))</f>
        <v>3.7499999999999999E-2</v>
      </c>
      <c r="L57" s="99">
        <f>IF(L$5="","",MAX(Assumption!$D$36,IFERROR(AVERAGEIFS('SOFR Curve'!$C$3:$DD$3,'SOFR Curve'!$C$2:$DD$2,"&gt;"&amp;K$6,'SOFR Curve'!$C$2:$DD$2,"&lt;="&amp;L$6),Assumption!$D$36)))</f>
        <v>3.7499999999999999E-2</v>
      </c>
      <c r="M57" s="99">
        <f>IF(M$5="","",MAX(Assumption!$D$36,IFERROR(AVERAGEIFS('SOFR Curve'!$C$3:$DD$3,'SOFR Curve'!$C$2:$DD$2,"&gt;"&amp;L$6,'SOFR Curve'!$C$2:$DD$2,"&lt;="&amp;M$6),Assumption!$D$36)))</f>
        <v>3.7499999999999999E-2</v>
      </c>
      <c r="N57" s="99">
        <f>IF(N$5="","",MAX(Assumption!$D$36,IFERROR(AVERAGEIFS('SOFR Curve'!$C$3:$DD$3,'SOFR Curve'!$C$2:$DD$2,"&gt;"&amp;M$6,'SOFR Curve'!$C$2:$DD$2,"&lt;="&amp;N$6),Assumption!$D$36)))</f>
        <v>3.7499999999999999E-2</v>
      </c>
      <c r="O57" s="99">
        <f>IF(O$5="","",MAX(Assumption!$D$36,IFERROR(AVERAGEIFS('SOFR Curve'!$C$3:$DD$3,'SOFR Curve'!$C$2:$DD$2,"&gt;"&amp;N$6,'SOFR Curve'!$C$2:$DD$2,"&lt;="&amp;O$6),Assumption!$D$36)))</f>
        <v>3.7499999999999999E-2</v>
      </c>
      <c r="P57" s="99">
        <f>IF(P$5="","",MAX(Assumption!$D$36,IFERROR(AVERAGEIFS('SOFR Curve'!$C$3:$DD$3,'SOFR Curve'!$C$2:$DD$2,"&gt;"&amp;O$6,'SOFR Curve'!$C$2:$DD$2,"&lt;="&amp;P$6),Assumption!$D$36)))</f>
        <v>3.7499999999999999E-2</v>
      </c>
      <c r="Q57" s="99">
        <f>IF(Q$5="","",MAX(Assumption!$D$36,IFERROR(AVERAGEIFS('SOFR Curve'!$C$3:$DD$3,'SOFR Curve'!$C$2:$DD$2,"&gt;"&amp;P$6,'SOFR Curve'!$C$2:$DD$2,"&lt;="&amp;Q$6),Assumption!$D$36)))</f>
        <v>3.7499999999999999E-2</v>
      </c>
      <c r="R57" s="99">
        <f>IF(R$5="","",MAX(Assumption!$D$36,IFERROR(AVERAGEIFS('SOFR Curve'!$C$3:$DD$3,'SOFR Curve'!$C$2:$DD$2,"&gt;"&amp;Q$6,'SOFR Curve'!$C$2:$DD$2,"&lt;="&amp;R$6),Assumption!$D$36)))</f>
        <v>3.7499999999999999E-2</v>
      </c>
      <c r="S57" s="99">
        <f>IF(S$5="","",MAX(Assumption!$D$36,IFERROR(AVERAGEIFS('SOFR Curve'!$C$3:$DD$3,'SOFR Curve'!$C$2:$DD$2,"&gt;"&amp;R$6,'SOFR Curve'!$C$2:$DD$2,"&lt;="&amp;S$6),Assumption!$D$36)))</f>
        <v>3.7499999999999999E-2</v>
      </c>
      <c r="T57" s="99">
        <f>IF(T$5="","",MAX(Assumption!$D$36,IFERROR(AVERAGEIFS('SOFR Curve'!$C$3:$DD$3,'SOFR Curve'!$C$2:$DD$2,"&gt;"&amp;S$6,'SOFR Curve'!$C$2:$DD$2,"&lt;="&amp;T$6),Assumption!$D$36)))</f>
        <v>3.7499999999999999E-2</v>
      </c>
      <c r="U57" s="99">
        <f>IF(U$5="","",MAX(Assumption!$D$36,IFERROR(AVERAGEIFS('SOFR Curve'!$C$3:$DD$3,'SOFR Curve'!$C$2:$DD$2,"&gt;"&amp;T$6,'SOFR Curve'!$C$2:$DD$2,"&lt;="&amp;U$6),Assumption!$D$36)))</f>
        <v>3.7499999999999999E-2</v>
      </c>
      <c r="V57" s="99">
        <f>IF(V$5="","",MAX(Assumption!$D$36,IFERROR(AVERAGEIFS('SOFR Curve'!$C$3:$DD$3,'SOFR Curve'!$C$2:$DD$2,"&gt;"&amp;U$6,'SOFR Curve'!$C$2:$DD$2,"&lt;="&amp;V$6),Assumption!$D$36)))</f>
        <v>3.7499999999999999E-2</v>
      </c>
      <c r="W57" s="99">
        <f>IF(W$5="","",MAX(Assumption!$D$36,IFERROR(AVERAGEIFS('SOFR Curve'!$C$3:$DD$3,'SOFR Curve'!$C$2:$DD$2,"&gt;"&amp;V$6,'SOFR Curve'!$C$2:$DD$2,"&lt;="&amp;W$6),Assumption!$D$36)))</f>
        <v>3.7499999999999999E-2</v>
      </c>
      <c r="X57" s="99">
        <f>IF(X$5="","",MAX(Assumption!$D$36,IFERROR(AVERAGEIFS('SOFR Curve'!$C$3:$DD$3,'SOFR Curve'!$C$2:$DD$2,"&gt;"&amp;W$6,'SOFR Curve'!$C$2:$DD$2,"&lt;="&amp;X$6),Assumption!$D$36)))</f>
        <v>3.7499999999999999E-2</v>
      </c>
      <c r="Y57" s="99">
        <f>IF(Y$5="","",MAX(Assumption!$D$36,IFERROR(AVERAGEIFS('SOFR Curve'!$C$3:$DD$3,'SOFR Curve'!$C$2:$DD$2,"&gt;"&amp;X$6,'SOFR Curve'!$C$2:$DD$2,"&lt;="&amp;Y$6),Assumption!$D$36)))</f>
        <v>3.7499999999999999E-2</v>
      </c>
      <c r="Z57" s="99">
        <f>IF(Z$5="","",MAX(Assumption!$D$36,IFERROR(AVERAGEIFS('SOFR Curve'!$C$3:$DD$3,'SOFR Curve'!$C$2:$DD$2,"&gt;"&amp;Y$6,'SOFR Curve'!$C$2:$DD$2,"&lt;="&amp;Z$6),Assumption!$D$36)))</f>
        <v>3.7499999999999999E-2</v>
      </c>
      <c r="AA57" s="99">
        <f>IF(AA$5="","",MAX(Assumption!$D$36,IFERROR(AVERAGEIFS('SOFR Curve'!$C$3:$DD$3,'SOFR Curve'!$C$2:$DD$2,"&gt;"&amp;Z$6,'SOFR Curve'!$C$2:$DD$2,"&lt;="&amp;AA$6),Assumption!$D$36)))</f>
        <v>3.7499999999999999E-2</v>
      </c>
      <c r="AB57" s="99">
        <f>IF(AB$5="","",MAX(Assumption!$D$36,IFERROR(AVERAGEIFS('SOFR Curve'!$C$3:$DD$3,'SOFR Curve'!$C$2:$DD$2,"&gt;"&amp;AA$6,'SOFR Curve'!$C$2:$DD$2,"&lt;="&amp;AB$6),Assumption!$D$36)))</f>
        <v>3.7499999999999999E-2</v>
      </c>
      <c r="AC57" s="99">
        <f>IF(AC$5="","",MAX(Assumption!$D$36,IFERROR(AVERAGEIFS('SOFR Curve'!$C$3:$DD$3,'SOFR Curve'!$C$2:$DD$2,"&gt;"&amp;AB$6,'SOFR Curve'!$C$2:$DD$2,"&lt;="&amp;AC$6),Assumption!$D$36)))</f>
        <v>3.7499999999999999E-2</v>
      </c>
      <c r="AD57" s="99">
        <f>IF(AD$5="","",MAX(Assumption!$D$36,IFERROR(AVERAGEIFS('SOFR Curve'!$C$3:$DD$3,'SOFR Curve'!$C$2:$DD$2,"&gt;"&amp;AC$6,'SOFR Curve'!$C$2:$DD$2,"&lt;="&amp;AD$6),Assumption!$D$36)))</f>
        <v>3.7499999999999999E-2</v>
      </c>
      <c r="AE57" s="99">
        <f>IF(AE$5="","",MAX(Assumption!$D$36,IFERROR(AVERAGEIFS('SOFR Curve'!$C$3:$DD$3,'SOFR Curve'!$C$2:$DD$2,"&gt;"&amp;AD$6,'SOFR Curve'!$C$2:$DD$2,"&lt;="&amp;AE$6),Assumption!$D$36)))</f>
        <v>3.7499999999999999E-2</v>
      </c>
      <c r="AF57" s="99">
        <f>IF(AF$5="","",MAX(Assumption!$D$36,IFERROR(AVERAGEIFS('SOFR Curve'!$C$3:$DD$3,'SOFR Curve'!$C$2:$DD$2,"&gt;"&amp;AE$6,'SOFR Curve'!$C$2:$DD$2,"&lt;="&amp;AF$6),Assumption!$D$36)))</f>
        <v>3.7499999999999999E-2</v>
      </c>
      <c r="AG57" s="99">
        <f>IF(AG$5="","",MAX(Assumption!$D$36,IFERROR(AVERAGEIFS('SOFR Curve'!$C$3:$DD$3,'SOFR Curve'!$C$2:$DD$2,"&gt;"&amp;AF$6,'SOFR Curve'!$C$2:$DD$2,"&lt;="&amp;AG$6),Assumption!$D$36)))</f>
        <v>3.7499999999999999E-2</v>
      </c>
      <c r="AH57" s="99">
        <f>IF(AH$5="","",MAX(Assumption!$D$36,IFERROR(AVERAGEIFS('SOFR Curve'!$C$3:$DD$3,'SOFR Curve'!$C$2:$DD$2,"&gt;"&amp;AG$6,'SOFR Curve'!$C$2:$DD$2,"&lt;="&amp;AH$6),Assumption!$D$36)))</f>
        <v>3.7499999999999999E-2</v>
      </c>
      <c r="AI57" s="99">
        <f>IF(AI$5="","",MAX(Assumption!$D$36,IFERROR(AVERAGEIFS('SOFR Curve'!$C$3:$DD$3,'SOFR Curve'!$C$2:$DD$2,"&gt;"&amp;AH$6,'SOFR Curve'!$C$2:$DD$2,"&lt;="&amp;AI$6),Assumption!$D$36)))</f>
        <v>3.7499999999999999E-2</v>
      </c>
      <c r="AJ57" s="99">
        <f>IF(AJ$5="","",MAX(Assumption!$D$36,IFERROR(AVERAGEIFS('SOFR Curve'!$C$3:$DD$3,'SOFR Curve'!$C$2:$DD$2,"&gt;"&amp;AI$6,'SOFR Curve'!$C$2:$DD$2,"&lt;="&amp;AJ$6),Assumption!$D$36)))</f>
        <v>3.7499999999999999E-2</v>
      </c>
      <c r="AK57" s="99">
        <f>IF(AK$5="","",MAX(Assumption!$D$36,IFERROR(AVERAGEIFS('SOFR Curve'!$C$3:$DD$3,'SOFR Curve'!$C$2:$DD$2,"&gt;"&amp;AJ$6,'SOFR Curve'!$C$2:$DD$2,"&lt;="&amp;AK$6),Assumption!$D$36)))</f>
        <v>3.7499999999999999E-2</v>
      </c>
      <c r="AL57" s="99">
        <f>IF(AL$5="","",MAX(Assumption!$D$36,IFERROR(AVERAGEIFS('SOFR Curve'!$C$3:$DD$3,'SOFR Curve'!$C$2:$DD$2,"&gt;"&amp;AK$6,'SOFR Curve'!$C$2:$DD$2,"&lt;="&amp;AL$6),Assumption!$D$36)))</f>
        <v>3.7499999999999999E-2</v>
      </c>
      <c r="AM57" s="99">
        <f>IF(AM$5="","",MAX(Assumption!$D$36,IFERROR(AVERAGEIFS('SOFR Curve'!$C$3:$DD$3,'SOFR Curve'!$C$2:$DD$2,"&gt;"&amp;AL$6,'SOFR Curve'!$C$2:$DD$2,"&lt;="&amp;AM$6),Assumption!$D$36)))</f>
        <v>3.7499999999999999E-2</v>
      </c>
      <c r="AN57" s="99">
        <f>IF(AN$5="","",MAX(Assumption!$D$36,IFERROR(AVERAGEIFS('SOFR Curve'!$C$3:$DD$3,'SOFR Curve'!$C$2:$DD$2,"&gt;"&amp;AM$6,'SOFR Curve'!$C$2:$DD$2,"&lt;="&amp;AN$6),Assumption!$D$36)))</f>
        <v>3.7499999999999999E-2</v>
      </c>
      <c r="AO57" s="99">
        <f>IF(AO$5="","",MAX(Assumption!$D$36,IFERROR(AVERAGEIFS('SOFR Curve'!$C$3:$DD$3,'SOFR Curve'!$C$2:$DD$2,"&gt;"&amp;AN$6,'SOFR Curve'!$C$2:$DD$2,"&lt;="&amp;AO$6),Assumption!$D$36)))</f>
        <v>3.7499999999999999E-2</v>
      </c>
      <c r="AP57" s="99">
        <f>IF(AP$5="","",MAX(Assumption!$D$36,IFERROR(AVERAGEIFS('SOFR Curve'!$C$3:$DD$3,'SOFR Curve'!$C$2:$DD$2,"&gt;"&amp;AO$6,'SOFR Curve'!$C$2:$DD$2,"&lt;="&amp;AP$6),Assumption!$D$36)))</f>
        <v>3.7499999999999999E-2</v>
      </c>
      <c r="AQ57" s="99">
        <f>IF(AQ$5="","",MAX(Assumption!$D$36,IFERROR(AVERAGEIFS('SOFR Curve'!$C$3:$DD$3,'SOFR Curve'!$C$2:$DD$2,"&gt;"&amp;AP$6,'SOFR Curve'!$C$2:$DD$2,"&lt;="&amp;AQ$6),Assumption!$D$36)))</f>
        <v>3.7499999999999999E-2</v>
      </c>
      <c r="AR57" s="99">
        <f>IF(AR$5="","",MAX(Assumption!$D$36,IFERROR(AVERAGEIFS('SOFR Curve'!$C$3:$DD$3,'SOFR Curve'!$C$2:$DD$2,"&gt;"&amp;AQ$6,'SOFR Curve'!$C$2:$DD$2,"&lt;="&amp;AR$6),Assumption!$D$36)))</f>
        <v>3.7499999999999999E-2</v>
      </c>
      <c r="AS57" s="99">
        <f>IF(AS$5="","",MAX(Assumption!$D$36,IFERROR(AVERAGEIFS('SOFR Curve'!$C$3:$DD$3,'SOFR Curve'!$C$2:$DD$2,"&gt;"&amp;AR$6,'SOFR Curve'!$C$2:$DD$2,"&lt;="&amp;AS$6),Assumption!$D$36)))</f>
        <v>3.7499999999999999E-2</v>
      </c>
      <c r="AT57" s="99">
        <f>IF(AT$5="","",MAX(Assumption!$D$36,IFERROR(AVERAGEIFS('SOFR Curve'!$C$3:$DD$3,'SOFR Curve'!$C$2:$DD$2,"&gt;"&amp;AS$6,'SOFR Curve'!$C$2:$DD$2,"&lt;="&amp;AT$6),Assumption!$D$36)))</f>
        <v>3.7499999999999999E-2</v>
      </c>
      <c r="AU57" s="99">
        <f>IF(AU$5="","",MAX(Assumption!$D$36,IFERROR(AVERAGEIFS('SOFR Curve'!$C$3:$DD$3,'SOFR Curve'!$C$2:$DD$2,"&gt;"&amp;AT$6,'SOFR Curve'!$C$2:$DD$2,"&lt;="&amp;AU$6),Assumption!$D$36)))</f>
        <v>3.7499999999999999E-2</v>
      </c>
      <c r="AV57" s="99">
        <f>IF(AV$5="","",MAX(Assumption!$D$36,IFERROR(AVERAGEIFS('SOFR Curve'!$C$3:$DD$3,'SOFR Curve'!$C$2:$DD$2,"&gt;"&amp;AU$6,'SOFR Curve'!$C$2:$DD$2,"&lt;="&amp;AV$6),Assumption!$D$36)))</f>
        <v>3.7499999999999999E-2</v>
      </c>
      <c r="AW57" s="99">
        <f>IF(AW$5="","",MAX(Assumption!$D$36,IFERROR(AVERAGEIFS('SOFR Curve'!$C$3:$DD$3,'SOFR Curve'!$C$2:$DD$2,"&gt;"&amp;AV$6,'SOFR Curve'!$C$2:$DD$2,"&lt;="&amp;AW$6),Assumption!$D$36)))</f>
        <v>3.7499999999999999E-2</v>
      </c>
      <c r="AX57" s="99">
        <f>IF(AX$5="","",MAX(Assumption!$D$36,IFERROR(AVERAGEIFS('SOFR Curve'!$C$3:$DD$3,'SOFR Curve'!$C$2:$DD$2,"&gt;"&amp;AW$6,'SOFR Curve'!$C$2:$DD$2,"&lt;="&amp;AX$6),Assumption!$D$36)))</f>
        <v>3.7499999999999999E-2</v>
      </c>
      <c r="AY57" s="99">
        <f>IF(AY$5="","",MAX(Assumption!$D$36,IFERROR(AVERAGEIFS('SOFR Curve'!$C$3:$DD$3,'SOFR Curve'!$C$2:$DD$2,"&gt;"&amp;AX$6,'SOFR Curve'!$C$2:$DD$2,"&lt;="&amp;AY$6),Assumption!$D$36)))</f>
        <v>3.7499999999999999E-2</v>
      </c>
      <c r="AZ57" s="99">
        <f>IF(AZ$5="","",MAX(Assumption!$D$36,IFERROR(AVERAGEIFS('SOFR Curve'!$C$3:$DD$3,'SOFR Curve'!$C$2:$DD$2,"&gt;"&amp;AY$6,'SOFR Curve'!$C$2:$DD$2,"&lt;="&amp;AZ$6),Assumption!$D$36)))</f>
        <v>3.7499999999999999E-2</v>
      </c>
      <c r="BA57" s="99">
        <f>IF(BA$5="","",MAX(Assumption!$D$36,IFERROR(AVERAGEIFS('SOFR Curve'!$C$3:$DD$3,'SOFR Curve'!$C$2:$DD$2,"&gt;"&amp;AZ$6,'SOFR Curve'!$C$2:$DD$2,"&lt;="&amp;BA$6),Assumption!$D$36)))</f>
        <v>3.7499999999999999E-2</v>
      </c>
      <c r="BB57" s="99">
        <f>IF(BB$5="","",MAX(Assumption!$D$36,IFERROR(AVERAGEIFS('SOFR Curve'!$C$3:$DD$3,'SOFR Curve'!$C$2:$DD$2,"&gt;"&amp;BA$6,'SOFR Curve'!$C$2:$DD$2,"&lt;="&amp;BB$6),Assumption!$D$36)))</f>
        <v>3.7499999999999999E-2</v>
      </c>
      <c r="BC57" s="99">
        <f>IF(BC$5="","",MAX(Assumption!$D$36,IFERROR(AVERAGEIFS('SOFR Curve'!$C$3:$DD$3,'SOFR Curve'!$C$2:$DD$2,"&gt;"&amp;BB$6,'SOFR Curve'!$C$2:$DD$2,"&lt;="&amp;BC$6),Assumption!$D$36)))</f>
        <v>3.7499999999999999E-2</v>
      </c>
      <c r="BD57" s="99">
        <f>IF(BD$5="","",MAX(Assumption!$D$36,IFERROR(AVERAGEIFS('SOFR Curve'!$C$3:$DD$3,'SOFR Curve'!$C$2:$DD$2,"&gt;"&amp;BC$6,'SOFR Curve'!$C$2:$DD$2,"&lt;="&amp;BD$6),Assumption!$D$36)))</f>
        <v>3.7499999999999999E-2</v>
      </c>
      <c r="BE57" s="99">
        <f>IF(BE$5="","",MAX(Assumption!$D$36,IFERROR(AVERAGEIFS('SOFR Curve'!$C$3:$DD$3,'SOFR Curve'!$C$2:$DD$2,"&gt;"&amp;BD$6,'SOFR Curve'!$C$2:$DD$2,"&lt;="&amp;BE$6),Assumption!$D$36)))</f>
        <v>3.7499999999999999E-2</v>
      </c>
      <c r="BF57" s="99">
        <f>IF(BF$5="","",MAX(Assumption!$D$36,IFERROR(AVERAGEIFS('SOFR Curve'!$C$3:$DD$3,'SOFR Curve'!$C$2:$DD$2,"&gt;"&amp;BE$6,'SOFR Curve'!$C$2:$DD$2,"&lt;="&amp;BF$6),Assumption!$D$36)))</f>
        <v>3.7499999999999999E-2</v>
      </c>
      <c r="BG57" s="99">
        <f>IF(BG$5="","",MAX(Assumption!$D$36,IFERROR(AVERAGEIFS('SOFR Curve'!$C$3:$DD$3,'SOFR Curve'!$C$2:$DD$2,"&gt;"&amp;BF$6,'SOFR Curve'!$C$2:$DD$2,"&lt;="&amp;BG$6),Assumption!$D$36)))</f>
        <v>3.7499999999999999E-2</v>
      </c>
      <c r="BH57" s="99">
        <f>IF(BH$5="","",MAX(Assumption!$D$36,IFERROR(AVERAGEIFS('SOFR Curve'!$C$3:$DD$3,'SOFR Curve'!$C$2:$DD$2,"&gt;"&amp;BG$6,'SOFR Curve'!$C$2:$DD$2,"&lt;="&amp;BH$6),Assumption!$D$36)))</f>
        <v>3.7499999999999999E-2</v>
      </c>
      <c r="BI57" s="99">
        <f>IF(BI$5="","",MAX(Assumption!$D$36,IFERROR(AVERAGEIFS('SOFR Curve'!$C$3:$DD$3,'SOFR Curve'!$C$2:$DD$2,"&gt;"&amp;BH$6,'SOFR Curve'!$C$2:$DD$2,"&lt;="&amp;BI$6),Assumption!$D$36)))</f>
        <v>3.7499999999999999E-2</v>
      </c>
      <c r="BJ57" s="99">
        <f>IF(BJ$5="","",MAX(Assumption!$D$36,IFERROR(AVERAGEIFS('SOFR Curve'!$C$3:$DD$3,'SOFR Curve'!$C$2:$DD$2,"&gt;"&amp;BI$6,'SOFR Curve'!$C$2:$DD$2,"&lt;="&amp;BJ$6),Assumption!$D$36)))</f>
        <v>3.7499999999999999E-2</v>
      </c>
      <c r="BK57" s="99">
        <f>IF(BK$5="","",MAX(Assumption!$D$36,IFERROR(AVERAGEIFS('SOFR Curve'!$C$3:$DD$3,'SOFR Curve'!$C$2:$DD$2,"&gt;"&amp;BJ$6,'SOFR Curve'!$C$2:$DD$2,"&lt;="&amp;BK$6),Assumption!$D$36)))</f>
        <v>3.7499999999999999E-2</v>
      </c>
      <c r="BL57" s="99">
        <f>IF(BL$5="","",MAX(Assumption!$D$36,IFERROR(AVERAGEIFS('SOFR Curve'!$C$3:$DD$3,'SOFR Curve'!$C$2:$DD$2,"&gt;"&amp;BK$6,'SOFR Curve'!$C$2:$DD$2,"&lt;="&amp;BL$6),Assumption!$D$36)))</f>
        <v>3.7499999999999999E-2</v>
      </c>
      <c r="BM57" s="99">
        <f>IF(BM$5="","",MAX(Assumption!$D$36,IFERROR(AVERAGEIFS('SOFR Curve'!$C$3:$DD$3,'SOFR Curve'!$C$2:$DD$2,"&gt;"&amp;BL$6,'SOFR Curve'!$C$2:$DD$2,"&lt;="&amp;BM$6),Assumption!$D$36)))</f>
        <v>3.7499999999999999E-2</v>
      </c>
      <c r="BN57" s="99">
        <f>IF(BN$5="","",MAX(Assumption!$D$36,IFERROR(AVERAGEIFS('SOFR Curve'!$C$3:$DD$3,'SOFR Curve'!$C$2:$DD$2,"&gt;"&amp;BM$6,'SOFR Curve'!$C$2:$DD$2,"&lt;="&amp;BN$6),Assumption!$D$36)))</f>
        <v>3.7499999999999999E-2</v>
      </c>
    </row>
    <row r="58" spans="2:67" x14ac:dyDescent="0.2">
      <c r="B58" s="105" t="s">
        <v>367</v>
      </c>
      <c r="C58" s="65"/>
      <c r="D58" s="65"/>
      <c r="E58" s="65"/>
      <c r="F58" s="99">
        <f>IF(F$5="","",IF(F$5=0,0,F57+Assumption!$D$35))</f>
        <v>0</v>
      </c>
      <c r="G58" s="99">
        <f>IF(G$5="","",IF(G$5=0,0,G57+Assumption!$D$35))</f>
        <v>7.2500000000000009E-2</v>
      </c>
      <c r="H58" s="99">
        <f>IF(H$5="","",IF(H$5=0,0,H57+Assumption!$D$35))</f>
        <v>7.2500000000000009E-2</v>
      </c>
      <c r="I58" s="99">
        <f>IF(I$5="","",IF(I$5=0,0,I57+Assumption!$D$35))</f>
        <v>7.2500000000000009E-2</v>
      </c>
      <c r="J58" s="99">
        <f>IF(J$5="","",IF(J$5=0,0,J57+Assumption!$D$35))</f>
        <v>7.2500000000000009E-2</v>
      </c>
      <c r="K58" s="99">
        <f>IF(K$5="","",IF(K$5=0,0,K57+Assumption!$D$35))</f>
        <v>7.2500000000000009E-2</v>
      </c>
      <c r="L58" s="99">
        <f>IF(L$5="","",IF(L$5=0,0,L57+Assumption!$D$35))</f>
        <v>7.2500000000000009E-2</v>
      </c>
      <c r="M58" s="99">
        <f>IF(M$5="","",IF(M$5=0,0,M57+Assumption!$D$35))</f>
        <v>7.2500000000000009E-2</v>
      </c>
      <c r="N58" s="99">
        <f>IF(N$5="","",IF(N$5=0,0,N57+Assumption!$D$35))</f>
        <v>7.2500000000000009E-2</v>
      </c>
      <c r="O58" s="99">
        <f>IF(O$5="","",IF(O$5=0,0,O57+Assumption!$D$35))</f>
        <v>7.2500000000000009E-2</v>
      </c>
      <c r="P58" s="99">
        <f>IF(P$5="","",IF(P$5=0,0,P57+Assumption!$D$35))</f>
        <v>7.2500000000000009E-2</v>
      </c>
      <c r="Q58" s="99">
        <f>IF(Q$5="","",IF(Q$5=0,0,Q57+Assumption!$D$35))</f>
        <v>7.2500000000000009E-2</v>
      </c>
      <c r="R58" s="99">
        <f>IF(R$5="","",IF(R$5=0,0,R57+Assumption!$D$35))</f>
        <v>7.2500000000000009E-2</v>
      </c>
      <c r="S58" s="99">
        <f>IF(S$5="","",IF(S$5=0,0,S57+Assumption!$D$35))</f>
        <v>7.2500000000000009E-2</v>
      </c>
      <c r="T58" s="99">
        <f>IF(T$5="","",IF(T$5=0,0,T57+Assumption!$D$35))</f>
        <v>7.2500000000000009E-2</v>
      </c>
      <c r="U58" s="99">
        <f>IF(U$5="","",IF(U$5=0,0,U57+Assumption!$D$35))</f>
        <v>7.2500000000000009E-2</v>
      </c>
      <c r="V58" s="99">
        <f>IF(V$5="","",IF(V$5=0,0,V57+Assumption!$D$35))</f>
        <v>7.2500000000000009E-2</v>
      </c>
      <c r="W58" s="99">
        <f>IF(W$5="","",IF(W$5=0,0,W57+Assumption!$D$35))</f>
        <v>7.2500000000000009E-2</v>
      </c>
      <c r="X58" s="99">
        <f>IF(X$5="","",IF(X$5=0,0,X57+Assumption!$D$35))</f>
        <v>7.2500000000000009E-2</v>
      </c>
      <c r="Y58" s="99">
        <f>IF(Y$5="","",IF(Y$5=0,0,Y57+Assumption!$D$35))</f>
        <v>7.2500000000000009E-2</v>
      </c>
      <c r="Z58" s="99">
        <f>IF(Z$5="","",IF(Z$5=0,0,Z57+Assumption!$D$35))</f>
        <v>7.2500000000000009E-2</v>
      </c>
      <c r="AA58" s="99">
        <f>IF(AA$5="","",IF(AA$5=0,0,AA57+Assumption!$D$35))</f>
        <v>7.2500000000000009E-2</v>
      </c>
      <c r="AB58" s="99">
        <f>IF(AB$5="","",IF(AB$5=0,0,AB57+Assumption!$D$35))</f>
        <v>7.2500000000000009E-2</v>
      </c>
      <c r="AC58" s="99">
        <f>IF(AC$5="","",IF(AC$5=0,0,AC57+Assumption!$D$35))</f>
        <v>7.2500000000000009E-2</v>
      </c>
      <c r="AD58" s="99">
        <f>IF(AD$5="","",IF(AD$5=0,0,AD57+Assumption!$D$35))</f>
        <v>7.2500000000000009E-2</v>
      </c>
      <c r="AE58" s="99">
        <f>IF(AE$5="","",IF(AE$5=0,0,AE57+Assumption!$D$35))</f>
        <v>7.2500000000000009E-2</v>
      </c>
      <c r="AF58" s="99">
        <f>IF(AF$5="","",IF(AF$5=0,0,AF57+Assumption!$D$35))</f>
        <v>7.2500000000000009E-2</v>
      </c>
      <c r="AG58" s="99">
        <f>IF(AG$5="","",IF(AG$5=0,0,AG57+Assumption!$D$35))</f>
        <v>7.2500000000000009E-2</v>
      </c>
      <c r="AH58" s="99">
        <f>IF(AH$5="","",IF(AH$5=0,0,AH57+Assumption!$D$35))</f>
        <v>7.2500000000000009E-2</v>
      </c>
      <c r="AI58" s="99">
        <f>IF(AI$5="","",IF(AI$5=0,0,AI57+Assumption!$D$35))</f>
        <v>7.2500000000000009E-2</v>
      </c>
      <c r="AJ58" s="99">
        <f>IF(AJ$5="","",IF(AJ$5=0,0,AJ57+Assumption!$D$35))</f>
        <v>7.2500000000000009E-2</v>
      </c>
      <c r="AK58" s="99">
        <f>IF(AK$5="","",IF(AK$5=0,0,AK57+Assumption!$D$35))</f>
        <v>7.2500000000000009E-2</v>
      </c>
      <c r="AL58" s="99">
        <f>IF(AL$5="","",IF(AL$5=0,0,AL57+Assumption!$D$35))</f>
        <v>7.2500000000000009E-2</v>
      </c>
      <c r="AM58" s="99">
        <f>IF(AM$5="","",IF(AM$5=0,0,AM57+Assumption!$D$35))</f>
        <v>7.2500000000000009E-2</v>
      </c>
      <c r="AN58" s="99">
        <f>IF(AN$5="","",IF(AN$5=0,0,AN57+Assumption!$D$35))</f>
        <v>7.2500000000000009E-2</v>
      </c>
      <c r="AO58" s="99">
        <f>IF(AO$5="","",IF(AO$5=0,0,AO57+Assumption!$D$35))</f>
        <v>7.2500000000000009E-2</v>
      </c>
      <c r="AP58" s="99">
        <f>IF(AP$5="","",IF(AP$5=0,0,AP57+Assumption!$D$35))</f>
        <v>7.2500000000000009E-2</v>
      </c>
      <c r="AQ58" s="99">
        <f>IF(AQ$5="","",IF(AQ$5=0,0,AQ57+Assumption!$D$35))</f>
        <v>7.2500000000000009E-2</v>
      </c>
      <c r="AR58" s="99">
        <f>IF(AR$5="","",IF(AR$5=0,0,AR57+Assumption!$D$35))</f>
        <v>7.2500000000000009E-2</v>
      </c>
      <c r="AS58" s="99">
        <f>IF(AS$5="","",IF(AS$5=0,0,AS57+Assumption!$D$35))</f>
        <v>7.2500000000000009E-2</v>
      </c>
      <c r="AT58" s="99">
        <f>IF(AT$5="","",IF(AT$5=0,0,AT57+Assumption!$D$35))</f>
        <v>7.2500000000000009E-2</v>
      </c>
      <c r="AU58" s="99">
        <f>IF(AU$5="","",IF(AU$5=0,0,AU57+Assumption!$D$35))</f>
        <v>7.2500000000000009E-2</v>
      </c>
      <c r="AV58" s="99">
        <f>IF(AV$5="","",IF(AV$5=0,0,AV57+Assumption!$D$35))</f>
        <v>7.2500000000000009E-2</v>
      </c>
      <c r="AW58" s="99">
        <f>IF(AW$5="","",IF(AW$5=0,0,AW57+Assumption!$D$35))</f>
        <v>7.2500000000000009E-2</v>
      </c>
      <c r="AX58" s="99">
        <f>IF(AX$5="","",IF(AX$5=0,0,AX57+Assumption!$D$35))</f>
        <v>7.2500000000000009E-2</v>
      </c>
      <c r="AY58" s="99">
        <f>IF(AY$5="","",IF(AY$5=0,0,AY57+Assumption!$D$35))</f>
        <v>7.2500000000000009E-2</v>
      </c>
      <c r="AZ58" s="99">
        <f>IF(AZ$5="","",IF(AZ$5=0,0,AZ57+Assumption!$D$35))</f>
        <v>7.2500000000000009E-2</v>
      </c>
      <c r="BA58" s="99">
        <f>IF(BA$5="","",IF(BA$5=0,0,BA57+Assumption!$D$35))</f>
        <v>7.2500000000000009E-2</v>
      </c>
      <c r="BB58" s="99">
        <f>IF(BB$5="","",IF(BB$5=0,0,BB57+Assumption!$D$35))</f>
        <v>7.2500000000000009E-2</v>
      </c>
      <c r="BC58" s="99">
        <f>IF(BC$5="","",IF(BC$5=0,0,BC57+Assumption!$D$35))</f>
        <v>7.2500000000000009E-2</v>
      </c>
      <c r="BD58" s="99">
        <f>IF(BD$5="","",IF(BD$5=0,0,BD57+Assumption!$D$35))</f>
        <v>7.2500000000000009E-2</v>
      </c>
      <c r="BE58" s="99">
        <f>IF(BE$5="","",IF(BE$5=0,0,BE57+Assumption!$D$35))</f>
        <v>7.2500000000000009E-2</v>
      </c>
      <c r="BF58" s="99">
        <f>IF(BF$5="","",IF(BF$5=0,0,BF57+Assumption!$D$35))</f>
        <v>7.2500000000000009E-2</v>
      </c>
      <c r="BG58" s="99">
        <f>IF(BG$5="","",IF(BG$5=0,0,BG57+Assumption!$D$35))</f>
        <v>7.2500000000000009E-2</v>
      </c>
      <c r="BH58" s="99">
        <f>IF(BH$5="","",IF(BH$5=0,0,BH57+Assumption!$D$35))</f>
        <v>7.2500000000000009E-2</v>
      </c>
      <c r="BI58" s="99">
        <f>IF(BI$5="","",IF(BI$5=0,0,BI57+Assumption!$D$35))</f>
        <v>7.2500000000000009E-2</v>
      </c>
      <c r="BJ58" s="99">
        <f>IF(BJ$5="","",IF(BJ$5=0,0,BJ57+Assumption!$D$35))</f>
        <v>7.2500000000000009E-2</v>
      </c>
      <c r="BK58" s="99">
        <f>IF(BK$5="","",IF(BK$5=0,0,BK57+Assumption!$D$35))</f>
        <v>7.2500000000000009E-2</v>
      </c>
      <c r="BL58" s="99">
        <f>IF(BL$5="","",IF(BL$5=0,0,BL57+Assumption!$D$35))</f>
        <v>7.2500000000000009E-2</v>
      </c>
      <c r="BM58" s="99">
        <f>IF(BM$5="","",IF(BM$5=0,0,BM57+Assumption!$D$35))</f>
        <v>7.2500000000000009E-2</v>
      </c>
      <c r="BN58" s="99">
        <f>IF(BN$5="","",IF(BN$5=0,0,BN57+Assumption!$D$35))</f>
        <v>7.2500000000000009E-2</v>
      </c>
    </row>
    <row r="59" spans="2:67" x14ac:dyDescent="0.2">
      <c r="B59" s="94" t="s">
        <v>378</v>
      </c>
      <c r="C59" s="65"/>
      <c r="D59" s="65"/>
      <c r="E59" s="65"/>
      <c r="F59" s="98">
        <f t="shared" ref="F59:AK59" si="33">IF(F$5="","",-AVERAGE(F52,F56)*F58/12)</f>
        <v>0</v>
      </c>
      <c r="G59" s="98">
        <f t="shared" si="33"/>
        <v>-84453.099770764704</v>
      </c>
      <c r="H59" s="98">
        <f t="shared" si="33"/>
        <v>-84453.099770764704</v>
      </c>
      <c r="I59" s="98">
        <f t="shared" si="33"/>
        <v>-84453.099770764704</v>
      </c>
      <c r="J59" s="98">
        <f t="shared" si="33"/>
        <v>-84453.099770764704</v>
      </c>
      <c r="K59" s="98">
        <f t="shared" si="33"/>
        <v>-84453.099770764704</v>
      </c>
      <c r="L59" s="98">
        <f t="shared" si="33"/>
        <v>-84453.099770764704</v>
      </c>
      <c r="M59" s="98">
        <f t="shared" si="33"/>
        <v>-84453.099770764704</v>
      </c>
      <c r="N59" s="98">
        <f t="shared" si="33"/>
        <v>-84453.099770764704</v>
      </c>
      <c r="O59" s="98">
        <f t="shared" si="33"/>
        <v>-85121.044543630196</v>
      </c>
      <c r="P59" s="98">
        <f t="shared" si="33"/>
        <v>-86629.138601115556</v>
      </c>
      <c r="Q59" s="98">
        <f t="shared" si="33"/>
        <v>-87469.287885735437</v>
      </c>
      <c r="R59" s="98">
        <f t="shared" si="33"/>
        <v>-88330.310444507355</v>
      </c>
      <c r="S59" s="98">
        <f t="shared" si="33"/>
        <v>-89191.333003279273</v>
      </c>
      <c r="T59" s="98">
        <f t="shared" si="33"/>
        <v>-89191.333003279273</v>
      </c>
      <c r="U59" s="98">
        <f t="shared" si="33"/>
        <v>-89400.065744799722</v>
      </c>
      <c r="V59" s="98">
        <f t="shared" si="33"/>
        <v>-89608.7984863202</v>
      </c>
      <c r="W59" s="98">
        <f t="shared" si="33"/>
        <v>-89608.7984863202</v>
      </c>
      <c r="X59" s="98">
        <f t="shared" si="33"/>
        <v>-90610.715645618431</v>
      </c>
      <c r="Y59" s="98">
        <f t="shared" si="33"/>
        <v>-94378.341630062831</v>
      </c>
      <c r="Z59" s="98">
        <f t="shared" si="33"/>
        <v>-97509.332752869814</v>
      </c>
      <c r="AA59" s="98">
        <f t="shared" si="33"/>
        <v>-100431.59113415632</v>
      </c>
      <c r="AB59" s="98">
        <f t="shared" si="33"/>
        <v>-102988.56721778202</v>
      </c>
      <c r="AC59" s="98">
        <f t="shared" si="33"/>
        <v>-102988.56721778202</v>
      </c>
      <c r="AD59" s="98">
        <f t="shared" si="33"/>
        <v>-103301.66633006273</v>
      </c>
      <c r="AE59" s="98">
        <f t="shared" si="33"/>
        <v>-104136.59729614458</v>
      </c>
      <c r="AF59" s="98">
        <f t="shared" si="33"/>
        <v>-104658.42914994575</v>
      </c>
      <c r="AG59" s="98">
        <f t="shared" si="33"/>
        <v>-104658.42914994575</v>
      </c>
      <c r="AH59" s="98">
        <f t="shared" si="33"/>
        <v>-104658.42914994575</v>
      </c>
      <c r="AI59" s="98">
        <f t="shared" si="33"/>
        <v>-105790.80427269428</v>
      </c>
      <c r="AJ59" s="98">
        <f t="shared" si="33"/>
        <v>-107820.73018398079</v>
      </c>
      <c r="AK59" s="98">
        <f t="shared" si="33"/>
        <v>-108718.2809725188</v>
      </c>
      <c r="AL59" s="98">
        <f t="shared" ref="AL59:BN59" si="34">IF(AL$5="","",-AVERAGE(AL52,AL56)*AL58/12)</f>
        <v>-108718.2809725188</v>
      </c>
      <c r="AM59" s="98">
        <f t="shared" si="34"/>
        <v>-108718.2809725188</v>
      </c>
      <c r="AN59" s="98">
        <f t="shared" si="34"/>
        <v>-109501.02875322055</v>
      </c>
      <c r="AO59" s="98">
        <f t="shared" si="34"/>
        <v>-110909.97475848369</v>
      </c>
      <c r="AP59" s="98">
        <f t="shared" si="34"/>
        <v>-111536.17298304506</v>
      </c>
      <c r="AQ59" s="98">
        <f t="shared" si="34"/>
        <v>-111536.17298304506</v>
      </c>
      <c r="AR59" s="98">
        <f t="shared" si="34"/>
        <v>-112412.85049743102</v>
      </c>
      <c r="AS59" s="98">
        <f t="shared" si="34"/>
        <v>-114635.85419462396</v>
      </c>
      <c r="AT59" s="98">
        <f t="shared" si="34"/>
        <v>-115982.18037743098</v>
      </c>
      <c r="AU59" s="98">
        <f t="shared" si="34"/>
        <v>-115982.18037743098</v>
      </c>
      <c r="AV59" s="98">
        <f t="shared" si="34"/>
        <v>-115982.18037743098</v>
      </c>
      <c r="AW59" s="98">
        <f t="shared" si="34"/>
        <v>-115982.18037743098</v>
      </c>
      <c r="AX59" s="98">
        <f t="shared" si="34"/>
        <v>-116921.47771427309</v>
      </c>
      <c r="AY59" s="98">
        <f t="shared" si="34"/>
        <v>-117860.77505111515</v>
      </c>
      <c r="AZ59" s="98">
        <f t="shared" si="34"/>
        <v>-117860.77505111515</v>
      </c>
      <c r="BA59" s="98">
        <f t="shared" si="34"/>
        <v>-117860.77505111515</v>
      </c>
      <c r="BB59" s="98">
        <f t="shared" si="34"/>
        <v>-117860.77505111515</v>
      </c>
      <c r="BC59" s="98">
        <f t="shared" si="34"/>
        <v>-117860.77505111515</v>
      </c>
      <c r="BD59" s="98">
        <f t="shared" si="34"/>
        <v>-117860.77505111515</v>
      </c>
      <c r="BE59" s="98">
        <f t="shared" si="34"/>
        <v>-117860.77505111515</v>
      </c>
      <c r="BF59" s="98">
        <f t="shared" si="34"/>
        <v>-117860.77505111515</v>
      </c>
      <c r="BG59" s="98">
        <f t="shared" si="34"/>
        <v>-117860.77505111515</v>
      </c>
      <c r="BH59" s="98">
        <f t="shared" si="34"/>
        <v>-117860.77505111515</v>
      </c>
      <c r="BI59" s="98">
        <f t="shared" si="34"/>
        <v>-117860.77505111515</v>
      </c>
      <c r="BJ59" s="98">
        <f t="shared" si="34"/>
        <v>-117860.77505111515</v>
      </c>
      <c r="BK59" s="98">
        <f t="shared" si="34"/>
        <v>-117860.77505111515</v>
      </c>
      <c r="BL59" s="98">
        <f t="shared" si="34"/>
        <v>-117860.77505111515</v>
      </c>
      <c r="BM59" s="98">
        <f t="shared" si="34"/>
        <v>-117860.77505111515</v>
      </c>
      <c r="BN59" s="98">
        <f t="shared" si="34"/>
        <v>-58930.387525557577</v>
      </c>
    </row>
    <row r="60" spans="2:67" ht="17" thickBot="1" x14ac:dyDescent="0.25">
      <c r="B60" s="94" t="s">
        <v>368</v>
      </c>
      <c r="C60" s="65"/>
      <c r="D60" s="65"/>
      <c r="E60" s="65"/>
      <c r="F60" s="98">
        <f>-Assumption!$D$26</f>
        <v>-180586.69154364869</v>
      </c>
      <c r="G60" s="98">
        <f t="shared" ref="G60:AL60" si="35">IF(G$5="","",0)</f>
        <v>0</v>
      </c>
      <c r="H60" s="98">
        <f t="shared" si="35"/>
        <v>0</v>
      </c>
      <c r="I60" s="98">
        <f t="shared" si="35"/>
        <v>0</v>
      </c>
      <c r="J60" s="98">
        <f t="shared" si="35"/>
        <v>0</v>
      </c>
      <c r="K60" s="98">
        <f t="shared" si="35"/>
        <v>0</v>
      </c>
      <c r="L60" s="98">
        <f t="shared" si="35"/>
        <v>0</v>
      </c>
      <c r="M60" s="98">
        <f t="shared" si="35"/>
        <v>0</v>
      </c>
      <c r="N60" s="98">
        <f t="shared" si="35"/>
        <v>0</v>
      </c>
      <c r="O60" s="98">
        <f t="shared" si="35"/>
        <v>0</v>
      </c>
      <c r="P60" s="98">
        <f t="shared" si="35"/>
        <v>0</v>
      </c>
      <c r="Q60" s="98">
        <f t="shared" si="35"/>
        <v>0</v>
      </c>
      <c r="R60" s="98">
        <f t="shared" si="35"/>
        <v>0</v>
      </c>
      <c r="S60" s="98">
        <f t="shared" si="35"/>
        <v>0</v>
      </c>
      <c r="T60" s="98">
        <f t="shared" si="35"/>
        <v>0</v>
      </c>
      <c r="U60" s="98">
        <f t="shared" si="35"/>
        <v>0</v>
      </c>
      <c r="V60" s="98">
        <f t="shared" si="35"/>
        <v>0</v>
      </c>
      <c r="W60" s="98">
        <f t="shared" si="35"/>
        <v>0</v>
      </c>
      <c r="X60" s="98">
        <f t="shared" si="35"/>
        <v>0</v>
      </c>
      <c r="Y60" s="98">
        <f t="shared" si="35"/>
        <v>0</v>
      </c>
      <c r="Z60" s="98">
        <f t="shared" si="35"/>
        <v>0</v>
      </c>
      <c r="AA60" s="98">
        <f t="shared" si="35"/>
        <v>0</v>
      </c>
      <c r="AB60" s="98">
        <f t="shared" si="35"/>
        <v>0</v>
      </c>
      <c r="AC60" s="98">
        <f t="shared" si="35"/>
        <v>0</v>
      </c>
      <c r="AD60" s="98">
        <f t="shared" si="35"/>
        <v>0</v>
      </c>
      <c r="AE60" s="98">
        <f t="shared" si="35"/>
        <v>0</v>
      </c>
      <c r="AF60" s="98">
        <f t="shared" si="35"/>
        <v>0</v>
      </c>
      <c r="AG60" s="98">
        <f t="shared" si="35"/>
        <v>0</v>
      </c>
      <c r="AH60" s="98">
        <f t="shared" si="35"/>
        <v>0</v>
      </c>
      <c r="AI60" s="98">
        <f t="shared" si="35"/>
        <v>0</v>
      </c>
      <c r="AJ60" s="98">
        <f t="shared" si="35"/>
        <v>0</v>
      </c>
      <c r="AK60" s="98">
        <f t="shared" si="35"/>
        <v>0</v>
      </c>
      <c r="AL60" s="98">
        <f t="shared" si="35"/>
        <v>0</v>
      </c>
      <c r="AM60" s="98">
        <f t="shared" ref="AM60:BN60" si="36">IF(AM$5="","",0)</f>
        <v>0</v>
      </c>
      <c r="AN60" s="98">
        <f t="shared" si="36"/>
        <v>0</v>
      </c>
      <c r="AO60" s="98">
        <f t="shared" si="36"/>
        <v>0</v>
      </c>
      <c r="AP60" s="98">
        <f>-Assumption!D30</f>
        <v>-75000</v>
      </c>
      <c r="AQ60" s="98">
        <f t="shared" si="36"/>
        <v>0</v>
      </c>
      <c r="AR60" s="98">
        <f t="shared" si="36"/>
        <v>0</v>
      </c>
      <c r="AS60" s="98">
        <f t="shared" si="36"/>
        <v>0</v>
      </c>
      <c r="AT60" s="98">
        <f t="shared" si="36"/>
        <v>0</v>
      </c>
      <c r="AU60" s="98">
        <f t="shared" si="36"/>
        <v>0</v>
      </c>
      <c r="AV60" s="98">
        <f t="shared" si="36"/>
        <v>0</v>
      </c>
      <c r="AW60" s="98">
        <f t="shared" si="36"/>
        <v>0</v>
      </c>
      <c r="AX60" s="98">
        <f t="shared" si="36"/>
        <v>0</v>
      </c>
      <c r="AY60" s="98">
        <f t="shared" si="36"/>
        <v>0</v>
      </c>
      <c r="AZ60" s="98">
        <f t="shared" si="36"/>
        <v>0</v>
      </c>
      <c r="BA60" s="98">
        <f t="shared" si="36"/>
        <v>0</v>
      </c>
      <c r="BB60" s="98">
        <f>-Assumption!D32</f>
        <v>-75000</v>
      </c>
      <c r="BC60" s="98">
        <f t="shared" si="36"/>
        <v>0</v>
      </c>
      <c r="BD60" s="98">
        <f t="shared" si="36"/>
        <v>0</v>
      </c>
      <c r="BE60" s="98">
        <f t="shared" si="36"/>
        <v>0</v>
      </c>
      <c r="BF60" s="98">
        <f t="shared" si="36"/>
        <v>0</v>
      </c>
      <c r="BG60" s="98">
        <f t="shared" si="36"/>
        <v>0</v>
      </c>
      <c r="BH60" s="98">
        <f t="shared" si="36"/>
        <v>0</v>
      </c>
      <c r="BI60" s="98">
        <f t="shared" si="36"/>
        <v>0</v>
      </c>
      <c r="BJ60" s="98">
        <f t="shared" si="36"/>
        <v>0</v>
      </c>
      <c r="BK60" s="98">
        <f t="shared" si="36"/>
        <v>0</v>
      </c>
      <c r="BL60" s="98">
        <f t="shared" si="36"/>
        <v>0</v>
      </c>
      <c r="BM60" s="98">
        <f t="shared" si="36"/>
        <v>0</v>
      </c>
      <c r="BN60" s="98">
        <f t="shared" si="36"/>
        <v>0</v>
      </c>
    </row>
    <row r="61" spans="2:67" x14ac:dyDescent="0.2">
      <c r="B61" s="127" t="s">
        <v>369</v>
      </c>
      <c r="C61" s="101"/>
      <c r="D61" s="101"/>
      <c r="E61" s="101"/>
      <c r="F61" s="102">
        <f t="shared" ref="F61:AK61" si="37">IF(F$5="","",SUM(F46,F51,F55,F59,F60))</f>
        <v>-11709551.287207184</v>
      </c>
      <c r="G61" s="102">
        <f t="shared" si="37"/>
        <v>-65232.449770764681</v>
      </c>
      <c r="H61" s="102">
        <f t="shared" si="37"/>
        <v>27873.900229235282</v>
      </c>
      <c r="I61" s="102">
        <f t="shared" si="37"/>
        <v>-25031.329770764714</v>
      </c>
      <c r="J61" s="102">
        <f t="shared" si="37"/>
        <v>103826.69022923528</v>
      </c>
      <c r="K61" s="102">
        <f t="shared" si="37"/>
        <v>-25387.599770764704</v>
      </c>
      <c r="L61" s="102">
        <f t="shared" si="37"/>
        <v>-16031.809770764725</v>
      </c>
      <c r="M61" s="102">
        <f t="shared" si="37"/>
        <v>19977.55022923529</v>
      </c>
      <c r="N61" s="102">
        <f t="shared" si="37"/>
        <v>90797.870229235326</v>
      </c>
      <c r="O61" s="102">
        <f t="shared" si="37"/>
        <v>5773.7254563697643</v>
      </c>
      <c r="P61" s="102">
        <f t="shared" si="37"/>
        <v>41112.181398884451</v>
      </c>
      <c r="Q61" s="102">
        <f t="shared" si="37"/>
        <v>59079.316680931239</v>
      </c>
      <c r="R61" s="102">
        <f t="shared" si="37"/>
        <v>73343.294122159321</v>
      </c>
      <c r="S61" s="102">
        <f t="shared" si="37"/>
        <v>75853.990988387421</v>
      </c>
      <c r="T61" s="102">
        <f t="shared" si="37"/>
        <v>75853.990988387421</v>
      </c>
      <c r="U61" s="102">
        <f t="shared" si="37"/>
        <v>71814.358246866948</v>
      </c>
      <c r="V61" s="102">
        <f t="shared" si="37"/>
        <v>72329.767005346497</v>
      </c>
      <c r="W61" s="102">
        <f t="shared" si="37"/>
        <v>72597.113805346438</v>
      </c>
      <c r="X61" s="102">
        <f t="shared" si="37"/>
        <v>83892.152546048266</v>
      </c>
      <c r="Y61" s="102">
        <f t="shared" si="37"/>
        <v>111659.52656160384</v>
      </c>
      <c r="Z61" s="102">
        <f t="shared" si="37"/>
        <v>100112.08543879687</v>
      </c>
      <c r="AA61" s="102">
        <f t="shared" si="37"/>
        <v>110546.60800126045</v>
      </c>
      <c r="AB61" s="102">
        <f t="shared" si="37"/>
        <v>108176.16441763469</v>
      </c>
      <c r="AC61" s="102">
        <f t="shared" si="37"/>
        <v>109439.50259263461</v>
      </c>
      <c r="AD61" s="102">
        <f t="shared" si="37"/>
        <v>112948.96598035391</v>
      </c>
      <c r="AE61" s="102">
        <f t="shared" si="37"/>
        <v>102410.10123363457</v>
      </c>
      <c r="AF61" s="102">
        <f t="shared" si="37"/>
        <v>101888.26937983341</v>
      </c>
      <c r="AG61" s="102">
        <f t="shared" si="37"/>
        <v>101956.09937983342</v>
      </c>
      <c r="AH61" s="102">
        <f t="shared" si="37"/>
        <v>102664.67183758346</v>
      </c>
      <c r="AI61" s="102">
        <f t="shared" si="37"/>
        <v>105078.26025483495</v>
      </c>
      <c r="AJ61" s="102">
        <f t="shared" si="37"/>
        <v>84623.306738548432</v>
      </c>
      <c r="AK61" s="102">
        <f t="shared" si="37"/>
        <v>84624.503450010423</v>
      </c>
      <c r="AL61" s="102">
        <f t="shared" ref="AL61:BN61" si="38">IF(AL$5="","",SUM(AL46,AL51,AL55,AL59,AL60))</f>
        <v>84743.205950010379</v>
      </c>
      <c r="AM61" s="102">
        <f t="shared" si="38"/>
        <v>85797.691130010397</v>
      </c>
      <c r="AN61" s="102">
        <f t="shared" si="38"/>
        <v>93831.171824308651</v>
      </c>
      <c r="AO61" s="102">
        <f t="shared" si="38"/>
        <v>82069.974195295494</v>
      </c>
      <c r="AP61" s="102">
        <f t="shared" si="38"/>
        <v>7498.747345734082</v>
      </c>
      <c r="AQ61" s="102">
        <f t="shared" si="38"/>
        <v>82220.984301677483</v>
      </c>
      <c r="AR61" s="102">
        <f t="shared" si="38"/>
        <v>90840.506787291539</v>
      </c>
      <c r="AS61" s="102">
        <f t="shared" si="38"/>
        <v>103270.81799009854</v>
      </c>
      <c r="AT61" s="102">
        <f t="shared" si="38"/>
        <v>102654.32143877406</v>
      </c>
      <c r="AU61" s="102">
        <f t="shared" si="38"/>
        <v>103022.29918877402</v>
      </c>
      <c r="AV61" s="102">
        <f t="shared" si="38"/>
        <v>103649.31970877404</v>
      </c>
      <c r="AW61" s="102">
        <f t="shared" si="38"/>
        <v>104575.02963377407</v>
      </c>
      <c r="AX61" s="102">
        <f t="shared" si="38"/>
        <v>113932.4958719319</v>
      </c>
      <c r="AY61" s="102">
        <f t="shared" si="38"/>
        <v>114079.31827048985</v>
      </c>
      <c r="AZ61" s="102">
        <f t="shared" si="38"/>
        <v>114681.28359973982</v>
      </c>
      <c r="BA61" s="102">
        <f t="shared" si="38"/>
        <v>115687.23133127739</v>
      </c>
      <c r="BB61" s="102">
        <f t="shared" si="38"/>
        <v>41249.342887527411</v>
      </c>
      <c r="BC61" s="102">
        <f t="shared" si="38"/>
        <v>115963.24695214904</v>
      </c>
      <c r="BD61" s="102">
        <f t="shared" si="38"/>
        <v>116248.13295214904</v>
      </c>
      <c r="BE61" s="102">
        <f t="shared" si="38"/>
        <v>116757.59729914898</v>
      </c>
      <c r="BF61" s="102">
        <f t="shared" si="38"/>
        <v>117509.32181957598</v>
      </c>
      <c r="BG61" s="102">
        <f t="shared" si="38"/>
        <v>117888.33890207596</v>
      </c>
      <c r="BH61" s="102">
        <f t="shared" si="38"/>
        <v>118534.17003767601</v>
      </c>
      <c r="BI61" s="102">
        <f t="shared" si="38"/>
        <v>119487.65126042599</v>
      </c>
      <c r="BJ61" s="102">
        <f t="shared" si="38"/>
        <v>119918.81774267602</v>
      </c>
      <c r="BK61" s="102">
        <f t="shared" si="38"/>
        <v>121037.52107013798</v>
      </c>
      <c r="BL61" s="102">
        <f t="shared" si="38"/>
        <v>121657.54535926548</v>
      </c>
      <c r="BM61" s="102">
        <f t="shared" si="38"/>
        <v>122693.67152274914</v>
      </c>
      <c r="BN61" s="102">
        <f t="shared" ca="1" si="38"/>
        <v>24492632.124940142</v>
      </c>
    </row>
    <row r="62" spans="2:67" x14ac:dyDescent="0.2">
      <c r="B62" s="128" t="s">
        <v>370</v>
      </c>
      <c r="C62" s="65"/>
      <c r="D62" s="65"/>
      <c r="E62" s="65"/>
      <c r="F62" s="98">
        <f t="shared" ref="F62:AK62" si="39">IF(F$5="","",MIN(0,F61))</f>
        <v>-11709551.287207184</v>
      </c>
      <c r="G62" s="98">
        <f t="shared" si="39"/>
        <v>-65232.449770764681</v>
      </c>
      <c r="H62" s="98">
        <f t="shared" si="39"/>
        <v>0</v>
      </c>
      <c r="I62" s="98">
        <f t="shared" si="39"/>
        <v>-25031.329770764714</v>
      </c>
      <c r="J62" s="98">
        <f t="shared" si="39"/>
        <v>0</v>
      </c>
      <c r="K62" s="98">
        <f t="shared" si="39"/>
        <v>-25387.599770764704</v>
      </c>
      <c r="L62" s="98">
        <f t="shared" si="39"/>
        <v>-16031.809770764725</v>
      </c>
      <c r="M62" s="98">
        <f t="shared" si="39"/>
        <v>0</v>
      </c>
      <c r="N62" s="98">
        <f t="shared" si="39"/>
        <v>0</v>
      </c>
      <c r="O62" s="98">
        <f t="shared" si="39"/>
        <v>0</v>
      </c>
      <c r="P62" s="98">
        <f t="shared" si="39"/>
        <v>0</v>
      </c>
      <c r="Q62" s="98">
        <f t="shared" si="39"/>
        <v>0</v>
      </c>
      <c r="R62" s="98">
        <f t="shared" si="39"/>
        <v>0</v>
      </c>
      <c r="S62" s="98">
        <f t="shared" si="39"/>
        <v>0</v>
      </c>
      <c r="T62" s="98">
        <f t="shared" si="39"/>
        <v>0</v>
      </c>
      <c r="U62" s="98">
        <f t="shared" si="39"/>
        <v>0</v>
      </c>
      <c r="V62" s="98">
        <f t="shared" si="39"/>
        <v>0</v>
      </c>
      <c r="W62" s="98">
        <f t="shared" si="39"/>
        <v>0</v>
      </c>
      <c r="X62" s="98">
        <f t="shared" si="39"/>
        <v>0</v>
      </c>
      <c r="Y62" s="98">
        <f t="shared" si="39"/>
        <v>0</v>
      </c>
      <c r="Z62" s="98">
        <f t="shared" si="39"/>
        <v>0</v>
      </c>
      <c r="AA62" s="98">
        <f t="shared" si="39"/>
        <v>0</v>
      </c>
      <c r="AB62" s="98">
        <f t="shared" si="39"/>
        <v>0</v>
      </c>
      <c r="AC62" s="98">
        <f t="shared" si="39"/>
        <v>0</v>
      </c>
      <c r="AD62" s="98">
        <f t="shared" si="39"/>
        <v>0</v>
      </c>
      <c r="AE62" s="98">
        <f t="shared" si="39"/>
        <v>0</v>
      </c>
      <c r="AF62" s="98">
        <f t="shared" si="39"/>
        <v>0</v>
      </c>
      <c r="AG62" s="98">
        <f t="shared" si="39"/>
        <v>0</v>
      </c>
      <c r="AH62" s="98">
        <f t="shared" si="39"/>
        <v>0</v>
      </c>
      <c r="AI62" s="98">
        <f t="shared" si="39"/>
        <v>0</v>
      </c>
      <c r="AJ62" s="98">
        <f t="shared" si="39"/>
        <v>0</v>
      </c>
      <c r="AK62" s="98">
        <f t="shared" si="39"/>
        <v>0</v>
      </c>
      <c r="AL62" s="98">
        <f t="shared" ref="AL62:BN62" si="40">IF(AL$5="","",MIN(0,AL61))</f>
        <v>0</v>
      </c>
      <c r="AM62" s="98">
        <f t="shared" si="40"/>
        <v>0</v>
      </c>
      <c r="AN62" s="98">
        <f t="shared" si="40"/>
        <v>0</v>
      </c>
      <c r="AO62" s="98">
        <f t="shared" si="40"/>
        <v>0</v>
      </c>
      <c r="AP62" s="98">
        <f t="shared" si="40"/>
        <v>0</v>
      </c>
      <c r="AQ62" s="98">
        <f t="shared" si="40"/>
        <v>0</v>
      </c>
      <c r="AR62" s="98">
        <f t="shared" si="40"/>
        <v>0</v>
      </c>
      <c r="AS62" s="98">
        <f t="shared" si="40"/>
        <v>0</v>
      </c>
      <c r="AT62" s="98">
        <f t="shared" si="40"/>
        <v>0</v>
      </c>
      <c r="AU62" s="98">
        <f t="shared" si="40"/>
        <v>0</v>
      </c>
      <c r="AV62" s="98">
        <f t="shared" si="40"/>
        <v>0</v>
      </c>
      <c r="AW62" s="98">
        <f t="shared" si="40"/>
        <v>0</v>
      </c>
      <c r="AX62" s="98">
        <f t="shared" si="40"/>
        <v>0</v>
      </c>
      <c r="AY62" s="98">
        <f t="shared" si="40"/>
        <v>0</v>
      </c>
      <c r="AZ62" s="98">
        <f t="shared" si="40"/>
        <v>0</v>
      </c>
      <c r="BA62" s="98">
        <f t="shared" si="40"/>
        <v>0</v>
      </c>
      <c r="BB62" s="98">
        <f t="shared" si="40"/>
        <v>0</v>
      </c>
      <c r="BC62" s="98">
        <f t="shared" si="40"/>
        <v>0</v>
      </c>
      <c r="BD62" s="98">
        <f t="shared" si="40"/>
        <v>0</v>
      </c>
      <c r="BE62" s="98">
        <f t="shared" si="40"/>
        <v>0</v>
      </c>
      <c r="BF62" s="98">
        <f t="shared" si="40"/>
        <v>0</v>
      </c>
      <c r="BG62" s="98">
        <f t="shared" si="40"/>
        <v>0</v>
      </c>
      <c r="BH62" s="98">
        <f t="shared" si="40"/>
        <v>0</v>
      </c>
      <c r="BI62" s="98">
        <f t="shared" si="40"/>
        <v>0</v>
      </c>
      <c r="BJ62" s="98">
        <f t="shared" si="40"/>
        <v>0</v>
      </c>
      <c r="BK62" s="98">
        <f t="shared" si="40"/>
        <v>0</v>
      </c>
      <c r="BL62" s="98">
        <f t="shared" si="40"/>
        <v>0</v>
      </c>
      <c r="BM62" s="98">
        <f t="shared" si="40"/>
        <v>0</v>
      </c>
      <c r="BN62" s="98">
        <f t="shared" ca="1" si="40"/>
        <v>0</v>
      </c>
    </row>
    <row r="63" spans="2:67" ht="17" thickBot="1" x14ac:dyDescent="0.25">
      <c r="B63" s="128" t="s">
        <v>371</v>
      </c>
      <c r="C63" s="65"/>
      <c r="D63" s="65"/>
      <c r="E63" s="65"/>
      <c r="F63" s="98">
        <f t="shared" ref="F63:AK63" si="41">IF(F$5="","",MAX(0,F61))</f>
        <v>0</v>
      </c>
      <c r="G63" s="98">
        <f t="shared" si="41"/>
        <v>0</v>
      </c>
      <c r="H63" s="98">
        <f t="shared" si="41"/>
        <v>27873.900229235282</v>
      </c>
      <c r="I63" s="98">
        <f t="shared" si="41"/>
        <v>0</v>
      </c>
      <c r="J63" s="98">
        <f t="shared" si="41"/>
        <v>103826.69022923528</v>
      </c>
      <c r="K63" s="98">
        <f t="shared" si="41"/>
        <v>0</v>
      </c>
      <c r="L63" s="98">
        <f t="shared" si="41"/>
        <v>0</v>
      </c>
      <c r="M63" s="98">
        <f t="shared" si="41"/>
        <v>19977.55022923529</v>
      </c>
      <c r="N63" s="98">
        <f t="shared" si="41"/>
        <v>90797.870229235326</v>
      </c>
      <c r="O63" s="98">
        <f t="shared" si="41"/>
        <v>5773.7254563697643</v>
      </c>
      <c r="P63" s="98">
        <f t="shared" si="41"/>
        <v>41112.181398884451</v>
      </c>
      <c r="Q63" s="98">
        <f t="shared" si="41"/>
        <v>59079.316680931239</v>
      </c>
      <c r="R63" s="98">
        <f t="shared" si="41"/>
        <v>73343.294122159321</v>
      </c>
      <c r="S63" s="98">
        <f t="shared" si="41"/>
        <v>75853.990988387421</v>
      </c>
      <c r="T63" s="98">
        <f t="shared" si="41"/>
        <v>75853.990988387421</v>
      </c>
      <c r="U63" s="98">
        <f t="shared" si="41"/>
        <v>71814.358246866948</v>
      </c>
      <c r="V63" s="98">
        <f t="shared" si="41"/>
        <v>72329.767005346497</v>
      </c>
      <c r="W63" s="98">
        <f t="shared" si="41"/>
        <v>72597.113805346438</v>
      </c>
      <c r="X63" s="98">
        <f t="shared" si="41"/>
        <v>83892.152546048266</v>
      </c>
      <c r="Y63" s="98">
        <f t="shared" si="41"/>
        <v>111659.52656160384</v>
      </c>
      <c r="Z63" s="98">
        <f t="shared" si="41"/>
        <v>100112.08543879687</v>
      </c>
      <c r="AA63" s="98">
        <f t="shared" si="41"/>
        <v>110546.60800126045</v>
      </c>
      <c r="AB63" s="98">
        <f t="shared" si="41"/>
        <v>108176.16441763469</v>
      </c>
      <c r="AC63" s="98">
        <f t="shared" si="41"/>
        <v>109439.50259263461</v>
      </c>
      <c r="AD63" s="98">
        <f t="shared" si="41"/>
        <v>112948.96598035391</v>
      </c>
      <c r="AE63" s="98">
        <f t="shared" si="41"/>
        <v>102410.10123363457</v>
      </c>
      <c r="AF63" s="98">
        <f t="shared" si="41"/>
        <v>101888.26937983341</v>
      </c>
      <c r="AG63" s="98">
        <f t="shared" si="41"/>
        <v>101956.09937983342</v>
      </c>
      <c r="AH63" s="98">
        <f t="shared" si="41"/>
        <v>102664.67183758346</v>
      </c>
      <c r="AI63" s="98">
        <f t="shared" si="41"/>
        <v>105078.26025483495</v>
      </c>
      <c r="AJ63" s="98">
        <f t="shared" si="41"/>
        <v>84623.306738548432</v>
      </c>
      <c r="AK63" s="98">
        <f t="shared" si="41"/>
        <v>84624.503450010423</v>
      </c>
      <c r="AL63" s="98">
        <f t="shared" ref="AL63:BN63" si="42">IF(AL$5="","",MAX(0,AL61))</f>
        <v>84743.205950010379</v>
      </c>
      <c r="AM63" s="98">
        <f t="shared" si="42"/>
        <v>85797.691130010397</v>
      </c>
      <c r="AN63" s="98">
        <f t="shared" si="42"/>
        <v>93831.171824308651</v>
      </c>
      <c r="AO63" s="98">
        <f t="shared" si="42"/>
        <v>82069.974195295494</v>
      </c>
      <c r="AP63" s="98">
        <f t="shared" si="42"/>
        <v>7498.747345734082</v>
      </c>
      <c r="AQ63" s="98">
        <f t="shared" si="42"/>
        <v>82220.984301677483</v>
      </c>
      <c r="AR63" s="98">
        <f t="shared" si="42"/>
        <v>90840.506787291539</v>
      </c>
      <c r="AS63" s="98">
        <f t="shared" si="42"/>
        <v>103270.81799009854</v>
      </c>
      <c r="AT63" s="98">
        <f t="shared" si="42"/>
        <v>102654.32143877406</v>
      </c>
      <c r="AU63" s="98">
        <f t="shared" si="42"/>
        <v>103022.29918877402</v>
      </c>
      <c r="AV63" s="98">
        <f t="shared" si="42"/>
        <v>103649.31970877404</v>
      </c>
      <c r="AW63" s="98">
        <f t="shared" si="42"/>
        <v>104575.02963377407</v>
      </c>
      <c r="AX63" s="98">
        <f t="shared" si="42"/>
        <v>113932.4958719319</v>
      </c>
      <c r="AY63" s="98">
        <f t="shared" si="42"/>
        <v>114079.31827048985</v>
      </c>
      <c r="AZ63" s="98">
        <f t="shared" si="42"/>
        <v>114681.28359973982</v>
      </c>
      <c r="BA63" s="98">
        <f t="shared" si="42"/>
        <v>115687.23133127739</v>
      </c>
      <c r="BB63" s="98">
        <f t="shared" si="42"/>
        <v>41249.342887527411</v>
      </c>
      <c r="BC63" s="98">
        <f t="shared" si="42"/>
        <v>115963.24695214904</v>
      </c>
      <c r="BD63" s="98">
        <f t="shared" si="42"/>
        <v>116248.13295214904</v>
      </c>
      <c r="BE63" s="98">
        <f t="shared" si="42"/>
        <v>116757.59729914898</v>
      </c>
      <c r="BF63" s="98">
        <f t="shared" si="42"/>
        <v>117509.32181957598</v>
      </c>
      <c r="BG63" s="98">
        <f t="shared" si="42"/>
        <v>117888.33890207596</v>
      </c>
      <c r="BH63" s="98">
        <f t="shared" si="42"/>
        <v>118534.17003767601</v>
      </c>
      <c r="BI63" s="98">
        <f t="shared" si="42"/>
        <v>119487.65126042599</v>
      </c>
      <c r="BJ63" s="98">
        <f t="shared" si="42"/>
        <v>119918.81774267602</v>
      </c>
      <c r="BK63" s="98">
        <f t="shared" si="42"/>
        <v>121037.52107013798</v>
      </c>
      <c r="BL63" s="98">
        <f t="shared" si="42"/>
        <v>121657.54535926548</v>
      </c>
      <c r="BM63" s="98">
        <f t="shared" si="42"/>
        <v>122693.67152274914</v>
      </c>
      <c r="BN63" s="98">
        <f t="shared" ca="1" si="42"/>
        <v>24492632.124940142</v>
      </c>
    </row>
    <row r="64" spans="2:67" x14ac:dyDescent="0.2">
      <c r="B64" s="101" t="s">
        <v>372</v>
      </c>
      <c r="C64" s="101"/>
      <c r="D64" s="101"/>
      <c r="E64" s="101"/>
      <c r="F64" s="102">
        <f t="shared" ref="F64:AK64" si="43">IF(F$5="","",SUM(F62:F63))</f>
        <v>-11709551.287207184</v>
      </c>
      <c r="G64" s="102">
        <f t="shared" si="43"/>
        <v>-65232.449770764681</v>
      </c>
      <c r="H64" s="102">
        <f t="shared" si="43"/>
        <v>27873.900229235282</v>
      </c>
      <c r="I64" s="102">
        <f t="shared" si="43"/>
        <v>-25031.329770764714</v>
      </c>
      <c r="J64" s="102">
        <f t="shared" si="43"/>
        <v>103826.69022923528</v>
      </c>
      <c r="K64" s="102">
        <f t="shared" si="43"/>
        <v>-25387.599770764704</v>
      </c>
      <c r="L64" s="102">
        <f t="shared" si="43"/>
        <v>-16031.809770764725</v>
      </c>
      <c r="M64" s="102">
        <f t="shared" si="43"/>
        <v>19977.55022923529</v>
      </c>
      <c r="N64" s="102">
        <f t="shared" si="43"/>
        <v>90797.870229235326</v>
      </c>
      <c r="O64" s="102">
        <f t="shared" si="43"/>
        <v>5773.7254563697643</v>
      </c>
      <c r="P64" s="102">
        <f t="shared" si="43"/>
        <v>41112.181398884451</v>
      </c>
      <c r="Q64" s="102">
        <f t="shared" si="43"/>
        <v>59079.316680931239</v>
      </c>
      <c r="R64" s="102">
        <f t="shared" si="43"/>
        <v>73343.294122159321</v>
      </c>
      <c r="S64" s="102">
        <f t="shared" si="43"/>
        <v>75853.990988387421</v>
      </c>
      <c r="T64" s="102">
        <f t="shared" si="43"/>
        <v>75853.990988387421</v>
      </c>
      <c r="U64" s="102">
        <f t="shared" si="43"/>
        <v>71814.358246866948</v>
      </c>
      <c r="V64" s="102">
        <f t="shared" si="43"/>
        <v>72329.767005346497</v>
      </c>
      <c r="W64" s="102">
        <f t="shared" si="43"/>
        <v>72597.113805346438</v>
      </c>
      <c r="X64" s="102">
        <f t="shared" si="43"/>
        <v>83892.152546048266</v>
      </c>
      <c r="Y64" s="102">
        <f t="shared" si="43"/>
        <v>111659.52656160384</v>
      </c>
      <c r="Z64" s="102">
        <f t="shared" si="43"/>
        <v>100112.08543879687</v>
      </c>
      <c r="AA64" s="102">
        <f t="shared" si="43"/>
        <v>110546.60800126045</v>
      </c>
      <c r="AB64" s="102">
        <f t="shared" si="43"/>
        <v>108176.16441763469</v>
      </c>
      <c r="AC64" s="102">
        <f t="shared" si="43"/>
        <v>109439.50259263461</v>
      </c>
      <c r="AD64" s="102">
        <f t="shared" si="43"/>
        <v>112948.96598035391</v>
      </c>
      <c r="AE64" s="102">
        <f t="shared" si="43"/>
        <v>102410.10123363457</v>
      </c>
      <c r="AF64" s="102">
        <f t="shared" si="43"/>
        <v>101888.26937983341</v>
      </c>
      <c r="AG64" s="102">
        <f t="shared" si="43"/>
        <v>101956.09937983342</v>
      </c>
      <c r="AH64" s="102">
        <f t="shared" si="43"/>
        <v>102664.67183758346</v>
      </c>
      <c r="AI64" s="102">
        <f t="shared" si="43"/>
        <v>105078.26025483495</v>
      </c>
      <c r="AJ64" s="102">
        <f t="shared" si="43"/>
        <v>84623.306738548432</v>
      </c>
      <c r="AK64" s="102">
        <f t="shared" si="43"/>
        <v>84624.503450010423</v>
      </c>
      <c r="AL64" s="102">
        <f t="shared" ref="AL64:BN64" si="44">IF(AL$5="","",SUM(AL62:AL63))</f>
        <v>84743.205950010379</v>
      </c>
      <c r="AM64" s="102">
        <f t="shared" si="44"/>
        <v>85797.691130010397</v>
      </c>
      <c r="AN64" s="102">
        <f t="shared" si="44"/>
        <v>93831.171824308651</v>
      </c>
      <c r="AO64" s="102">
        <f t="shared" si="44"/>
        <v>82069.974195295494</v>
      </c>
      <c r="AP64" s="102">
        <f t="shared" si="44"/>
        <v>7498.747345734082</v>
      </c>
      <c r="AQ64" s="102">
        <f t="shared" si="44"/>
        <v>82220.984301677483</v>
      </c>
      <c r="AR64" s="102">
        <f t="shared" si="44"/>
        <v>90840.506787291539</v>
      </c>
      <c r="AS64" s="102">
        <f t="shared" si="44"/>
        <v>103270.81799009854</v>
      </c>
      <c r="AT64" s="102">
        <f t="shared" si="44"/>
        <v>102654.32143877406</v>
      </c>
      <c r="AU64" s="102">
        <f t="shared" si="44"/>
        <v>103022.29918877402</v>
      </c>
      <c r="AV64" s="102">
        <f t="shared" si="44"/>
        <v>103649.31970877404</v>
      </c>
      <c r="AW64" s="102">
        <f t="shared" si="44"/>
        <v>104575.02963377407</v>
      </c>
      <c r="AX64" s="102">
        <f t="shared" si="44"/>
        <v>113932.4958719319</v>
      </c>
      <c r="AY64" s="102">
        <f t="shared" si="44"/>
        <v>114079.31827048985</v>
      </c>
      <c r="AZ64" s="102">
        <f t="shared" si="44"/>
        <v>114681.28359973982</v>
      </c>
      <c r="BA64" s="102">
        <f t="shared" si="44"/>
        <v>115687.23133127739</v>
      </c>
      <c r="BB64" s="102">
        <f t="shared" si="44"/>
        <v>41249.342887527411</v>
      </c>
      <c r="BC64" s="102">
        <f t="shared" si="44"/>
        <v>115963.24695214904</v>
      </c>
      <c r="BD64" s="102">
        <f t="shared" si="44"/>
        <v>116248.13295214904</v>
      </c>
      <c r="BE64" s="102">
        <f t="shared" si="44"/>
        <v>116757.59729914898</v>
      </c>
      <c r="BF64" s="102">
        <f t="shared" si="44"/>
        <v>117509.32181957598</v>
      </c>
      <c r="BG64" s="102">
        <f t="shared" si="44"/>
        <v>117888.33890207596</v>
      </c>
      <c r="BH64" s="102">
        <f t="shared" si="44"/>
        <v>118534.17003767601</v>
      </c>
      <c r="BI64" s="102">
        <f t="shared" si="44"/>
        <v>119487.65126042599</v>
      </c>
      <c r="BJ64" s="102">
        <f t="shared" si="44"/>
        <v>119918.81774267602</v>
      </c>
      <c r="BK64" s="102">
        <f t="shared" si="44"/>
        <v>121037.52107013798</v>
      </c>
      <c r="BL64" s="102">
        <f t="shared" si="44"/>
        <v>121657.54535926548</v>
      </c>
      <c r="BM64" s="102">
        <f t="shared" si="44"/>
        <v>122693.67152274914</v>
      </c>
      <c r="BN64" s="102">
        <f t="shared" ca="1" si="44"/>
        <v>24492632.124940142</v>
      </c>
      <c r="BO64" t="s">
        <v>354</v>
      </c>
    </row>
    <row r="65" spans="2:67" x14ac:dyDescent="0.2">
      <c r="B65" s="68"/>
      <c r="C65" s="68"/>
      <c r="D65" s="68"/>
      <c r="E65" s="68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  <c r="AP65" s="131"/>
      <c r="AQ65" s="131"/>
      <c r="AR65" s="131"/>
      <c r="AS65" s="131"/>
      <c r="AT65" s="131"/>
      <c r="AU65" s="131"/>
      <c r="AV65" s="131"/>
      <c r="AW65" s="131"/>
      <c r="AX65" s="131"/>
      <c r="AY65" s="131"/>
      <c r="AZ65" s="131"/>
      <c r="BA65" s="131"/>
      <c r="BB65" s="131"/>
      <c r="BC65" s="131"/>
      <c r="BD65" s="131"/>
      <c r="BE65" s="131"/>
      <c r="BF65" s="131"/>
      <c r="BG65" s="131"/>
      <c r="BH65" s="131"/>
      <c r="BI65" s="131"/>
      <c r="BJ65" s="131"/>
      <c r="BK65" s="131"/>
      <c r="BL65" s="131"/>
      <c r="BM65" s="131"/>
      <c r="BN65" s="131"/>
      <c r="BO65" t="s">
        <v>354</v>
      </c>
    </row>
    <row r="66" spans="2:67" x14ac:dyDescent="0.2">
      <c r="B66" s="195" t="s">
        <v>603</v>
      </c>
      <c r="C66" s="68"/>
      <c r="D66" s="68"/>
      <c r="E66" s="68"/>
      <c r="F66" s="131"/>
      <c r="G66" s="196">
        <f>G46/-G59</f>
        <v>0.22758963320673367</v>
      </c>
      <c r="H66" s="196">
        <f t="shared" ref="H66:BM66" si="45">H46/-H59</f>
        <v>1.3300518311926361</v>
      </c>
      <c r="I66" s="196">
        <f t="shared" si="45"/>
        <v>0.70360673748259672</v>
      </c>
      <c r="J66" s="196">
        <f t="shared" si="45"/>
        <v>2.2294005845973359</v>
      </c>
      <c r="K66" s="196">
        <f t="shared" si="45"/>
        <v>0.69938818303087102</v>
      </c>
      <c r="L66" s="196">
        <f t="shared" si="45"/>
        <v>0.81016907828983575</v>
      </c>
      <c r="M66" s="196">
        <f t="shared" si="45"/>
        <v>1.2365520067760847</v>
      </c>
      <c r="N66" s="196">
        <f t="shared" si="45"/>
        <v>2.0751277392504544</v>
      </c>
      <c r="O66" s="196">
        <f t="shared" si="45"/>
        <v>-1.5297977497222306</v>
      </c>
      <c r="P66" s="196">
        <f t="shared" si="45"/>
        <v>-1.7358716282124957</v>
      </c>
      <c r="Q66" s="196">
        <f t="shared" si="45"/>
        <v>1.6754292633330783</v>
      </c>
      <c r="R66" s="196">
        <f t="shared" si="45"/>
        <v>-1.3965144263519327</v>
      </c>
      <c r="S66" s="196">
        <f t="shared" si="45"/>
        <v>1.8504636990412344</v>
      </c>
      <c r="T66" s="196">
        <f t="shared" si="45"/>
        <v>1.8504636990412344</v>
      </c>
      <c r="U66" s="196">
        <f t="shared" si="45"/>
        <v>1.030387260906561</v>
      </c>
      <c r="V66" s="196">
        <f t="shared" si="45"/>
        <v>1.807172601654607</v>
      </c>
      <c r="W66" s="196">
        <f t="shared" si="45"/>
        <v>1.8101560899338385</v>
      </c>
      <c r="X66" s="196">
        <f t="shared" si="45"/>
        <v>-1.7345217867861529</v>
      </c>
      <c r="Y66" s="196">
        <f t="shared" si="45"/>
        <v>-7.5176900753630358</v>
      </c>
      <c r="Z66" s="196">
        <f t="shared" si="45"/>
        <v>0.78659528846361937</v>
      </c>
      <c r="AA66" s="196">
        <f t="shared" si="45"/>
        <v>-6.3273821409930759</v>
      </c>
      <c r="AB66" s="196">
        <f t="shared" si="45"/>
        <v>2.0503706123892651</v>
      </c>
      <c r="AC66" s="196">
        <f t="shared" si="45"/>
        <v>2.0626373931507493</v>
      </c>
      <c r="AD66" s="196">
        <f t="shared" si="45"/>
        <v>1.0900504669944782</v>
      </c>
      <c r="AE66" s="196">
        <f t="shared" si="45"/>
        <v>0.32459636282921445</v>
      </c>
      <c r="AF66" s="196">
        <f t="shared" si="45"/>
        <v>1.9735314222407878</v>
      </c>
      <c r="AG66" s="196">
        <f t="shared" si="45"/>
        <v>1.9741795305733028</v>
      </c>
      <c r="AH66" s="196">
        <f t="shared" si="45"/>
        <v>1.9809498639664676</v>
      </c>
      <c r="AI66" s="196">
        <f t="shared" si="45"/>
        <v>-1.5500983251583442</v>
      </c>
      <c r="AJ66" s="196">
        <f t="shared" si="45"/>
        <v>-0.97083579319231528</v>
      </c>
      <c r="AK66" s="196">
        <f t="shared" si="45"/>
        <v>1.7783833840364101</v>
      </c>
      <c r="AL66" s="196">
        <f t="shared" si="45"/>
        <v>1.7794752197326529</v>
      </c>
      <c r="AM66" s="196">
        <f t="shared" si="45"/>
        <v>1.789174464151966</v>
      </c>
      <c r="AN66" s="196">
        <f t="shared" si="45"/>
        <v>-0.50944093195005824</v>
      </c>
      <c r="AO66" s="196">
        <f t="shared" si="45"/>
        <v>-0.1290529228722414</v>
      </c>
      <c r="AP66" s="196">
        <f t="shared" si="45"/>
        <v>1.7396591181075842</v>
      </c>
      <c r="AQ66" s="196">
        <f t="shared" si="45"/>
        <v>1.7371687776500646</v>
      </c>
      <c r="AR66" s="196">
        <f t="shared" si="45"/>
        <v>-0.77355150991506871</v>
      </c>
      <c r="AS66" s="196">
        <f t="shared" si="45"/>
        <v>-1.9869326308545319</v>
      </c>
      <c r="AT66" s="196">
        <f t="shared" si="45"/>
        <v>1.8850870116833016</v>
      </c>
      <c r="AU66" s="196">
        <f t="shared" si="45"/>
        <v>1.8882597210495378</v>
      </c>
      <c r="AV66" s="196">
        <f t="shared" si="45"/>
        <v>1.8936659008433609</v>
      </c>
      <c r="AW66" s="196">
        <f t="shared" si="45"/>
        <v>1.901647384912617</v>
      </c>
      <c r="AX66" s="196">
        <f t="shared" si="45"/>
        <v>-0.68495400535029849</v>
      </c>
      <c r="AY66" s="196">
        <f t="shared" si="45"/>
        <v>1.9679159009519043</v>
      </c>
      <c r="AZ66" s="196">
        <f t="shared" si="45"/>
        <v>1.9730233281598868</v>
      </c>
      <c r="BA66" s="196">
        <f t="shared" si="45"/>
        <v>1.9815583792072033</v>
      </c>
      <c r="BB66" s="196">
        <f t="shared" si="45"/>
        <v>1.9863276636108249</v>
      </c>
      <c r="BC66" s="196">
        <f t="shared" si="45"/>
        <v>1.9839002577562961</v>
      </c>
      <c r="BD66" s="196">
        <f t="shared" si="45"/>
        <v>1.9863173978088409</v>
      </c>
      <c r="BE66" s="196">
        <f t="shared" si="45"/>
        <v>1.9906399923851872</v>
      </c>
      <c r="BF66" s="196">
        <f t="shared" si="45"/>
        <v>1.9970180644800042</v>
      </c>
      <c r="BG66" s="196">
        <f t="shared" si="45"/>
        <v>2.000233867891577</v>
      </c>
      <c r="BH66" s="196">
        <f t="shared" si="45"/>
        <v>2.0057134783499331</v>
      </c>
      <c r="BI66" s="196">
        <f t="shared" si="45"/>
        <v>2.0138033727387699</v>
      </c>
      <c r="BJ66" s="196">
        <f t="shared" si="45"/>
        <v>2.0174616422696041</v>
      </c>
      <c r="BK66" s="196">
        <f t="shared" si="45"/>
        <v>2.0269533779804614</v>
      </c>
      <c r="BL66" s="196">
        <f t="shared" si="45"/>
        <v>2.0322140280046836</v>
      </c>
      <c r="BM66" s="196">
        <f t="shared" si="45"/>
        <v>2.0410051305834194</v>
      </c>
      <c r="BN66" s="196"/>
      <c r="BO66" t="s">
        <v>354</v>
      </c>
    </row>
    <row r="67" spans="2:67" ht="17" thickBot="1" x14ac:dyDescent="0.25">
      <c r="B67" s="68"/>
      <c r="C67" s="68"/>
      <c r="D67" s="68"/>
      <c r="E67" s="68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1"/>
      <c r="AU67" s="131"/>
      <c r="AV67" s="131"/>
      <c r="AW67" s="131"/>
      <c r="AX67" s="131"/>
      <c r="AY67" s="131"/>
      <c r="AZ67" s="131"/>
      <c r="BA67" s="131"/>
      <c r="BB67" s="131"/>
      <c r="BC67" s="131"/>
      <c r="BD67" s="131"/>
      <c r="BE67" s="131"/>
      <c r="BF67" s="131"/>
      <c r="BG67" s="131"/>
      <c r="BH67" s="131"/>
      <c r="BI67" s="131"/>
      <c r="BJ67" s="131"/>
      <c r="BK67" s="131"/>
      <c r="BL67" s="131"/>
      <c r="BM67" s="131"/>
      <c r="BN67" s="131"/>
      <c r="BO67" t="s">
        <v>354</v>
      </c>
    </row>
    <row r="68" spans="2:67" ht="18" thickTop="1" thickBot="1" x14ac:dyDescent="0.25">
      <c r="B68" s="70" t="s">
        <v>377</v>
      </c>
      <c r="C68" s="70"/>
      <c r="D68" s="70"/>
      <c r="E68" s="70"/>
      <c r="F68" s="104">
        <f ca="1">IFERROR((1+IRR(F64:BN64))^12-1,"")</f>
        <v>0.22378119013751152</v>
      </c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4"/>
      <c r="BF68" s="104"/>
      <c r="BG68" s="104"/>
      <c r="BH68" s="104"/>
      <c r="BI68" s="104"/>
      <c r="BJ68" s="104"/>
      <c r="BK68" s="104"/>
      <c r="BL68" s="104"/>
      <c r="BM68" s="104"/>
      <c r="BN68" s="104"/>
      <c r="BO68" t="s">
        <v>354</v>
      </c>
    </row>
    <row r="69" spans="2:67" ht="17" thickTop="1" x14ac:dyDescent="0.2">
      <c r="B69" s="106" t="s">
        <v>380</v>
      </c>
      <c r="C69" s="106"/>
      <c r="D69" s="106"/>
      <c r="E69" s="106"/>
      <c r="F69" s="107">
        <f ca="1">IFERROR(SUM(F63:BN63)/ABS(SUM(F62:BN62)),"")</f>
        <v>2.4958872242512191</v>
      </c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</row>
    <row r="70" spans="2:67" ht="17" thickBot="1" x14ac:dyDescent="0.25">
      <c r="B70" s="108" t="s">
        <v>381</v>
      </c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>
        <f>IFERROR(SUM(G63:R63)/ABS(SUM($F$62:R62)),"")</f>
        <v>3.5619979438784616E-2</v>
      </c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>
        <f>IFERROR(SUM(S63:AD63)/ABS(SUM($F$62:AD62)),"")</f>
        <v>9.3336909152982567E-2</v>
      </c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>
        <f>IFERROR(SUM(AE63:AP63)/ABS(SUM($F$62:AP62)),"")</f>
        <v>8.7591036626831431E-2</v>
      </c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>
        <f>IFERROR(SUM(AQ63:BB63)/ABS(SUM($F$62:BB62)),"")</f>
        <v>0.10048470481625862</v>
      </c>
      <c r="BC70" s="108"/>
      <c r="BD70" s="108"/>
      <c r="BE70" s="108"/>
      <c r="BF70" s="108"/>
      <c r="BG70" s="108"/>
      <c r="BH70" s="108"/>
      <c r="BI70" s="108"/>
      <c r="BJ70" s="108"/>
      <c r="BK70" s="108"/>
      <c r="BL70" s="108"/>
      <c r="BM70" s="108"/>
      <c r="BN70" s="108">
        <f ca="1">IFERROR(SUM(BC63:BM63)/ABS(SUM($F$62:BN62)),"")</f>
        <v>0.11043578416899313</v>
      </c>
    </row>
    <row r="71" spans="2:67" ht="17" thickTop="1" x14ac:dyDescent="0.2"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</row>
    <row r="72" spans="2:67" x14ac:dyDescent="0.2"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</row>
    <row r="73" spans="2:67" x14ac:dyDescent="0.2">
      <c r="B73" s="67" t="s">
        <v>373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</row>
    <row r="74" spans="2:67" x14ac:dyDescent="0.2">
      <c r="B74" s="68" t="s">
        <v>374</v>
      </c>
      <c r="C74" s="65"/>
      <c r="D74" s="65"/>
      <c r="E74" s="65"/>
      <c r="F74" s="98">
        <f>SUM(F54:BN54)-Assumption!$D$24</f>
        <v>1449321.1989231491</v>
      </c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/>
      <c r="AL74" s="98"/>
      <c r="AM74" s="98"/>
      <c r="AN74" s="98"/>
      <c r="AO74" s="98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</row>
    <row r="75" spans="2:67" x14ac:dyDescent="0.2">
      <c r="B75" s="68" t="s">
        <v>375</v>
      </c>
      <c r="C75" s="65"/>
      <c r="D75" s="65"/>
      <c r="E75" s="65"/>
      <c r="F75" s="98">
        <f>BN56</f>
        <v>0</v>
      </c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0637-4BA0-7E42-8679-D695ABDB5B09}">
  <dimension ref="C2:CO52"/>
  <sheetViews>
    <sheetView workbookViewId="0">
      <selection activeCell="C38" sqref="C38"/>
    </sheetView>
  </sheetViews>
  <sheetFormatPr baseColWidth="10" defaultRowHeight="16" x14ac:dyDescent="0.2"/>
  <cols>
    <col min="1" max="2" width="4.33203125" customWidth="1"/>
    <col min="3" max="3" width="38.33203125" customWidth="1"/>
    <col min="4" max="4" width="17.1640625" customWidth="1"/>
    <col min="5" max="5" width="8.5" customWidth="1"/>
    <col min="6" max="66" width="13.6640625" customWidth="1"/>
  </cols>
  <sheetData>
    <row r="2" spans="3:93" x14ac:dyDescent="0.2">
      <c r="C2" t="s">
        <v>269</v>
      </c>
    </row>
    <row r="4" spans="3:93" x14ac:dyDescent="0.2">
      <c r="C4" t="s">
        <v>250</v>
      </c>
      <c r="F4" s="83">
        <v>0</v>
      </c>
      <c r="G4">
        <f t="shared" ref="G4:AL4" si="0">IF(G5="","",ROUNDUP(G5/12,0))</f>
        <v>1</v>
      </c>
      <c r="H4">
        <f t="shared" si="0"/>
        <v>1</v>
      </c>
      <c r="I4">
        <f t="shared" si="0"/>
        <v>1</v>
      </c>
      <c r="J4">
        <f t="shared" si="0"/>
        <v>1</v>
      </c>
      <c r="K4">
        <f t="shared" si="0"/>
        <v>1</v>
      </c>
      <c r="L4">
        <f t="shared" si="0"/>
        <v>1</v>
      </c>
      <c r="M4">
        <f t="shared" si="0"/>
        <v>1</v>
      </c>
      <c r="N4">
        <f t="shared" si="0"/>
        <v>1</v>
      </c>
      <c r="O4">
        <f t="shared" si="0"/>
        <v>1</v>
      </c>
      <c r="P4">
        <f t="shared" si="0"/>
        <v>1</v>
      </c>
      <c r="Q4">
        <f t="shared" si="0"/>
        <v>1</v>
      </c>
      <c r="R4">
        <f t="shared" si="0"/>
        <v>1</v>
      </c>
      <c r="S4">
        <f t="shared" si="0"/>
        <v>2</v>
      </c>
      <c r="T4">
        <f t="shared" si="0"/>
        <v>2</v>
      </c>
      <c r="U4">
        <f t="shared" si="0"/>
        <v>2</v>
      </c>
      <c r="V4">
        <f t="shared" si="0"/>
        <v>2</v>
      </c>
      <c r="W4">
        <f t="shared" si="0"/>
        <v>2</v>
      </c>
      <c r="X4">
        <f t="shared" si="0"/>
        <v>2</v>
      </c>
      <c r="Y4">
        <f t="shared" si="0"/>
        <v>2</v>
      </c>
      <c r="Z4">
        <f t="shared" si="0"/>
        <v>2</v>
      </c>
      <c r="AA4">
        <f t="shared" si="0"/>
        <v>2</v>
      </c>
      <c r="AB4">
        <f t="shared" si="0"/>
        <v>2</v>
      </c>
      <c r="AC4">
        <f t="shared" si="0"/>
        <v>2</v>
      </c>
      <c r="AD4">
        <f t="shared" si="0"/>
        <v>2</v>
      </c>
      <c r="AE4">
        <f t="shared" si="0"/>
        <v>3</v>
      </c>
      <c r="AF4">
        <f t="shared" si="0"/>
        <v>3</v>
      </c>
      <c r="AG4">
        <f t="shared" si="0"/>
        <v>3</v>
      </c>
      <c r="AH4">
        <f t="shared" si="0"/>
        <v>3</v>
      </c>
      <c r="AI4">
        <f t="shared" si="0"/>
        <v>3</v>
      </c>
      <c r="AJ4">
        <f t="shared" si="0"/>
        <v>3</v>
      </c>
      <c r="AK4">
        <f t="shared" si="0"/>
        <v>3</v>
      </c>
      <c r="AL4">
        <f t="shared" si="0"/>
        <v>3</v>
      </c>
      <c r="AM4">
        <f t="shared" ref="AM4:BR4" si="1">IF(AM5="","",ROUNDUP(AM5/12,0))</f>
        <v>3</v>
      </c>
      <c r="AN4">
        <f t="shared" si="1"/>
        <v>3</v>
      </c>
      <c r="AO4">
        <f t="shared" si="1"/>
        <v>3</v>
      </c>
      <c r="AP4">
        <f t="shared" si="1"/>
        <v>3</v>
      </c>
      <c r="AQ4">
        <f t="shared" si="1"/>
        <v>4</v>
      </c>
      <c r="AR4">
        <f t="shared" si="1"/>
        <v>4</v>
      </c>
      <c r="AS4">
        <f t="shared" si="1"/>
        <v>4</v>
      </c>
      <c r="AT4">
        <f t="shared" si="1"/>
        <v>4</v>
      </c>
      <c r="AU4">
        <f t="shared" si="1"/>
        <v>4</v>
      </c>
      <c r="AV4">
        <f t="shared" si="1"/>
        <v>4</v>
      </c>
      <c r="AW4">
        <f t="shared" si="1"/>
        <v>4</v>
      </c>
      <c r="AX4">
        <f t="shared" si="1"/>
        <v>4</v>
      </c>
      <c r="AY4">
        <f t="shared" si="1"/>
        <v>4</v>
      </c>
      <c r="AZ4">
        <f t="shared" si="1"/>
        <v>4</v>
      </c>
      <c r="BA4">
        <f t="shared" si="1"/>
        <v>4</v>
      </c>
      <c r="BB4">
        <f t="shared" si="1"/>
        <v>4</v>
      </c>
      <c r="BC4">
        <f t="shared" si="1"/>
        <v>5</v>
      </c>
      <c r="BD4">
        <f t="shared" si="1"/>
        <v>5</v>
      </c>
      <c r="BE4">
        <f t="shared" si="1"/>
        <v>5</v>
      </c>
      <c r="BF4">
        <f t="shared" si="1"/>
        <v>5</v>
      </c>
      <c r="BG4">
        <f t="shared" si="1"/>
        <v>5</v>
      </c>
      <c r="BH4">
        <f t="shared" si="1"/>
        <v>5</v>
      </c>
      <c r="BI4">
        <f t="shared" si="1"/>
        <v>5</v>
      </c>
      <c r="BJ4">
        <f t="shared" si="1"/>
        <v>5</v>
      </c>
      <c r="BK4">
        <f t="shared" si="1"/>
        <v>5</v>
      </c>
      <c r="BL4">
        <f t="shared" si="1"/>
        <v>5</v>
      </c>
      <c r="BM4">
        <f t="shared" si="1"/>
        <v>5</v>
      </c>
      <c r="BN4">
        <f t="shared" si="1"/>
        <v>5</v>
      </c>
      <c r="BO4">
        <f t="shared" si="1"/>
        <v>6</v>
      </c>
      <c r="BP4">
        <f t="shared" si="1"/>
        <v>6</v>
      </c>
      <c r="BQ4">
        <f t="shared" si="1"/>
        <v>6</v>
      </c>
      <c r="BR4">
        <f t="shared" si="1"/>
        <v>6</v>
      </c>
      <c r="BS4">
        <f t="shared" ref="BS4:CO4" si="2">IF(BS5="","",ROUNDUP(BS5/12,0))</f>
        <v>6</v>
      </c>
      <c r="BT4">
        <f t="shared" si="2"/>
        <v>6</v>
      </c>
      <c r="BU4">
        <f t="shared" si="2"/>
        <v>6</v>
      </c>
      <c r="BV4">
        <f t="shared" si="2"/>
        <v>6</v>
      </c>
      <c r="BW4">
        <f t="shared" si="2"/>
        <v>6</v>
      </c>
      <c r="BX4">
        <f t="shared" si="2"/>
        <v>6</v>
      </c>
      <c r="BY4">
        <f t="shared" si="2"/>
        <v>6</v>
      </c>
      <c r="BZ4">
        <f t="shared" si="2"/>
        <v>6</v>
      </c>
      <c r="CA4" t="str">
        <f t="shared" si="2"/>
        <v/>
      </c>
      <c r="CB4" t="str">
        <f t="shared" si="2"/>
        <v/>
      </c>
      <c r="CC4" t="str">
        <f t="shared" si="2"/>
        <v/>
      </c>
      <c r="CD4" t="str">
        <f t="shared" si="2"/>
        <v/>
      </c>
      <c r="CE4" t="str">
        <f t="shared" si="2"/>
        <v/>
      </c>
      <c r="CF4" t="str">
        <f t="shared" si="2"/>
        <v/>
      </c>
      <c r="CG4" t="str">
        <f t="shared" si="2"/>
        <v/>
      </c>
      <c r="CH4" t="str">
        <f t="shared" si="2"/>
        <v/>
      </c>
      <c r="CI4" t="str">
        <f t="shared" si="2"/>
        <v/>
      </c>
      <c r="CJ4" t="str">
        <f t="shared" si="2"/>
        <v/>
      </c>
      <c r="CK4" t="str">
        <f t="shared" si="2"/>
        <v/>
      </c>
      <c r="CL4" t="str">
        <f t="shared" si="2"/>
        <v/>
      </c>
      <c r="CM4" t="str">
        <f t="shared" si="2"/>
        <v/>
      </c>
      <c r="CN4" t="str">
        <f t="shared" si="2"/>
        <v/>
      </c>
      <c r="CO4" t="str">
        <f t="shared" si="2"/>
        <v/>
      </c>
    </row>
    <row r="5" spans="3:93" x14ac:dyDescent="0.2">
      <c r="C5" t="s">
        <v>249</v>
      </c>
      <c r="F5" s="83">
        <v>0</v>
      </c>
      <c r="G5">
        <f>IF(F5&gt;=Assumption!$D$4+12,"",F5+1)</f>
        <v>1</v>
      </c>
      <c r="H5">
        <f>IF(G5&gt;=Assumption!$D$4+12,"",G5+1)</f>
        <v>2</v>
      </c>
      <c r="I5">
        <f>IF(H5&gt;=Assumption!$D$4+12,"",H5+1)</f>
        <v>3</v>
      </c>
      <c r="J5">
        <f>IF(I5&gt;=Assumption!$D$4+12,"",I5+1)</f>
        <v>4</v>
      </c>
      <c r="K5">
        <f>IF(J5&gt;=Assumption!$D$4+12,"",J5+1)</f>
        <v>5</v>
      </c>
      <c r="L5">
        <f>IF(K5&gt;=Assumption!$D$4+12,"",K5+1)</f>
        <v>6</v>
      </c>
      <c r="M5">
        <f>IF(L5&gt;=Assumption!$D$4+12,"",L5+1)</f>
        <v>7</v>
      </c>
      <c r="N5">
        <f>IF(M5&gt;=Assumption!$D$4+12,"",M5+1)</f>
        <v>8</v>
      </c>
      <c r="O5">
        <f>IF(N5&gt;=Assumption!$D$4+12,"",N5+1)</f>
        <v>9</v>
      </c>
      <c r="P5">
        <f>IF(O5&gt;=Assumption!$D$4+12,"",O5+1)</f>
        <v>10</v>
      </c>
      <c r="Q5">
        <f>IF(P5&gt;=Assumption!$D$4+12,"",P5+1)</f>
        <v>11</v>
      </c>
      <c r="R5">
        <f>IF(Q5&gt;=Assumption!$D$4+12,"",Q5+1)</f>
        <v>12</v>
      </c>
      <c r="S5">
        <f>IF(R5&gt;=Assumption!$D$4+12,"",R5+1)</f>
        <v>13</v>
      </c>
      <c r="T5">
        <f>IF(S5&gt;=Assumption!$D$4+12,"",S5+1)</f>
        <v>14</v>
      </c>
      <c r="U5">
        <f>IF(T5&gt;=Assumption!$D$4+12,"",T5+1)</f>
        <v>15</v>
      </c>
      <c r="V5">
        <f>IF(U5&gt;=Assumption!$D$4+12,"",U5+1)</f>
        <v>16</v>
      </c>
      <c r="W5">
        <f>IF(V5&gt;=Assumption!$D$4+12,"",V5+1)</f>
        <v>17</v>
      </c>
      <c r="X5">
        <f>IF(W5&gt;=Assumption!$D$4+12,"",W5+1)</f>
        <v>18</v>
      </c>
      <c r="Y5">
        <f>IF(X5&gt;=Assumption!$D$4+12,"",X5+1)</f>
        <v>19</v>
      </c>
      <c r="Z5">
        <f>IF(Y5&gt;=Assumption!$D$4+12,"",Y5+1)</f>
        <v>20</v>
      </c>
      <c r="AA5">
        <f>IF(Z5&gt;=Assumption!$D$4+12,"",Z5+1)</f>
        <v>21</v>
      </c>
      <c r="AB5">
        <f>IF(AA5&gt;=Assumption!$D$4+12,"",AA5+1)</f>
        <v>22</v>
      </c>
      <c r="AC5">
        <f>IF(AB5&gt;=Assumption!$D$4+12,"",AB5+1)</f>
        <v>23</v>
      </c>
      <c r="AD5">
        <f>IF(AC5&gt;=Assumption!$D$4+12,"",AC5+1)</f>
        <v>24</v>
      </c>
      <c r="AE5">
        <f>IF(AD5&gt;=Assumption!$D$4+12,"",AD5+1)</f>
        <v>25</v>
      </c>
      <c r="AF5">
        <f>IF(AE5&gt;=Assumption!$D$4+12,"",AE5+1)</f>
        <v>26</v>
      </c>
      <c r="AG5">
        <f>IF(AF5&gt;=Assumption!$D$4+12,"",AF5+1)</f>
        <v>27</v>
      </c>
      <c r="AH5">
        <f>IF(AG5&gt;=Assumption!$D$4+12,"",AG5+1)</f>
        <v>28</v>
      </c>
      <c r="AI5">
        <f>IF(AH5&gt;=Assumption!$D$4+12,"",AH5+1)</f>
        <v>29</v>
      </c>
      <c r="AJ5">
        <f>IF(AI5&gt;=Assumption!$D$4+12,"",AI5+1)</f>
        <v>30</v>
      </c>
      <c r="AK5">
        <f>IF(AJ5&gt;=Assumption!$D$4+12,"",AJ5+1)</f>
        <v>31</v>
      </c>
      <c r="AL5">
        <f>IF(AK5&gt;=Assumption!$D$4+12,"",AK5+1)</f>
        <v>32</v>
      </c>
      <c r="AM5">
        <f>IF(AL5&gt;=Assumption!$D$4+12,"",AL5+1)</f>
        <v>33</v>
      </c>
      <c r="AN5">
        <f>IF(AM5&gt;=Assumption!$D$4+12,"",AM5+1)</f>
        <v>34</v>
      </c>
      <c r="AO5">
        <f>IF(AN5&gt;=Assumption!$D$4+12,"",AN5+1)</f>
        <v>35</v>
      </c>
      <c r="AP5">
        <f>IF(AO5&gt;=Assumption!$D$4+12,"",AO5+1)</f>
        <v>36</v>
      </c>
      <c r="AQ5">
        <f>IF(AP5&gt;=Assumption!$D$4+12,"",AP5+1)</f>
        <v>37</v>
      </c>
      <c r="AR5">
        <f>IF(AQ5&gt;=Assumption!$D$4+12,"",AQ5+1)</f>
        <v>38</v>
      </c>
      <c r="AS5">
        <f>IF(AR5&gt;=Assumption!$D$4+12,"",AR5+1)</f>
        <v>39</v>
      </c>
      <c r="AT5">
        <f>IF(AS5&gt;=Assumption!$D$4+12,"",AS5+1)</f>
        <v>40</v>
      </c>
      <c r="AU5">
        <f>IF(AT5&gt;=Assumption!$D$4+12,"",AT5+1)</f>
        <v>41</v>
      </c>
      <c r="AV5">
        <f>IF(AU5&gt;=Assumption!$D$4+12,"",AU5+1)</f>
        <v>42</v>
      </c>
      <c r="AW5">
        <f>IF(AV5&gt;=Assumption!$D$4+12,"",AV5+1)</f>
        <v>43</v>
      </c>
      <c r="AX5">
        <f>IF(AW5&gt;=Assumption!$D$4+12,"",AW5+1)</f>
        <v>44</v>
      </c>
      <c r="AY5">
        <f>IF(AX5&gt;=Assumption!$D$4+12,"",AX5+1)</f>
        <v>45</v>
      </c>
      <c r="AZ5">
        <f>IF(AY5&gt;=Assumption!$D$4+12,"",AY5+1)</f>
        <v>46</v>
      </c>
      <c r="BA5">
        <f>IF(AZ5&gt;=Assumption!$D$4+12,"",AZ5+1)</f>
        <v>47</v>
      </c>
      <c r="BB5">
        <f>IF(BA5&gt;=Assumption!$D$4+12,"",BA5+1)</f>
        <v>48</v>
      </c>
      <c r="BC5">
        <f>IF(BB5&gt;=Assumption!$D$4+12,"",BB5+1)</f>
        <v>49</v>
      </c>
      <c r="BD5">
        <f>IF(BC5&gt;=Assumption!$D$4+12,"",BC5+1)</f>
        <v>50</v>
      </c>
      <c r="BE5">
        <f>IF(BD5&gt;=Assumption!$D$4+12,"",BD5+1)</f>
        <v>51</v>
      </c>
      <c r="BF5">
        <f>IF(BE5&gt;=Assumption!$D$4+12,"",BE5+1)</f>
        <v>52</v>
      </c>
      <c r="BG5">
        <f>IF(BF5&gt;=Assumption!$D$4+12,"",BF5+1)</f>
        <v>53</v>
      </c>
      <c r="BH5">
        <f>IF(BG5&gt;=Assumption!$D$4+12,"",BG5+1)</f>
        <v>54</v>
      </c>
      <c r="BI5">
        <f>IF(BH5&gt;=Assumption!$D$4+12,"",BH5+1)</f>
        <v>55</v>
      </c>
      <c r="BJ5">
        <f>IF(BI5&gt;=Assumption!$D$4+12,"",BI5+1)</f>
        <v>56</v>
      </c>
      <c r="BK5">
        <f>IF(BJ5&gt;=Assumption!$D$4+12,"",BJ5+1)</f>
        <v>57</v>
      </c>
      <c r="BL5">
        <f>IF(BK5&gt;=Assumption!$D$4+12,"",BK5+1)</f>
        <v>58</v>
      </c>
      <c r="BM5">
        <f>IF(BL5&gt;=Assumption!$D$4+12,"",BL5+1)</f>
        <v>59</v>
      </c>
      <c r="BN5">
        <f>IF(BM5&gt;=Assumption!$D$4+12,"",BM5+1)</f>
        <v>60</v>
      </c>
      <c r="BO5">
        <f>IF(BN5&gt;=Assumption!$D$4+12,"",BN5+1)</f>
        <v>61</v>
      </c>
      <c r="BP5">
        <f>IF(BO5&gt;=Assumption!$D$4+12,"",BO5+1)</f>
        <v>62</v>
      </c>
      <c r="BQ5">
        <f>IF(BP5&gt;=Assumption!$D$4+12,"",BP5+1)</f>
        <v>63</v>
      </c>
      <c r="BR5">
        <f>IF(BQ5&gt;=Assumption!$D$4+12,"",BQ5+1)</f>
        <v>64</v>
      </c>
      <c r="BS5">
        <f>IF(BR5&gt;=Assumption!$D$4+12,"",BR5+1)</f>
        <v>65</v>
      </c>
      <c r="BT5">
        <f>IF(BS5&gt;=Assumption!$D$4+12,"",BS5+1)</f>
        <v>66</v>
      </c>
      <c r="BU5">
        <f>IF(BT5&gt;=Assumption!$D$4+12,"",BT5+1)</f>
        <v>67</v>
      </c>
      <c r="BV5">
        <f>IF(BU5&gt;=Assumption!$D$4+12,"",BU5+1)</f>
        <v>68</v>
      </c>
      <c r="BW5">
        <f>IF(BV5&gt;=Assumption!$D$4+12,"",BV5+1)</f>
        <v>69</v>
      </c>
      <c r="BX5">
        <f>IF(BW5&gt;=Assumption!$D$4+12,"",BW5+1)</f>
        <v>70</v>
      </c>
      <c r="BY5">
        <f>IF(BX5&gt;=Assumption!$D$4+12,"",BX5+1)</f>
        <v>71</v>
      </c>
      <c r="BZ5">
        <f>IF(BY5&gt;=Assumption!$D$4+12,"",BY5+1)</f>
        <v>72</v>
      </c>
      <c r="CA5" t="str">
        <f>IF(BZ5&gt;=Assumption!$D$4+12,"",BZ5+1)</f>
        <v/>
      </c>
      <c r="CB5" t="str">
        <f>IF(CA5&gt;=Assumption!$D$4+12,"",CA5+1)</f>
        <v/>
      </c>
      <c r="CC5" t="str">
        <f>IF(CB5&gt;=Assumption!$D$4+12,"",CB5+1)</f>
        <v/>
      </c>
      <c r="CD5" t="str">
        <f>IF(CC5&gt;=Assumption!$D$4+12,"",CC5+1)</f>
        <v/>
      </c>
      <c r="CE5" t="str">
        <f>IF(CD5&gt;=Assumption!$D$4+12,"",CD5+1)</f>
        <v/>
      </c>
      <c r="CF5" t="str">
        <f>IF(CE5&gt;=Assumption!$D$4+12,"",CE5+1)</f>
        <v/>
      </c>
      <c r="CG5" t="str">
        <f>IF(CF5&gt;=Assumption!$D$4+12,"",CF5+1)</f>
        <v/>
      </c>
      <c r="CH5" t="str">
        <f>IF(CG5&gt;=Assumption!$D$4+12,"",CG5+1)</f>
        <v/>
      </c>
      <c r="CI5" t="str">
        <f>IF(CH5&gt;=Assumption!$D$4+12,"",CH5+1)</f>
        <v/>
      </c>
      <c r="CJ5" t="str">
        <f>IF(CI5&gt;=Assumption!$D$4+12,"",CI5+1)</f>
        <v/>
      </c>
      <c r="CK5" t="str">
        <f>IF(CJ5&gt;=Assumption!$D$4+12,"",CJ5+1)</f>
        <v/>
      </c>
      <c r="CL5" t="str">
        <f>IF(CK5&gt;=Assumption!$D$4+12,"",CK5+1)</f>
        <v/>
      </c>
      <c r="CM5" t="str">
        <f>IF(CL5&gt;=Assumption!$D$4+12,"",CL5+1)</f>
        <v/>
      </c>
      <c r="CN5" t="str">
        <f>IF(CM5&gt;=Assumption!$D$4+12,"",CM5+1)</f>
        <v/>
      </c>
      <c r="CO5" t="str">
        <f>IF(CN5&gt;=Assumption!$D$4+12,"",CN5+1)</f>
        <v/>
      </c>
    </row>
    <row r="6" spans="3:93" x14ac:dyDescent="0.2">
      <c r="C6" t="s">
        <v>16</v>
      </c>
      <c r="F6" s="39">
        <f>Assumption!D3</f>
        <v>44256</v>
      </c>
      <c r="G6" s="39">
        <f t="shared" ref="G6:AL6" si="3">IF(G$5="","",EOMONTH($F$6,G$5-1))</f>
        <v>44286</v>
      </c>
      <c r="H6" s="39">
        <f t="shared" si="3"/>
        <v>44316</v>
      </c>
      <c r="I6" s="39">
        <f t="shared" si="3"/>
        <v>44347</v>
      </c>
      <c r="J6" s="39">
        <f t="shared" si="3"/>
        <v>44377</v>
      </c>
      <c r="K6" s="39">
        <f t="shared" si="3"/>
        <v>44408</v>
      </c>
      <c r="L6" s="39">
        <f t="shared" si="3"/>
        <v>44439</v>
      </c>
      <c r="M6" s="39">
        <f t="shared" si="3"/>
        <v>44469</v>
      </c>
      <c r="N6" s="39">
        <f t="shared" si="3"/>
        <v>44500</v>
      </c>
      <c r="O6" s="39">
        <f t="shared" si="3"/>
        <v>44530</v>
      </c>
      <c r="P6" s="39">
        <f t="shared" si="3"/>
        <v>44561</v>
      </c>
      <c r="Q6" s="39">
        <f t="shared" si="3"/>
        <v>44592</v>
      </c>
      <c r="R6" s="39">
        <f t="shared" si="3"/>
        <v>44620</v>
      </c>
      <c r="S6" s="39">
        <f t="shared" si="3"/>
        <v>44651</v>
      </c>
      <c r="T6" s="39">
        <f t="shared" si="3"/>
        <v>44681</v>
      </c>
      <c r="U6" s="39">
        <f t="shared" si="3"/>
        <v>44712</v>
      </c>
      <c r="V6" s="39">
        <f t="shared" si="3"/>
        <v>44742</v>
      </c>
      <c r="W6" s="39">
        <f t="shared" si="3"/>
        <v>44773</v>
      </c>
      <c r="X6" s="39">
        <f t="shared" si="3"/>
        <v>44804</v>
      </c>
      <c r="Y6" s="39">
        <f t="shared" si="3"/>
        <v>44834</v>
      </c>
      <c r="Z6" s="39">
        <f t="shared" si="3"/>
        <v>44865</v>
      </c>
      <c r="AA6" s="39">
        <f t="shared" si="3"/>
        <v>44895</v>
      </c>
      <c r="AB6" s="39">
        <f t="shared" si="3"/>
        <v>44926</v>
      </c>
      <c r="AC6" s="39">
        <f t="shared" si="3"/>
        <v>44957</v>
      </c>
      <c r="AD6" s="39">
        <f t="shared" si="3"/>
        <v>44985</v>
      </c>
      <c r="AE6" s="39">
        <f t="shared" si="3"/>
        <v>45016</v>
      </c>
      <c r="AF6" s="39">
        <f t="shared" si="3"/>
        <v>45046</v>
      </c>
      <c r="AG6" s="39">
        <f t="shared" si="3"/>
        <v>45077</v>
      </c>
      <c r="AH6" s="39">
        <f t="shared" si="3"/>
        <v>45107</v>
      </c>
      <c r="AI6" s="39">
        <f t="shared" si="3"/>
        <v>45138</v>
      </c>
      <c r="AJ6" s="39">
        <f t="shared" si="3"/>
        <v>45169</v>
      </c>
      <c r="AK6" s="39">
        <f t="shared" si="3"/>
        <v>45199</v>
      </c>
      <c r="AL6" s="39">
        <f t="shared" si="3"/>
        <v>45230</v>
      </c>
      <c r="AM6" s="39">
        <f t="shared" ref="AM6:BR6" si="4">IF(AM$5="","",EOMONTH($F$6,AM$5-1))</f>
        <v>45260</v>
      </c>
      <c r="AN6" s="39">
        <f t="shared" si="4"/>
        <v>45291</v>
      </c>
      <c r="AO6" s="39">
        <f t="shared" si="4"/>
        <v>45322</v>
      </c>
      <c r="AP6" s="39">
        <f t="shared" si="4"/>
        <v>45351</v>
      </c>
      <c r="AQ6" s="39">
        <f t="shared" si="4"/>
        <v>45382</v>
      </c>
      <c r="AR6" s="39">
        <f t="shared" si="4"/>
        <v>45412</v>
      </c>
      <c r="AS6" s="39">
        <f t="shared" si="4"/>
        <v>45443</v>
      </c>
      <c r="AT6" s="39">
        <f t="shared" si="4"/>
        <v>45473</v>
      </c>
      <c r="AU6" s="39">
        <f t="shared" si="4"/>
        <v>45504</v>
      </c>
      <c r="AV6" s="39">
        <f t="shared" si="4"/>
        <v>45535</v>
      </c>
      <c r="AW6" s="39">
        <f t="shared" si="4"/>
        <v>45565</v>
      </c>
      <c r="AX6" s="39">
        <f t="shared" si="4"/>
        <v>45596</v>
      </c>
      <c r="AY6" s="39">
        <f t="shared" si="4"/>
        <v>45626</v>
      </c>
      <c r="AZ6" s="39">
        <f t="shared" si="4"/>
        <v>45657</v>
      </c>
      <c r="BA6" s="39">
        <f t="shared" si="4"/>
        <v>45688</v>
      </c>
      <c r="BB6" s="39">
        <f t="shared" si="4"/>
        <v>45716</v>
      </c>
      <c r="BC6" s="39">
        <f t="shared" si="4"/>
        <v>45747</v>
      </c>
      <c r="BD6" s="39">
        <f t="shared" si="4"/>
        <v>45777</v>
      </c>
      <c r="BE6" s="39">
        <f t="shared" si="4"/>
        <v>45808</v>
      </c>
      <c r="BF6" s="39">
        <f t="shared" si="4"/>
        <v>45838</v>
      </c>
      <c r="BG6" s="39">
        <f t="shared" si="4"/>
        <v>45869</v>
      </c>
      <c r="BH6" s="39">
        <f t="shared" si="4"/>
        <v>45900</v>
      </c>
      <c r="BI6" s="39">
        <f t="shared" si="4"/>
        <v>45930</v>
      </c>
      <c r="BJ6" s="39">
        <f t="shared" si="4"/>
        <v>45961</v>
      </c>
      <c r="BK6" s="39">
        <f t="shared" si="4"/>
        <v>45991</v>
      </c>
      <c r="BL6" s="39">
        <f t="shared" si="4"/>
        <v>46022</v>
      </c>
      <c r="BM6" s="39">
        <f t="shared" si="4"/>
        <v>46053</v>
      </c>
      <c r="BN6" s="39">
        <f t="shared" si="4"/>
        <v>46081</v>
      </c>
      <c r="BO6" s="39">
        <f t="shared" si="4"/>
        <v>46112</v>
      </c>
      <c r="BP6" s="39">
        <f t="shared" si="4"/>
        <v>46142</v>
      </c>
      <c r="BQ6" s="39">
        <f t="shared" si="4"/>
        <v>46173</v>
      </c>
      <c r="BR6" s="39">
        <f t="shared" si="4"/>
        <v>46203</v>
      </c>
      <c r="BS6" s="39">
        <f t="shared" ref="BS6:CO6" si="5">IF(BS$5="","",EOMONTH($F$6,BS$5-1))</f>
        <v>46234</v>
      </c>
      <c r="BT6" s="39">
        <f t="shared" si="5"/>
        <v>46265</v>
      </c>
      <c r="BU6" s="39">
        <f t="shared" si="5"/>
        <v>46295</v>
      </c>
      <c r="BV6" s="39">
        <f t="shared" si="5"/>
        <v>46326</v>
      </c>
      <c r="BW6" s="39">
        <f t="shared" si="5"/>
        <v>46356</v>
      </c>
      <c r="BX6" s="39">
        <f t="shared" si="5"/>
        <v>46387</v>
      </c>
      <c r="BY6" s="39">
        <f t="shared" si="5"/>
        <v>46418</v>
      </c>
      <c r="BZ6" s="39">
        <f t="shared" si="5"/>
        <v>46446</v>
      </c>
      <c r="CA6" s="39" t="str">
        <f t="shared" si="5"/>
        <v/>
      </c>
      <c r="CB6" s="39" t="str">
        <f t="shared" si="5"/>
        <v/>
      </c>
      <c r="CC6" s="39" t="str">
        <f t="shared" si="5"/>
        <v/>
      </c>
      <c r="CD6" s="39" t="str">
        <f t="shared" si="5"/>
        <v/>
      </c>
      <c r="CE6" s="39" t="str">
        <f t="shared" si="5"/>
        <v/>
      </c>
      <c r="CF6" s="39" t="str">
        <f t="shared" si="5"/>
        <v/>
      </c>
      <c r="CG6" s="39" t="str">
        <f t="shared" si="5"/>
        <v/>
      </c>
      <c r="CH6" s="39" t="str">
        <f t="shared" si="5"/>
        <v/>
      </c>
      <c r="CI6" s="39" t="str">
        <f t="shared" si="5"/>
        <v/>
      </c>
      <c r="CJ6" s="39" t="str">
        <f t="shared" si="5"/>
        <v/>
      </c>
      <c r="CK6" s="39" t="str">
        <f t="shared" si="5"/>
        <v/>
      </c>
      <c r="CL6" s="39" t="str">
        <f t="shared" si="5"/>
        <v/>
      </c>
      <c r="CM6" s="39" t="str">
        <f t="shared" si="5"/>
        <v/>
      </c>
      <c r="CN6" s="39" t="str">
        <f t="shared" si="5"/>
        <v/>
      </c>
      <c r="CO6" s="39" t="str">
        <f t="shared" si="5"/>
        <v/>
      </c>
    </row>
    <row r="8" spans="3:93" ht="19" x14ac:dyDescent="0.25">
      <c r="C8" s="66" t="s">
        <v>291</v>
      </c>
      <c r="D8" s="66"/>
      <c r="E8" s="66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</row>
    <row r="9" spans="3:93" x14ac:dyDescent="0.2">
      <c r="C9" s="67" t="s">
        <v>292</v>
      </c>
      <c r="D9" s="67"/>
      <c r="E9" s="67"/>
      <c r="F9" s="67"/>
      <c r="G9" s="193" t="s">
        <v>598</v>
      </c>
      <c r="H9" s="193"/>
      <c r="I9" s="193"/>
      <c r="J9" s="193"/>
      <c r="K9" s="193"/>
      <c r="L9" s="193"/>
      <c r="M9" s="193"/>
      <c r="N9" s="193"/>
      <c r="O9" s="193"/>
      <c r="P9" s="193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</row>
    <row r="10" spans="3:93" x14ac:dyDescent="0.2">
      <c r="C10" s="68" t="s">
        <v>304</v>
      </c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</row>
    <row r="11" spans="3:93" x14ac:dyDescent="0.2">
      <c r="C11" s="65" t="s">
        <v>307</v>
      </c>
      <c r="D11" s="65"/>
      <c r="E11" s="65"/>
      <c r="F11" s="71"/>
      <c r="G11" s="71" cm="1">
        <f t="array" ref="G11">IF(G$5="","",INDEX('Lease Roll Over'!$N$97:$CK$97,1,G$5))</f>
        <v>228981</v>
      </c>
      <c r="H11" s="71" cm="1">
        <f t="array" ref="H11">IF(H$5="","",INDEX('Lease Roll Over'!$N$97:$CK$97,1,H$5))</f>
        <v>228981</v>
      </c>
      <c r="I11" s="71" cm="1">
        <f t="array" ref="I11">IF(I$5="","",INDEX('Lease Roll Over'!$N$97:$CK$97,1,I$5))</f>
        <v>229161.9</v>
      </c>
      <c r="J11" s="71" cm="1">
        <f t="array" ref="J11">IF(J$5="","",INDEX('Lease Roll Over'!$N$97:$CK$97,1,J$5))</f>
        <v>229864.94999999998</v>
      </c>
      <c r="K11" s="71" cm="1">
        <f t="array" ref="K11">IF(K$5="","",INDEX('Lease Roll Over'!$N$97:$CK$97,1,K$5))</f>
        <v>230124.50999999998</v>
      </c>
      <c r="L11" s="71" cm="1">
        <f t="array" ref="L11">IF(L$5="","",INDEX('Lease Roll Over'!$N$97:$CK$97,1,L$5))</f>
        <v>230972.03999999998</v>
      </c>
      <c r="M11" s="71" cm="1">
        <f t="array" ref="M11">IF(M$5="","",INDEX('Lease Roll Over'!$N$97:$CK$97,1,M$5))</f>
        <v>230972.03999999998</v>
      </c>
      <c r="N11" s="71" cm="1">
        <f t="array" ref="N11">IF(N$5="","",INDEX('Lease Roll Over'!$N$97:$CK$97,1,N$5))</f>
        <v>231338.49</v>
      </c>
      <c r="O11" s="71" cm="1">
        <f t="array" ref="O11">IF(O$5="","",INDEX('Lease Roll Over'!$N$97:$CK$97,1,O$5))</f>
        <v>230570.49</v>
      </c>
      <c r="P11" s="71" cm="1">
        <f t="array" ref="P11">IF(P$5="","",INDEX('Lease Roll Over'!$N$97:$CK$97,1,P$5))</f>
        <v>230612.99</v>
      </c>
      <c r="Q11" s="71" cm="1">
        <f t="array" ref="Q11">IF(Q$5="","",INDEX('Lease Roll Over'!$N$97:$CK$97,1,Q$5))</f>
        <v>231413.54</v>
      </c>
      <c r="R11" s="71" cm="1">
        <f t="array" ref="R11">IF(R$5="","",INDEX('Lease Roll Over'!$N$97:$CK$97,1,R$5))</f>
        <v>230176.04</v>
      </c>
      <c r="S11" s="71" cm="1">
        <f t="array" ref="S11">IF(S$5="","",INDEX('Lease Roll Over'!$N$97:$CK$97,1,S$5))</f>
        <v>232454.24</v>
      </c>
      <c r="T11" s="71" cm="1">
        <f t="array" ref="T11">IF(T$5="","",INDEX('Lease Roll Over'!$N$97:$CK$97,1,T$5))</f>
        <v>232454.24</v>
      </c>
      <c r="U11" s="71" cm="1">
        <f t="array" ref="U11">IF(U$5="","",INDEX('Lease Roll Over'!$N$97:$CK$97,1,U$5))</f>
        <v>232193.34</v>
      </c>
      <c r="V11" s="71" cm="1">
        <f t="array" ref="V11">IF(V$5="","",INDEX('Lease Roll Over'!$N$97:$CK$97,1,V$5))</f>
        <v>232917.48149999997</v>
      </c>
      <c r="W11" s="71" cm="1">
        <f t="array" ref="W11">IF(W$5="","",INDEX('Lease Roll Over'!$N$97:$CK$97,1,W$5))</f>
        <v>233184.82829999996</v>
      </c>
      <c r="X11" s="71" cm="1">
        <f t="array" ref="X11">IF(X$5="","",INDEX('Lease Roll Over'!$N$97:$CK$97,1,X$5))</f>
        <v>234057.78419999997</v>
      </c>
      <c r="Y11" s="71" cm="1">
        <f t="array" ref="Y11">IF(Y$5="","",INDEX('Lease Roll Over'!$N$97:$CK$97,1,Y$5))</f>
        <v>233111.73419999998</v>
      </c>
      <c r="Z11" s="71" cm="1">
        <f t="array" ref="Z11">IF(Z$5="","",INDEX('Lease Roll Over'!$N$97:$CK$97,1,Z$5))</f>
        <v>230942.78419999999</v>
      </c>
      <c r="AA11" s="71" cm="1">
        <f t="array" ref="AA11">IF(AA$5="","",INDEX('Lease Roll Over'!$N$97:$CK$97,1,AA$5))</f>
        <v>230296.61420000001</v>
      </c>
      <c r="AB11" s="71" cm="1">
        <f t="array" ref="AB11">IF(AB$5="","",INDEX('Lease Roll Over'!$N$97:$CK$97,1,AB$5))</f>
        <v>230492.96420000002</v>
      </c>
      <c r="AC11" s="71" cm="1">
        <f t="array" ref="AC11">IF(AC$5="","",INDEX('Lease Roll Over'!$N$97:$CK$97,1,AC$5))</f>
        <v>231317.5307</v>
      </c>
      <c r="AD11" s="71" cm="1">
        <f t="array" ref="AD11">IF(AD$5="","",INDEX('Lease Roll Over'!$N$97:$CK$97,1,AD$5))</f>
        <v>231771.2807</v>
      </c>
      <c r="AE11" s="71" cm="1">
        <f t="array" ref="AE11">IF(AE$5="","",INDEX('Lease Roll Over'!$N$97:$CK$97,1,AE$5))</f>
        <v>230938.7807</v>
      </c>
      <c r="AF11" s="71" cm="1">
        <f t="array" ref="AF11">IF(AF$5="","",INDEX('Lease Roll Over'!$N$97:$CK$97,1,AF$5))</f>
        <v>230938.7807</v>
      </c>
      <c r="AG11" s="71" cm="1">
        <f t="array" ref="AG11">IF(AG$5="","",INDEX('Lease Roll Over'!$N$97:$CK$97,1,AG$5))</f>
        <v>231010.1807</v>
      </c>
      <c r="AH11" s="71" cm="1">
        <f t="array" ref="AH11">IF(AH$5="","",INDEX('Lease Roll Over'!$N$97:$CK$97,1,AH$5))</f>
        <v>231756.04644500001</v>
      </c>
      <c r="AI11" s="71" cm="1">
        <f t="array" ref="AI11">IF(AI$5="","",INDEX('Lease Roll Over'!$N$97:$CK$97,1,AI$5))</f>
        <v>239237.13964500002</v>
      </c>
      <c r="AJ11" s="71" cm="1">
        <f t="array" ref="AJ11">IF(AJ$5="","",INDEX('Lease Roll Over'!$N$97:$CK$97,1,AJ$5))</f>
        <v>235193.37374500002</v>
      </c>
      <c r="AK11" s="71" cm="1">
        <f t="array" ref="AK11">IF(AK$5="","",INDEX('Lease Roll Over'!$N$97:$CK$97,1,AK$5))</f>
        <v>236139.42374500001</v>
      </c>
      <c r="AL11" s="71" cm="1">
        <f t="array" ref="AL11">IF(AL$5="","",INDEX('Lease Roll Over'!$N$97:$CK$97,1,AL$5))</f>
        <v>236264.37374499999</v>
      </c>
      <c r="AM11" s="71" cm="1">
        <f t="array" ref="AM11">IF(AM$5="","",INDEX('Lease Roll Over'!$N$97:$CK$97,1,AM$5))</f>
        <v>237374.35814499998</v>
      </c>
      <c r="AN11" s="71" cm="1">
        <f t="array" ref="AN11">IF(AN$5="","",INDEX('Lease Roll Over'!$N$97:$CK$97,1,AN$5))</f>
        <v>237729.59864499999</v>
      </c>
      <c r="AO11" s="71" cm="1">
        <f t="array" ref="AO11">IF(AO$5="","",INDEX('Lease Roll Over'!$N$97:$CK$97,1,AO$5))</f>
        <v>237022.07061999998</v>
      </c>
      <c r="AP11" s="71" cm="1">
        <f t="array" ref="AP11">IF(AP$5="","",INDEX('Lease Roll Over'!$N$97:$CK$97,1,AP$5))</f>
        <v>237596.53311999998</v>
      </c>
      <c r="AQ11" s="71" cm="1">
        <f t="array" ref="AQ11">IF(AQ$5="","",INDEX('Lease Roll Over'!$N$97:$CK$97,1,AQ$5))</f>
        <v>237775.03311999998</v>
      </c>
      <c r="AR11" s="71" cm="1">
        <f t="array" ref="AR11">IF(AR$5="","",INDEX('Lease Roll Over'!$N$97:$CK$97,1,AR$5))</f>
        <v>237775.03311999998</v>
      </c>
      <c r="AS11" s="71" cm="1">
        <f t="array" ref="AS11">IF(AS$5="","",INDEX('Lease Roll Over'!$N$97:$CK$97,1,AS$5))</f>
        <v>237848.57511999996</v>
      </c>
      <c r="AT11" s="71" cm="1">
        <f t="array" ref="AT11">IF(AT$5="","",INDEX('Lease Roll Over'!$N$97:$CK$97,1,AT$5))</f>
        <v>238616.81683734996</v>
      </c>
      <c r="AU11" s="71" cm="1">
        <f t="array" ref="AU11">IF(AU$5="","",INDEX('Lease Roll Over'!$N$97:$CK$97,1,AU$5))</f>
        <v>239004.16183734997</v>
      </c>
      <c r="AV11" s="71" cm="1">
        <f t="array" ref="AV11">IF(AV$5="","",INDEX('Lease Roll Over'!$N$97:$CK$97,1,AV$5))</f>
        <v>239664.18343734997</v>
      </c>
      <c r="AW11" s="71" cm="1">
        <f t="array" ref="AW11">IF(AW$5="","",INDEX('Lease Roll Over'!$N$97:$CK$97,1,AW$5))</f>
        <v>240638.61493734998</v>
      </c>
      <c r="AX11" s="71" cm="1">
        <f t="array" ref="AX11">IF(AX$5="","",INDEX('Lease Roll Over'!$N$97:$CK$97,1,AX$5))</f>
        <v>240767.31343734995</v>
      </c>
      <c r="AY11" s="71" cm="1">
        <f t="array" ref="AY11">IF(AY$5="","",INDEX('Lease Roll Over'!$N$97:$CK$97,1,AY$5))</f>
        <v>241910.59736934997</v>
      </c>
      <c r="AZ11" s="71" cm="1">
        <f t="array" ref="AZ11">IF(AZ$5="","",INDEX('Lease Roll Over'!$N$97:$CK$97,1,AZ$5))</f>
        <v>242544.24508434994</v>
      </c>
      <c r="BA11" s="71" cm="1">
        <f t="array" ref="BA11">IF(BA$5="","",INDEX('Lease Roll Over'!$N$97:$CK$97,1,BA$5))</f>
        <v>243051.02273859998</v>
      </c>
      <c r="BB11" s="71" cm="1">
        <f t="array" ref="BB11">IF(BB$5="","",INDEX('Lease Roll Over'!$N$97:$CK$97,1,BB$5))</f>
        <v>243642.71911359997</v>
      </c>
      <c r="BC11" s="71" cm="1">
        <f t="array" ref="BC11">IF(BC$5="","",INDEX('Lease Roll Over'!$N$97:$CK$97,1,BC$5))</f>
        <v>243826.57411359996</v>
      </c>
      <c r="BD11" s="71" cm="1">
        <f t="array" ref="BD11">IF(BD$5="","",INDEX('Lease Roll Over'!$N$97:$CK$97,1,BD$5))</f>
        <v>244126.45411359996</v>
      </c>
      <c r="BE11" s="71" cm="1">
        <f t="array" ref="BE11">IF(BE$5="","",INDEX('Lease Roll Over'!$N$97:$CK$97,1,BE$5))</f>
        <v>244662.73237359995</v>
      </c>
      <c r="BF11" s="71" cm="1">
        <f t="array" ref="BF11">IF(BF$5="","",INDEX('Lease Roll Over'!$N$97:$CK$97,1,BF$5))</f>
        <v>245454.02134247049</v>
      </c>
      <c r="BG11" s="71" cm="1">
        <f t="array" ref="BG11">IF(BG$5="","",INDEX('Lease Roll Over'!$N$97:$CK$97,1,BG$5))</f>
        <v>245852.98669247044</v>
      </c>
      <c r="BH11" s="71" cm="1">
        <f t="array" ref="BH11">IF(BH$5="","",INDEX('Lease Roll Over'!$N$97:$CK$97,1,BH$5))</f>
        <v>246532.80894047045</v>
      </c>
      <c r="BI11" s="71" cm="1">
        <f t="array" ref="BI11">IF(BI$5="","",INDEX('Lease Roll Over'!$N$97:$CK$97,1,BI$5))</f>
        <v>247536.47338547045</v>
      </c>
      <c r="BJ11" s="71" cm="1">
        <f t="array" ref="BJ11">IF(BJ$5="","",INDEX('Lease Roll Over'!$N$97:$CK$97,1,BJ$5))</f>
        <v>247990.33284047048</v>
      </c>
      <c r="BK11" s="71" cm="1">
        <f t="array" ref="BK11">IF(BK$5="","",INDEX('Lease Roll Over'!$N$97:$CK$97,1,BK$5))</f>
        <v>249167.91529043048</v>
      </c>
      <c r="BL11" s="71" cm="1">
        <f t="array" ref="BL11">IF(BL$5="","",INDEX('Lease Roll Over'!$N$97:$CK$97,1,BL$5))</f>
        <v>249820.57243688047</v>
      </c>
      <c r="BM11" s="71" cm="1">
        <f t="array" ref="BM11">IF(BM$5="","",INDEX('Lease Roll Over'!$N$97:$CK$97,1,BM$5))</f>
        <v>250342.55342075796</v>
      </c>
      <c r="BN11" s="71" cm="1">
        <f t="array" ref="BN11">IF(BN$5="","",INDEX('Lease Roll Over'!$N$97:$CK$97,1,BN$5))</f>
        <v>250952.00068700797</v>
      </c>
      <c r="BO11" s="71" cm="1">
        <f t="array" ref="BO11">IF(BO$5="","",INDEX('Lease Roll Over'!$N$97:$CK$97,1,BO$5))</f>
        <v>251141.37133700796</v>
      </c>
      <c r="BP11" s="71" cm="1">
        <f t="array" ref="BP11">IF(BP$5="","",INDEX('Lease Roll Over'!$N$97:$CK$97,1,BP$5))</f>
        <v>251450.24773700794</v>
      </c>
      <c r="BQ11" s="71" cm="1">
        <f t="array" ref="BQ11">IF(BQ$5="","",INDEX('Lease Roll Over'!$N$97:$CK$97,1,BQ$5))</f>
        <v>252002.61434480795</v>
      </c>
      <c r="BR11" s="71" cm="1">
        <f t="array" ref="BR11">IF(BR$5="","",INDEX('Lease Roll Over'!$N$97:$CK$97,1,BR$5))</f>
        <v>252817.64198274459</v>
      </c>
      <c r="BS11" s="71" cm="1">
        <f t="array" ref="BS11">IF(BS$5="","",INDEX('Lease Roll Over'!$N$97:$CK$97,1,BS$5))</f>
        <v>253228.57629324461</v>
      </c>
      <c r="BT11" s="71" cm="1">
        <f t="array" ref="BT11">IF(BT$5="","",INDEX('Lease Roll Over'!$N$97:$CK$97,1,BT$5))</f>
        <v>253928.7932086846</v>
      </c>
      <c r="BU11" s="71" cm="1">
        <f t="array" ref="BU11">IF(BU$5="","",INDEX('Lease Roll Over'!$N$97:$CK$97,1,BU$5))</f>
        <v>254962.5675870346</v>
      </c>
      <c r="BV11" s="71" cm="1">
        <f t="array" ref="BV11">IF(BV$5="","",INDEX('Lease Roll Over'!$N$97:$CK$97,1,BV$5))</f>
        <v>255430.04282568462</v>
      </c>
      <c r="BW11" s="71" cm="1">
        <f t="array" ref="BW11">IF(BW$5="","",INDEX('Lease Roll Over'!$N$97:$CK$97,1,BW$5))</f>
        <v>247813.92139927461</v>
      </c>
      <c r="BX11" s="71" cm="1">
        <f t="array" ref="BX11">IF(BX$5="","",INDEX('Lease Roll Over'!$N$97:$CK$97,1,BX$5))</f>
        <v>247803.56332911813</v>
      </c>
      <c r="BY11" s="71" cm="1">
        <f t="array" ref="BY11">IF(BY$5="","",INDEX('Lease Roll Over'!$N$97:$CK$97,1,BY$5))</f>
        <v>248341.20374251195</v>
      </c>
      <c r="BZ11" s="71" cm="1">
        <f t="array" ref="BZ11">IF(BZ$5="","",INDEX('Lease Roll Over'!$N$97:$CK$97,1,BZ$5))</f>
        <v>247797.41405296192</v>
      </c>
      <c r="CA11" s="79" t="str" cm="1">
        <f t="array" ref="CA11">IF(CA$5="","",INDEX('Lease Roll Over'!$N$61:$CK$61,1,CA$5))</f>
        <v/>
      </c>
      <c r="CB11" s="79" t="str" cm="1">
        <f t="array" ref="CB11">IF(CB$5="","",INDEX('Lease Roll Over'!$N$61:$CK$61,1,CB$5))</f>
        <v/>
      </c>
      <c r="CC11" s="79" t="str" cm="1">
        <f t="array" ref="CC11">IF(CC$5="","",INDEX('Lease Roll Over'!$N$61:$CK$61,1,CC$5))</f>
        <v/>
      </c>
      <c r="CD11" s="79" t="str" cm="1">
        <f t="array" ref="CD11">IF(CD$5="","",INDEX('Lease Roll Over'!$N$61:$CK$61,1,CD$5))</f>
        <v/>
      </c>
      <c r="CE11" s="79" t="str" cm="1">
        <f t="array" ref="CE11">IF(CE$5="","",INDEX('Lease Roll Over'!$N$61:$CK$61,1,CE$5))</f>
        <v/>
      </c>
      <c r="CF11" s="79" t="str" cm="1">
        <f t="array" ref="CF11">IF(CF$5="","",INDEX('Lease Roll Over'!$N$61:$CK$61,1,CF$5))</f>
        <v/>
      </c>
      <c r="CG11" s="79" t="str" cm="1">
        <f t="array" ref="CG11">IF(CG$5="","",INDEX('Lease Roll Over'!$N$61:$CK$61,1,CG$5))</f>
        <v/>
      </c>
      <c r="CH11" s="79" t="str" cm="1">
        <f t="array" ref="CH11">IF(CH$5="","",INDEX('Lease Roll Over'!$N$61:$CK$61,1,CH$5))</f>
        <v/>
      </c>
      <c r="CI11" s="79" t="str" cm="1">
        <f t="array" ref="CI11">IF(CI$5="","",INDEX('Lease Roll Over'!$N$61:$CK$61,1,CI$5))</f>
        <v/>
      </c>
      <c r="CJ11" s="79" t="str" cm="1">
        <f t="array" ref="CJ11">IF(CJ$5="","",INDEX('Lease Roll Over'!$N$61:$CK$61,1,CJ$5))</f>
        <v/>
      </c>
      <c r="CK11" s="79" t="str" cm="1">
        <f t="array" ref="CK11">IF(CK$5="","",INDEX('Lease Roll Over'!$N$61:$CK$61,1,CK$5))</f>
        <v/>
      </c>
      <c r="CL11" s="79" t="str" cm="1">
        <f t="array" ref="CL11">IF(CL$5="","",INDEX('Lease Roll Over'!$N$61:$CK$61,1,CL$5))</f>
        <v/>
      </c>
      <c r="CM11" s="79" t="str" cm="1">
        <f t="array" ref="CM11">IF(CM$5="","",INDEX('Lease Roll Over'!$N$61:$CK$61,1,CM$5))</f>
        <v/>
      </c>
      <c r="CN11" s="79" t="str" cm="1">
        <f t="array" ref="CN11">IF(CN$5="","",INDEX('Lease Roll Over'!$N$61:$CK$61,1,CN$5))</f>
        <v/>
      </c>
      <c r="CO11" s="79" t="str" cm="1">
        <f t="array" ref="CO11">IF(CO$5="","",INDEX('Lease Roll Over'!$N$61:$CK$61,1,CO$5))</f>
        <v/>
      </c>
    </row>
    <row r="12" spans="3:93" x14ac:dyDescent="0.2">
      <c r="C12" s="65" t="s">
        <v>308</v>
      </c>
      <c r="D12" s="65"/>
      <c r="E12" s="65"/>
      <c r="F12" s="71"/>
      <c r="G12" s="71" cm="1">
        <f t="array" ref="G12">IF(G$5="","",INDEX('Lease Roll Over'!$N$62:$CK$62,1,G$5)-G11)</f>
        <v>-88655</v>
      </c>
      <c r="H12" s="71" cm="1">
        <f t="array" ref="H12">IF(H$5="","",INDEX('Lease Roll Over'!$N$62:$CK$62,1,H$5)-H11)</f>
        <v>-88655</v>
      </c>
      <c r="I12" s="71" cm="1">
        <f t="array" ref="I12">IF(I$5="","",INDEX('Lease Roll Over'!$N$62:$CK$62,1,I$5)-I11)</f>
        <v>-88655</v>
      </c>
      <c r="J12" s="71" cm="1">
        <f t="array" ref="J12">IF(J$5="","",INDEX('Lease Roll Over'!$N$62:$CK$62,1,J$5)-J11)</f>
        <v>-88655</v>
      </c>
      <c r="K12" s="71" cm="1">
        <f t="array" ref="K12">IF(K$5="","",INDEX('Lease Roll Over'!$N$62:$CK$62,1,K$5)-K11)</f>
        <v>-88655</v>
      </c>
      <c r="L12" s="71" cm="1">
        <f t="array" ref="L12">IF(L$5="","",INDEX('Lease Roll Over'!$N$62:$CK$62,1,L$5)-L11)</f>
        <v>-88655</v>
      </c>
      <c r="M12" s="71" cm="1">
        <f t="array" ref="M12">IF(M$5="","",INDEX('Lease Roll Over'!$N$62:$CK$62,1,M$5)-M11)</f>
        <v>-88655</v>
      </c>
      <c r="N12" s="71" cm="1">
        <f t="array" ref="N12">IF(N$5="","",INDEX('Lease Roll Over'!$N$62:$CK$62,1,N$5)-N11)</f>
        <v>-88655</v>
      </c>
      <c r="O12" s="71" cm="1">
        <f t="array" ref="O12">IF(O$5="","",INDEX('Lease Roll Over'!$N$62:$CK$62,1,O$5)-O11)</f>
        <v>-100078.99999999999</v>
      </c>
      <c r="P12" s="71" cm="1">
        <f t="array" ref="P12">IF(P$5="","",INDEX('Lease Roll Over'!$N$62:$CK$62,1,P$5)-P11)</f>
        <v>-88476.5</v>
      </c>
      <c r="Q12" s="71" cm="1">
        <f t="array" ref="Q12">IF(Q$5="","",INDEX('Lease Roll Over'!$N$62:$CK$62,1,Q$5)-Q11)</f>
        <v>-88476.5</v>
      </c>
      <c r="R12" s="71" cm="1">
        <f t="array" ref="R12">IF(R$5="","",INDEX('Lease Roll Over'!$N$62:$CK$62,1,R$5)-R11)</f>
        <v>-72114</v>
      </c>
      <c r="S12" s="71" cm="1">
        <f t="array" ref="S12">IF(S$5="","",INDEX('Lease Roll Over'!$N$62:$CK$62,1,S$5)-S11)</f>
        <v>-73934.699999999983</v>
      </c>
      <c r="T12" s="71" cm="1">
        <f t="array" ref="T12">IF(T$5="","",INDEX('Lease Roll Over'!$N$62:$CK$62,1,T$5)-T11)</f>
        <v>-73934.699999999983</v>
      </c>
      <c r="U12" s="71" cm="1">
        <f t="array" ref="U12">IF(U$5="","",INDEX('Lease Roll Over'!$N$62:$CK$62,1,U$5)-U11)</f>
        <v>-77504.699999999983</v>
      </c>
      <c r="V12" s="71" cm="1">
        <f t="array" ref="V12">IF(V$5="","",INDEX('Lease Roll Over'!$N$62:$CK$62,1,V$5)-V11)</f>
        <v>-77504.699999999983</v>
      </c>
      <c r="W12" s="71" cm="1">
        <f t="array" ref="W12">IF(W$5="","",INDEX('Lease Roll Over'!$N$62:$CK$62,1,W$5)-W11)</f>
        <v>-77504.699999999983</v>
      </c>
      <c r="X12" s="71" cm="1">
        <f t="array" ref="X12">IF(X$5="","",INDEX('Lease Roll Over'!$N$62:$CK$62,1,X$5)-X11)</f>
        <v>-66080.699999999983</v>
      </c>
      <c r="Y12" s="71" cm="1">
        <f t="array" ref="Y12">IF(Y$5="","",INDEX('Lease Roll Over'!$N$62:$CK$62,1,Y$5)-Y11)</f>
        <v>-33599.649999999994</v>
      </c>
      <c r="Z12" s="71" cm="1">
        <f t="array" ref="Z12">IF(Z$5="","",INDEX('Lease Roll Over'!$N$62:$CK$62,1,Z$5)-Z11)</f>
        <v>-39847.149999999994</v>
      </c>
      <c r="AA12" s="71" cm="1">
        <f t="array" ref="AA12">IF(AA$5="","",INDEX('Lease Roll Over'!$N$62:$CK$62,1,AA$5)-AA11)</f>
        <v>-9817.5</v>
      </c>
      <c r="AB12" s="71" cm="1">
        <f t="array" ref="AB12">IF(AB$5="","",INDEX('Lease Roll Over'!$N$62:$CK$62,1,AB$5)-AB11)</f>
        <v>-9817.5</v>
      </c>
      <c r="AC12" s="71" cm="1">
        <f t="array" ref="AC12">IF(AC$5="","",INDEX('Lease Roll Over'!$N$62:$CK$62,1,AC$5)-AC11)</f>
        <v>-9817.5</v>
      </c>
      <c r="AD12" s="71" cm="1">
        <f t="array" ref="AD12">IF(AD$5="","",INDEX('Lease Roll Over'!$N$62:$CK$62,1,AD$5)-AD11)</f>
        <v>-6247.5</v>
      </c>
      <c r="AE12" s="71" cm="1">
        <f t="array" ref="AE12">IF(AE$5="","",INDEX('Lease Roll Over'!$N$62:$CK$62,1,AE$5)-AE11)</f>
        <v>-15172.5</v>
      </c>
      <c r="AF12" s="71" cm="1">
        <f t="array" ref="AF12">IF(AF$5="","",INDEX('Lease Roll Over'!$N$62:$CK$62,1,AF$5)-AF11)</f>
        <v>-15172.5</v>
      </c>
      <c r="AG12" s="71" cm="1">
        <f t="array" ref="AG12">IF(AG$5="","",INDEX('Lease Roll Over'!$N$62:$CK$62,1,AG$5)-AG11)</f>
        <v>-15172.5</v>
      </c>
      <c r="AH12" s="71" cm="1">
        <f t="array" ref="AH12">IF(AH$5="","",INDEX('Lease Roll Over'!$N$62:$CK$62,1,AH$5)-AH11)</f>
        <v>-15172.5</v>
      </c>
      <c r="AI12" s="71" cm="1">
        <f t="array" ref="AI12">IF(AI$5="","",INDEX('Lease Roll Over'!$N$62:$CK$62,1,AI$5)-AI11)</f>
        <v>-18921</v>
      </c>
      <c r="AJ12" s="71" cm="1">
        <f t="array" ref="AJ12">IF(AJ$5="","",INDEX('Lease Roll Over'!$N$62:$CK$62,1,AJ$5)-AJ11)</f>
        <v>-34272</v>
      </c>
      <c r="AK12" s="71" cm="1">
        <f t="array" ref="AK12">IF(AK$5="","",INDEX('Lease Roll Over'!$N$62:$CK$62,1,AK$5)-AK11)</f>
        <v>-34272</v>
      </c>
      <c r="AL12" s="71" cm="1">
        <f t="array" ref="AL12">IF(AL$5="","",INDEX('Lease Roll Over'!$N$62:$CK$62,1,AL$5)-AL11)</f>
        <v>-34272</v>
      </c>
      <c r="AM12" s="71" cm="1">
        <f t="array" ref="AM12">IF(AM$5="","",INDEX('Lease Roll Over'!$N$62:$CK$62,1,AM$5)-AM11)</f>
        <v>-34272</v>
      </c>
      <c r="AN12" s="71" cm="1">
        <f t="array" ref="AN12">IF(AN$5="","",INDEX('Lease Roll Over'!$N$62:$CK$62,1,AN$5)-AN11)</f>
        <v>-25347</v>
      </c>
      <c r="AO12" s="71" cm="1">
        <f t="array" ref="AO12">IF(AO$5="","",INDEX('Lease Roll Over'!$N$62:$CK$62,1,AO$5)-AO11)</f>
        <v>-36057</v>
      </c>
      <c r="AP12" s="71" cm="1">
        <f t="array" ref="AP12">IF(AP$5="","",INDEX('Lease Roll Over'!$N$62:$CK$62,1,AP$5)-AP11)</f>
        <v>-36057</v>
      </c>
      <c r="AQ12" s="71" cm="1">
        <f t="array" ref="AQ12">IF(AQ$5="","",INDEX('Lease Roll Over'!$N$62:$CK$62,1,AQ$5)-AQ11)</f>
        <v>-36057</v>
      </c>
      <c r="AR12" s="71" cm="1">
        <f t="array" ref="AR12">IF(AR$5="","",INDEX('Lease Roll Over'!$N$62:$CK$62,1,AR$5)-AR11)</f>
        <v>-26061</v>
      </c>
      <c r="AS12" s="71" cm="1">
        <f t="array" ref="AS12">IF(AS$5="","",INDEX('Lease Roll Over'!$N$62:$CK$62,1,AS$5)-AS11)</f>
        <v>-10710</v>
      </c>
      <c r="AT12" s="71" cm="1">
        <f t="array" ref="AT12">IF(AT$5="","",INDEX('Lease Roll Over'!$N$62:$CK$62,1,AT$5)-AT11)</f>
        <v>-10710</v>
      </c>
      <c r="AU12" s="71" cm="1">
        <f t="array" ref="AU12">IF(AU$5="","",INDEX('Lease Roll Over'!$N$62:$CK$62,1,AU$5)-AU11)</f>
        <v>-10710</v>
      </c>
      <c r="AV12" s="71" cm="1">
        <f t="array" ref="AV12">IF(AV$5="","",INDEX('Lease Roll Over'!$N$62:$CK$62,1,AV$5)-AV11)</f>
        <v>-10710</v>
      </c>
      <c r="AW12" s="71" cm="1">
        <f t="array" ref="AW12">IF(AW$5="","",INDEX('Lease Roll Over'!$N$62:$CK$62,1,AW$5)-AW11)</f>
        <v>-10710</v>
      </c>
      <c r="AX12" s="71" cm="1">
        <f t="array" ref="AX12">IF(AX$5="","",INDEX('Lease Roll Over'!$N$62:$CK$62,1,AX$5)-AX11)</f>
        <v>0</v>
      </c>
      <c r="AY12" s="71" cm="1">
        <f t="array" ref="AY12">IF(AY$5="","",INDEX('Lease Roll Over'!$N$62:$CK$62,1,AY$5)-AY11)</f>
        <v>0</v>
      </c>
      <c r="AZ12" s="71" cm="1">
        <f t="array" ref="AZ12">IF(AZ$5="","",INDEX('Lease Roll Over'!$N$62:$CK$62,1,AZ$5)-AZ11)</f>
        <v>0</v>
      </c>
      <c r="BA12" s="71" cm="1">
        <f t="array" ref="BA12">IF(BA$5="","",INDEX('Lease Roll Over'!$N$62:$CK$62,1,BA$5)-BA11)</f>
        <v>0</v>
      </c>
      <c r="BB12" s="71" cm="1">
        <f t="array" ref="BB12">IF(BB$5="","",INDEX('Lease Roll Over'!$N$62:$CK$62,1,BB$5)-BB11)</f>
        <v>0</v>
      </c>
      <c r="BC12" s="71" cm="1">
        <f t="array" ref="BC12">IF(BC$5="","",INDEX('Lease Roll Over'!$N$62:$CK$62,1,BC$5)-BC11)</f>
        <v>0</v>
      </c>
      <c r="BD12" s="71" cm="1">
        <f t="array" ref="BD12">IF(BD$5="","",INDEX('Lease Roll Over'!$N$62:$CK$62,1,BD$5)-BD11)</f>
        <v>0</v>
      </c>
      <c r="BE12" s="71" cm="1">
        <f t="array" ref="BE12">IF(BE$5="","",INDEX('Lease Roll Over'!$N$62:$CK$62,1,BE$5)-BE11)</f>
        <v>0</v>
      </c>
      <c r="BF12" s="71" cm="1">
        <f t="array" ref="BF12">IF(BF$5="","",INDEX('Lease Roll Over'!$N$62:$CK$62,1,BF$5)-BF11)</f>
        <v>0</v>
      </c>
      <c r="BG12" s="71" cm="1">
        <f t="array" ref="BG12">IF(BG$5="","",INDEX('Lease Roll Over'!$N$62:$CK$62,1,BG$5)-BG11)</f>
        <v>0</v>
      </c>
      <c r="BH12" s="71" cm="1">
        <f t="array" ref="BH12">IF(BH$5="","",INDEX('Lease Roll Over'!$N$62:$CK$62,1,BH$5)-BH11)</f>
        <v>0</v>
      </c>
      <c r="BI12" s="71" cm="1">
        <f t="array" ref="BI12">IF(BI$5="","",INDEX('Lease Roll Over'!$N$62:$CK$62,1,BI$5)-BI11)</f>
        <v>0</v>
      </c>
      <c r="BJ12" s="71" cm="1">
        <f t="array" ref="BJ12">IF(BJ$5="","",INDEX('Lease Roll Over'!$N$62:$CK$62,1,BJ$5)-BJ11)</f>
        <v>0</v>
      </c>
      <c r="BK12" s="71" cm="1">
        <f t="array" ref="BK12">IF(BK$5="","",INDEX('Lease Roll Over'!$N$62:$CK$62,1,BK$5)-BK11)</f>
        <v>0</v>
      </c>
      <c r="BL12" s="71" cm="1">
        <f t="array" ref="BL12">IF(BL$5="","",INDEX('Lease Roll Over'!$N$62:$CK$62,1,BL$5)-BL11)</f>
        <v>0</v>
      </c>
      <c r="BM12" s="71" cm="1">
        <f t="array" ref="BM12">IF(BM$5="","",INDEX('Lease Roll Over'!$N$62:$CK$62,1,BM$5)-BM11)</f>
        <v>0</v>
      </c>
      <c r="BN12" s="71" cm="1">
        <f t="array" ref="BN12">IF(BN$5="","",INDEX('Lease Roll Over'!$N$62:$CK$62,1,BN$5)-BN11)</f>
        <v>0</v>
      </c>
      <c r="BO12" s="79" cm="1">
        <f t="array" ref="BO12">IF(BO$5="","",INDEX('Lease Roll Over'!$N$62:$CK$62,1,BO$5)-BO11)</f>
        <v>0</v>
      </c>
      <c r="BP12" s="79" cm="1">
        <f t="array" ref="BP12">IF(BP$5="","",INDEX('Lease Roll Over'!$N$62:$CK$62,1,BP$5)-BP11)</f>
        <v>0</v>
      </c>
      <c r="BQ12" s="79" cm="1">
        <f t="array" ref="BQ12">IF(BQ$5="","",INDEX('Lease Roll Over'!$N$62:$CK$62,1,BQ$5)-BQ11)</f>
        <v>0</v>
      </c>
      <c r="BR12" s="79" cm="1">
        <f t="array" ref="BR12">IF(BR$5="","",INDEX('Lease Roll Over'!$N$62:$CK$62,1,BR$5)-BR11)</f>
        <v>0</v>
      </c>
      <c r="BS12" s="79" cm="1">
        <f t="array" ref="BS12">IF(BS$5="","",INDEX('Lease Roll Over'!$N$62:$CK$62,1,BS$5)-BS11)</f>
        <v>0</v>
      </c>
      <c r="BT12" s="79" cm="1">
        <f t="array" ref="BT12">IF(BT$5="","",INDEX('Lease Roll Over'!$N$62:$CK$62,1,BT$5)-BT11)</f>
        <v>0</v>
      </c>
      <c r="BU12" s="79" cm="1">
        <f t="array" ref="BU12">IF(BU$5="","",INDEX('Lease Roll Over'!$N$62:$CK$62,1,BU$5)-BU11)</f>
        <v>0</v>
      </c>
      <c r="BV12" s="79" cm="1">
        <f t="array" ref="BV12">IF(BV$5="","",INDEX('Lease Roll Over'!$N$62:$CK$62,1,BV$5)-BV11)</f>
        <v>0</v>
      </c>
      <c r="BW12" s="79" cm="1">
        <f t="array" ref="BW12">IF(BW$5="","",INDEX('Lease Roll Over'!$N$62:$CK$62,1,BW$5)-BW11)</f>
        <v>0</v>
      </c>
      <c r="BX12" s="79" cm="1">
        <f t="array" ref="BX12">IF(BX$5="","",INDEX('Lease Roll Over'!$N$62:$CK$62,1,BX$5)-BX11)</f>
        <v>-10621.948816293501</v>
      </c>
      <c r="BY12" s="79" cm="1">
        <f t="array" ref="BY12">IF(BY$5="","",INDEX('Lease Roll Over'!$N$62:$CK$62,1,BY$5)-BY11)</f>
        <v>-10621.948816293501</v>
      </c>
      <c r="BZ12" s="79" cm="1">
        <f t="array" ref="BZ12">IF(BZ$5="","",INDEX('Lease Roll Over'!$N$62:$CK$62,1,BZ$5)-BZ11)</f>
        <v>-20439.448816293501</v>
      </c>
      <c r="CA12" s="79" t="str" cm="1">
        <f t="array" ref="CA12">IF(CA$5="","",INDEX('Lease Roll Over'!$N$62:$CK$62,1,CA$5)-CA11)</f>
        <v/>
      </c>
      <c r="CB12" s="79" t="str" cm="1">
        <f t="array" ref="CB12">IF(CB$5="","",INDEX('Lease Roll Over'!$N$62:$CK$62,1,CB$5)-CB11)</f>
        <v/>
      </c>
      <c r="CC12" s="79" t="str" cm="1">
        <f t="array" ref="CC12">IF(CC$5="","",INDEX('Lease Roll Over'!$N$62:$CK$62,1,CC$5)-CC11)</f>
        <v/>
      </c>
      <c r="CD12" s="79" t="str" cm="1">
        <f t="array" ref="CD12">IF(CD$5="","",INDEX('Lease Roll Over'!$N$62:$CK$62,1,CD$5)-CD11)</f>
        <v/>
      </c>
      <c r="CE12" s="79" t="str" cm="1">
        <f t="array" ref="CE12">IF(CE$5="","",INDEX('Lease Roll Over'!$N$62:$CK$62,1,CE$5)-CE11)</f>
        <v/>
      </c>
      <c r="CF12" s="79" t="str" cm="1">
        <f t="array" ref="CF12">IF(CF$5="","",INDEX('Lease Roll Over'!$N$62:$CK$62,1,CF$5)-CF11)</f>
        <v/>
      </c>
      <c r="CG12" s="79" t="str" cm="1">
        <f t="array" ref="CG12">IF(CG$5="","",INDEX('Lease Roll Over'!$N$62:$CK$62,1,CG$5)-CG11)</f>
        <v/>
      </c>
      <c r="CH12" s="79" t="str" cm="1">
        <f t="array" ref="CH12">IF(CH$5="","",INDEX('Lease Roll Over'!$N$62:$CK$62,1,CH$5)-CH11)</f>
        <v/>
      </c>
      <c r="CI12" s="79" t="str" cm="1">
        <f t="array" ref="CI12">IF(CI$5="","",INDEX('Lease Roll Over'!$N$62:$CK$62,1,CI$5)-CI11)</f>
        <v/>
      </c>
      <c r="CJ12" s="79" t="str" cm="1">
        <f t="array" ref="CJ12">IF(CJ$5="","",INDEX('Lease Roll Over'!$N$62:$CK$62,1,CJ$5)-CJ11)</f>
        <v/>
      </c>
      <c r="CK12" s="79" t="str" cm="1">
        <f t="array" ref="CK12">IF(CK$5="","",INDEX('Lease Roll Over'!$N$62:$CK$62,1,CK$5)-CK11)</f>
        <v/>
      </c>
      <c r="CL12" s="79" t="str" cm="1">
        <f t="array" ref="CL12">IF(CL$5="","",INDEX('Lease Roll Over'!$N$62:$CK$62,1,CL$5)-CL11)</f>
        <v/>
      </c>
      <c r="CM12" s="79" t="str" cm="1">
        <f t="array" ref="CM12">IF(CM$5="","",INDEX('Lease Roll Over'!$N$62:$CK$62,1,CM$5)-CM11)</f>
        <v/>
      </c>
      <c r="CN12" s="79" t="str" cm="1">
        <f t="array" ref="CN12">IF(CN$5="","",INDEX('Lease Roll Over'!$N$62:$CK$62,1,CN$5)-CN11)</f>
        <v/>
      </c>
      <c r="CO12" s="79" t="str" cm="1">
        <f t="array" ref="CO12">IF(CO$5="","",INDEX('Lease Roll Over'!$N$62:$CK$62,1,CO$5)-CO11)</f>
        <v/>
      </c>
    </row>
    <row r="13" spans="3:93" x14ac:dyDescent="0.2">
      <c r="C13" s="65" t="s">
        <v>12</v>
      </c>
      <c r="D13" s="65"/>
      <c r="E13" s="65"/>
      <c r="F13" s="71"/>
      <c r="G13" s="71">
        <f t="shared" ref="G13:AL13" si="6">IF(G$5="","",0)</f>
        <v>0</v>
      </c>
      <c r="H13" s="71">
        <f t="shared" si="6"/>
        <v>0</v>
      </c>
      <c r="I13" s="71">
        <f t="shared" si="6"/>
        <v>0</v>
      </c>
      <c r="J13" s="71">
        <f t="shared" si="6"/>
        <v>0</v>
      </c>
      <c r="K13" s="71">
        <f t="shared" si="6"/>
        <v>0</v>
      </c>
      <c r="L13" s="71">
        <f t="shared" si="6"/>
        <v>0</v>
      </c>
      <c r="M13" s="71">
        <f t="shared" si="6"/>
        <v>0</v>
      </c>
      <c r="N13" s="71">
        <f t="shared" si="6"/>
        <v>0</v>
      </c>
      <c r="O13" s="71">
        <f t="shared" si="6"/>
        <v>0</v>
      </c>
      <c r="P13" s="71">
        <f t="shared" si="6"/>
        <v>0</v>
      </c>
      <c r="Q13" s="71">
        <f t="shared" si="6"/>
        <v>0</v>
      </c>
      <c r="R13" s="71">
        <f t="shared" si="6"/>
        <v>0</v>
      </c>
      <c r="S13" s="71">
        <f t="shared" si="6"/>
        <v>0</v>
      </c>
      <c r="T13" s="71">
        <f t="shared" si="6"/>
        <v>0</v>
      </c>
      <c r="U13" s="71">
        <f t="shared" si="6"/>
        <v>0</v>
      </c>
      <c r="V13" s="71">
        <f t="shared" si="6"/>
        <v>0</v>
      </c>
      <c r="W13" s="71">
        <f t="shared" si="6"/>
        <v>0</v>
      </c>
      <c r="X13" s="71">
        <f t="shared" si="6"/>
        <v>0</v>
      </c>
      <c r="Y13" s="71">
        <f t="shared" si="6"/>
        <v>0</v>
      </c>
      <c r="Z13" s="71">
        <f t="shared" si="6"/>
        <v>0</v>
      </c>
      <c r="AA13" s="71">
        <f t="shared" si="6"/>
        <v>0</v>
      </c>
      <c r="AB13" s="71">
        <f t="shared" si="6"/>
        <v>0</v>
      </c>
      <c r="AC13" s="71">
        <f t="shared" si="6"/>
        <v>0</v>
      </c>
      <c r="AD13" s="71">
        <f t="shared" si="6"/>
        <v>0</v>
      </c>
      <c r="AE13" s="71">
        <f t="shared" si="6"/>
        <v>0</v>
      </c>
      <c r="AF13" s="71">
        <f t="shared" si="6"/>
        <v>0</v>
      </c>
      <c r="AG13" s="71">
        <f t="shared" si="6"/>
        <v>0</v>
      </c>
      <c r="AH13" s="71">
        <f t="shared" si="6"/>
        <v>0</v>
      </c>
      <c r="AI13" s="71">
        <f t="shared" si="6"/>
        <v>0</v>
      </c>
      <c r="AJ13" s="71">
        <f t="shared" si="6"/>
        <v>0</v>
      </c>
      <c r="AK13" s="71">
        <f t="shared" si="6"/>
        <v>0</v>
      </c>
      <c r="AL13" s="71">
        <f t="shared" si="6"/>
        <v>0</v>
      </c>
      <c r="AM13" s="71">
        <f t="shared" ref="AM13:BR13" si="7">IF(AM$5="","",0)</f>
        <v>0</v>
      </c>
      <c r="AN13" s="71">
        <f t="shared" si="7"/>
        <v>0</v>
      </c>
      <c r="AO13" s="71">
        <f t="shared" si="7"/>
        <v>0</v>
      </c>
      <c r="AP13" s="71">
        <f t="shared" si="7"/>
        <v>0</v>
      </c>
      <c r="AQ13" s="71">
        <f t="shared" si="7"/>
        <v>0</v>
      </c>
      <c r="AR13" s="71">
        <f t="shared" si="7"/>
        <v>0</v>
      </c>
      <c r="AS13" s="71">
        <f t="shared" si="7"/>
        <v>0</v>
      </c>
      <c r="AT13" s="71">
        <f t="shared" si="7"/>
        <v>0</v>
      </c>
      <c r="AU13" s="71">
        <f t="shared" si="7"/>
        <v>0</v>
      </c>
      <c r="AV13" s="71">
        <f t="shared" si="7"/>
        <v>0</v>
      </c>
      <c r="AW13" s="71">
        <f t="shared" si="7"/>
        <v>0</v>
      </c>
      <c r="AX13" s="71">
        <f t="shared" si="7"/>
        <v>0</v>
      </c>
      <c r="AY13" s="71">
        <f t="shared" si="7"/>
        <v>0</v>
      </c>
      <c r="AZ13" s="71">
        <f t="shared" si="7"/>
        <v>0</v>
      </c>
      <c r="BA13" s="71">
        <f t="shared" si="7"/>
        <v>0</v>
      </c>
      <c r="BB13" s="71">
        <f t="shared" si="7"/>
        <v>0</v>
      </c>
      <c r="BC13" s="71">
        <f t="shared" si="7"/>
        <v>0</v>
      </c>
      <c r="BD13" s="71">
        <f t="shared" si="7"/>
        <v>0</v>
      </c>
      <c r="BE13" s="71">
        <f t="shared" si="7"/>
        <v>0</v>
      </c>
      <c r="BF13" s="71">
        <f t="shared" si="7"/>
        <v>0</v>
      </c>
      <c r="BG13" s="71">
        <f t="shared" si="7"/>
        <v>0</v>
      </c>
      <c r="BH13" s="71">
        <f t="shared" si="7"/>
        <v>0</v>
      </c>
      <c r="BI13" s="71">
        <f t="shared" si="7"/>
        <v>0</v>
      </c>
      <c r="BJ13" s="71">
        <f t="shared" si="7"/>
        <v>0</v>
      </c>
      <c r="BK13" s="71">
        <f t="shared" si="7"/>
        <v>0</v>
      </c>
      <c r="BL13" s="71">
        <f t="shared" si="7"/>
        <v>0</v>
      </c>
      <c r="BM13" s="71">
        <f t="shared" si="7"/>
        <v>0</v>
      </c>
      <c r="BN13" s="71">
        <f t="shared" si="7"/>
        <v>0</v>
      </c>
      <c r="BO13" s="79">
        <f t="shared" si="7"/>
        <v>0</v>
      </c>
      <c r="BP13" s="79">
        <f t="shared" si="7"/>
        <v>0</v>
      </c>
      <c r="BQ13" s="79">
        <f t="shared" si="7"/>
        <v>0</v>
      </c>
      <c r="BR13" s="79">
        <f t="shared" si="7"/>
        <v>0</v>
      </c>
      <c r="BS13" s="79">
        <f t="shared" ref="BS13:CO13" si="8">IF(BS$5="","",0)</f>
        <v>0</v>
      </c>
      <c r="BT13" s="79">
        <f t="shared" si="8"/>
        <v>0</v>
      </c>
      <c r="BU13" s="79">
        <f t="shared" si="8"/>
        <v>0</v>
      </c>
      <c r="BV13" s="79">
        <f t="shared" si="8"/>
        <v>0</v>
      </c>
      <c r="BW13" s="79">
        <f t="shared" si="8"/>
        <v>0</v>
      </c>
      <c r="BX13" s="79">
        <f t="shared" si="8"/>
        <v>0</v>
      </c>
      <c r="BY13" s="79">
        <f t="shared" si="8"/>
        <v>0</v>
      </c>
      <c r="BZ13" s="79">
        <f t="shared" si="8"/>
        <v>0</v>
      </c>
      <c r="CA13" s="79" t="str">
        <f t="shared" si="8"/>
        <v/>
      </c>
      <c r="CB13" s="79" t="str">
        <f t="shared" si="8"/>
        <v/>
      </c>
      <c r="CC13" s="79" t="str">
        <f t="shared" si="8"/>
        <v/>
      </c>
      <c r="CD13" s="79" t="str">
        <f t="shared" si="8"/>
        <v/>
      </c>
      <c r="CE13" s="79" t="str">
        <f t="shared" si="8"/>
        <v/>
      </c>
      <c r="CF13" s="79" t="str">
        <f t="shared" si="8"/>
        <v/>
      </c>
      <c r="CG13" s="79" t="str">
        <f t="shared" si="8"/>
        <v/>
      </c>
      <c r="CH13" s="79" t="str">
        <f t="shared" si="8"/>
        <v/>
      </c>
      <c r="CI13" s="79" t="str">
        <f t="shared" si="8"/>
        <v/>
      </c>
      <c r="CJ13" s="79" t="str">
        <f t="shared" si="8"/>
        <v/>
      </c>
      <c r="CK13" s="79" t="str">
        <f t="shared" si="8"/>
        <v/>
      </c>
      <c r="CL13" s="79" t="str">
        <f t="shared" si="8"/>
        <v/>
      </c>
      <c r="CM13" s="79" t="str">
        <f t="shared" si="8"/>
        <v/>
      </c>
      <c r="CN13" s="79" t="str">
        <f t="shared" si="8"/>
        <v/>
      </c>
      <c r="CO13" s="79" t="str">
        <f t="shared" si="8"/>
        <v/>
      </c>
    </row>
    <row r="14" spans="3:93" x14ac:dyDescent="0.2">
      <c r="C14" s="68" t="s">
        <v>293</v>
      </c>
      <c r="D14" s="65"/>
      <c r="E14" s="65"/>
      <c r="F14" s="71"/>
      <c r="G14" s="71">
        <f t="shared" ref="G14:AL14" si="9">IF(G$5="","",SUM(G11:G13))</f>
        <v>140326</v>
      </c>
      <c r="H14" s="71">
        <f t="shared" si="9"/>
        <v>140326</v>
      </c>
      <c r="I14" s="71">
        <f t="shared" si="9"/>
        <v>140506.9</v>
      </c>
      <c r="J14" s="71">
        <f t="shared" si="9"/>
        <v>141209.94999999998</v>
      </c>
      <c r="K14" s="71">
        <f t="shared" si="9"/>
        <v>141469.50999999998</v>
      </c>
      <c r="L14" s="71">
        <f t="shared" si="9"/>
        <v>142317.03999999998</v>
      </c>
      <c r="M14" s="71">
        <f t="shared" si="9"/>
        <v>142317.03999999998</v>
      </c>
      <c r="N14" s="71">
        <f t="shared" si="9"/>
        <v>142683.49</v>
      </c>
      <c r="O14" s="71">
        <f t="shared" si="9"/>
        <v>130491.49</v>
      </c>
      <c r="P14" s="71">
        <f t="shared" si="9"/>
        <v>142136.49</v>
      </c>
      <c r="Q14" s="71">
        <f t="shared" si="9"/>
        <v>142937.04</v>
      </c>
      <c r="R14" s="71">
        <f t="shared" si="9"/>
        <v>158062.04</v>
      </c>
      <c r="S14" s="71">
        <f t="shared" si="9"/>
        <v>158519.54</v>
      </c>
      <c r="T14" s="71">
        <f t="shared" si="9"/>
        <v>158519.54</v>
      </c>
      <c r="U14" s="71">
        <f t="shared" si="9"/>
        <v>154688.64000000001</v>
      </c>
      <c r="V14" s="71">
        <f t="shared" si="9"/>
        <v>155412.78149999998</v>
      </c>
      <c r="W14" s="71">
        <f t="shared" si="9"/>
        <v>155680.12829999998</v>
      </c>
      <c r="X14" s="71">
        <f t="shared" si="9"/>
        <v>167977.08419999998</v>
      </c>
      <c r="Y14" s="71">
        <f t="shared" si="9"/>
        <v>199512.08419999998</v>
      </c>
      <c r="Z14" s="71">
        <f t="shared" si="9"/>
        <v>191095.6342</v>
      </c>
      <c r="AA14" s="71">
        <f t="shared" si="9"/>
        <v>220479.11420000001</v>
      </c>
      <c r="AB14" s="71">
        <f t="shared" si="9"/>
        <v>220675.46420000002</v>
      </c>
      <c r="AC14" s="71">
        <f t="shared" si="9"/>
        <v>221500.0307</v>
      </c>
      <c r="AD14" s="71">
        <f t="shared" si="9"/>
        <v>225523.7807</v>
      </c>
      <c r="AE14" s="71">
        <f t="shared" si="9"/>
        <v>215766.2807</v>
      </c>
      <c r="AF14" s="71">
        <f t="shared" si="9"/>
        <v>215766.2807</v>
      </c>
      <c r="AG14" s="71">
        <f t="shared" si="9"/>
        <v>215837.6807</v>
      </c>
      <c r="AH14" s="71">
        <f t="shared" si="9"/>
        <v>216583.54644500001</v>
      </c>
      <c r="AI14" s="71">
        <f t="shared" si="9"/>
        <v>220316.13964500002</v>
      </c>
      <c r="AJ14" s="71">
        <f t="shared" si="9"/>
        <v>200921.37374500002</v>
      </c>
      <c r="AK14" s="71">
        <f t="shared" si="9"/>
        <v>201867.42374500001</v>
      </c>
      <c r="AL14" s="71">
        <f t="shared" si="9"/>
        <v>201992.37374499999</v>
      </c>
      <c r="AM14" s="71">
        <f t="shared" ref="AM14:BR14" si="10">IF(AM$5="","",SUM(AM11:AM13))</f>
        <v>203102.35814499998</v>
      </c>
      <c r="AN14" s="71">
        <f t="shared" si="10"/>
        <v>212382.59864499999</v>
      </c>
      <c r="AO14" s="71">
        <f t="shared" si="10"/>
        <v>200965.07061999998</v>
      </c>
      <c r="AP14" s="71">
        <f t="shared" si="10"/>
        <v>201539.53311999998</v>
      </c>
      <c r="AQ14" s="71">
        <f t="shared" si="10"/>
        <v>201718.03311999998</v>
      </c>
      <c r="AR14" s="71">
        <f t="shared" si="10"/>
        <v>211714.03311999998</v>
      </c>
      <c r="AS14" s="71">
        <f t="shared" si="10"/>
        <v>227138.57511999996</v>
      </c>
      <c r="AT14" s="71">
        <f t="shared" si="10"/>
        <v>227906.81683734996</v>
      </c>
      <c r="AU14" s="71">
        <f t="shared" si="10"/>
        <v>228294.16183734997</v>
      </c>
      <c r="AV14" s="71">
        <f t="shared" si="10"/>
        <v>228954.18343734997</v>
      </c>
      <c r="AW14" s="71">
        <f t="shared" si="10"/>
        <v>229928.61493734998</v>
      </c>
      <c r="AX14" s="71">
        <f t="shared" si="10"/>
        <v>240767.31343734995</v>
      </c>
      <c r="AY14" s="71">
        <f t="shared" si="10"/>
        <v>241910.59736934997</v>
      </c>
      <c r="AZ14" s="71">
        <f t="shared" si="10"/>
        <v>242544.24508434994</v>
      </c>
      <c r="BA14" s="71">
        <f t="shared" si="10"/>
        <v>243051.02273859998</v>
      </c>
      <c r="BB14" s="71">
        <f t="shared" si="10"/>
        <v>243642.71911359997</v>
      </c>
      <c r="BC14" s="71">
        <f t="shared" si="10"/>
        <v>243826.57411359996</v>
      </c>
      <c r="BD14" s="71">
        <f t="shared" si="10"/>
        <v>244126.45411359996</v>
      </c>
      <c r="BE14" s="71">
        <f t="shared" si="10"/>
        <v>244662.73237359995</v>
      </c>
      <c r="BF14" s="71">
        <f t="shared" si="10"/>
        <v>245454.02134247049</v>
      </c>
      <c r="BG14" s="71">
        <f t="shared" si="10"/>
        <v>245852.98669247044</v>
      </c>
      <c r="BH14" s="71">
        <f t="shared" si="10"/>
        <v>246532.80894047045</v>
      </c>
      <c r="BI14" s="71">
        <f t="shared" si="10"/>
        <v>247536.47338547045</v>
      </c>
      <c r="BJ14" s="71">
        <f t="shared" si="10"/>
        <v>247990.33284047048</v>
      </c>
      <c r="BK14" s="71">
        <f t="shared" si="10"/>
        <v>249167.91529043048</v>
      </c>
      <c r="BL14" s="71">
        <f t="shared" si="10"/>
        <v>249820.57243688047</v>
      </c>
      <c r="BM14" s="71">
        <f t="shared" si="10"/>
        <v>250342.55342075796</v>
      </c>
      <c r="BN14" s="71">
        <f t="shared" si="10"/>
        <v>250952.00068700797</v>
      </c>
      <c r="BO14" s="79">
        <f t="shared" si="10"/>
        <v>251141.37133700796</v>
      </c>
      <c r="BP14" s="79">
        <f t="shared" si="10"/>
        <v>251450.24773700794</v>
      </c>
      <c r="BQ14" s="79">
        <f t="shared" si="10"/>
        <v>252002.61434480795</v>
      </c>
      <c r="BR14" s="79">
        <f t="shared" si="10"/>
        <v>252817.64198274459</v>
      </c>
      <c r="BS14" s="79">
        <f t="shared" ref="BS14:CO14" si="11">IF(BS$5="","",SUM(BS11:BS13))</f>
        <v>253228.57629324461</v>
      </c>
      <c r="BT14" s="79">
        <f t="shared" si="11"/>
        <v>253928.7932086846</v>
      </c>
      <c r="BU14" s="79">
        <f t="shared" si="11"/>
        <v>254962.5675870346</v>
      </c>
      <c r="BV14" s="79">
        <f t="shared" si="11"/>
        <v>255430.04282568462</v>
      </c>
      <c r="BW14" s="79">
        <f t="shared" si="11"/>
        <v>247813.92139927461</v>
      </c>
      <c r="BX14" s="79">
        <f t="shared" si="11"/>
        <v>237181.61451282463</v>
      </c>
      <c r="BY14" s="79">
        <f t="shared" si="11"/>
        <v>237719.25492621845</v>
      </c>
      <c r="BZ14" s="79">
        <f t="shared" si="11"/>
        <v>227357.96523666842</v>
      </c>
      <c r="CA14" s="79" t="str">
        <f t="shared" si="11"/>
        <v/>
      </c>
      <c r="CB14" s="79" t="str">
        <f t="shared" si="11"/>
        <v/>
      </c>
      <c r="CC14" s="79" t="str">
        <f t="shared" si="11"/>
        <v/>
      </c>
      <c r="CD14" s="79" t="str">
        <f t="shared" si="11"/>
        <v/>
      </c>
      <c r="CE14" s="79" t="str">
        <f t="shared" si="11"/>
        <v/>
      </c>
      <c r="CF14" s="79" t="str">
        <f t="shared" si="11"/>
        <v/>
      </c>
      <c r="CG14" s="79" t="str">
        <f t="shared" si="11"/>
        <v/>
      </c>
      <c r="CH14" s="79" t="str">
        <f t="shared" si="11"/>
        <v/>
      </c>
      <c r="CI14" s="79" t="str">
        <f t="shared" si="11"/>
        <v/>
      </c>
      <c r="CJ14" s="79" t="str">
        <f t="shared" si="11"/>
        <v/>
      </c>
      <c r="CK14" s="79" t="str">
        <f t="shared" si="11"/>
        <v/>
      </c>
      <c r="CL14" s="79" t="str">
        <f t="shared" si="11"/>
        <v/>
      </c>
      <c r="CM14" s="79" t="str">
        <f t="shared" si="11"/>
        <v/>
      </c>
      <c r="CN14" s="79" t="str">
        <f t="shared" si="11"/>
        <v/>
      </c>
      <c r="CO14" s="79" t="str">
        <f t="shared" si="11"/>
        <v/>
      </c>
    </row>
    <row r="15" spans="3:93" x14ac:dyDescent="0.2">
      <c r="C15" s="65" t="s">
        <v>305</v>
      </c>
      <c r="D15" s="71">
        <f>SUM('2020 T12'!D21:O21)/12</f>
        <v>97140.647500000006</v>
      </c>
      <c r="E15" s="77">
        <v>0.03</v>
      </c>
      <c r="F15" s="75"/>
      <c r="G15" s="71">
        <f t="shared" ref="G15:AL15" si="12">IF(G$5="","",$D15*(1+$E15)^(G$4-1))</f>
        <v>97140.647500000006</v>
      </c>
      <c r="H15" s="71">
        <f t="shared" si="12"/>
        <v>97140.647500000006</v>
      </c>
      <c r="I15" s="71">
        <f t="shared" si="12"/>
        <v>97140.647500000006</v>
      </c>
      <c r="J15" s="71">
        <f t="shared" si="12"/>
        <v>97140.647500000006</v>
      </c>
      <c r="K15" s="71">
        <f t="shared" si="12"/>
        <v>97140.647500000006</v>
      </c>
      <c r="L15" s="71">
        <f t="shared" si="12"/>
        <v>97140.647500000006</v>
      </c>
      <c r="M15" s="71">
        <f t="shared" si="12"/>
        <v>97140.647500000006</v>
      </c>
      <c r="N15" s="71">
        <f t="shared" si="12"/>
        <v>97140.647500000006</v>
      </c>
      <c r="O15" s="71">
        <f t="shared" si="12"/>
        <v>97140.647500000006</v>
      </c>
      <c r="P15" s="71">
        <f t="shared" si="12"/>
        <v>97140.647500000006</v>
      </c>
      <c r="Q15" s="71">
        <f t="shared" si="12"/>
        <v>97140.647500000006</v>
      </c>
      <c r="R15" s="71">
        <f t="shared" si="12"/>
        <v>97140.647500000006</v>
      </c>
      <c r="S15" s="71">
        <f t="shared" si="12"/>
        <v>100054.86692500001</v>
      </c>
      <c r="T15" s="71">
        <f t="shared" si="12"/>
        <v>100054.86692500001</v>
      </c>
      <c r="U15" s="71">
        <f t="shared" si="12"/>
        <v>100054.86692500001</v>
      </c>
      <c r="V15" s="71">
        <f t="shared" si="12"/>
        <v>100054.86692500001</v>
      </c>
      <c r="W15" s="71">
        <f t="shared" si="12"/>
        <v>100054.86692500001</v>
      </c>
      <c r="X15" s="71">
        <f t="shared" si="12"/>
        <v>100054.86692500001</v>
      </c>
      <c r="Y15" s="71">
        <f t="shared" si="12"/>
        <v>100054.86692500001</v>
      </c>
      <c r="Z15" s="71">
        <f t="shared" si="12"/>
        <v>100054.86692500001</v>
      </c>
      <c r="AA15" s="71">
        <f t="shared" si="12"/>
        <v>100054.86692500001</v>
      </c>
      <c r="AB15" s="71">
        <f t="shared" si="12"/>
        <v>100054.86692500001</v>
      </c>
      <c r="AC15" s="71">
        <f t="shared" si="12"/>
        <v>100054.86692500001</v>
      </c>
      <c r="AD15" s="71">
        <f t="shared" si="12"/>
        <v>100054.86692500001</v>
      </c>
      <c r="AE15" s="71">
        <f t="shared" si="12"/>
        <v>103056.51293275</v>
      </c>
      <c r="AF15" s="71">
        <f t="shared" si="12"/>
        <v>103056.51293275</v>
      </c>
      <c r="AG15" s="71">
        <f t="shared" si="12"/>
        <v>103056.51293275</v>
      </c>
      <c r="AH15" s="71">
        <f t="shared" si="12"/>
        <v>103056.51293275</v>
      </c>
      <c r="AI15" s="71">
        <f t="shared" si="12"/>
        <v>103056.51293275</v>
      </c>
      <c r="AJ15" s="71">
        <f t="shared" si="12"/>
        <v>103056.51293275</v>
      </c>
      <c r="AK15" s="71">
        <f t="shared" si="12"/>
        <v>103056.51293275</v>
      </c>
      <c r="AL15" s="71">
        <f t="shared" si="12"/>
        <v>103056.51293275</v>
      </c>
      <c r="AM15" s="71">
        <f t="shared" ref="AM15:BR15" si="13">IF(AM$5="","",$D15*(1+$E15)^(AM$4-1))</f>
        <v>103056.51293275</v>
      </c>
      <c r="AN15" s="71">
        <f t="shared" si="13"/>
        <v>103056.51293275</v>
      </c>
      <c r="AO15" s="71">
        <f t="shared" si="13"/>
        <v>103056.51293275</v>
      </c>
      <c r="AP15" s="71">
        <f t="shared" si="13"/>
        <v>103056.51293275</v>
      </c>
      <c r="AQ15" s="71">
        <f t="shared" si="13"/>
        <v>106148.2083207325</v>
      </c>
      <c r="AR15" s="71">
        <f t="shared" si="13"/>
        <v>106148.2083207325</v>
      </c>
      <c r="AS15" s="71">
        <f t="shared" si="13"/>
        <v>106148.2083207325</v>
      </c>
      <c r="AT15" s="71">
        <f t="shared" si="13"/>
        <v>106148.2083207325</v>
      </c>
      <c r="AU15" s="71">
        <f t="shared" si="13"/>
        <v>106148.2083207325</v>
      </c>
      <c r="AV15" s="71">
        <f t="shared" si="13"/>
        <v>106148.2083207325</v>
      </c>
      <c r="AW15" s="71">
        <f t="shared" si="13"/>
        <v>106148.2083207325</v>
      </c>
      <c r="AX15" s="71">
        <f t="shared" si="13"/>
        <v>106148.2083207325</v>
      </c>
      <c r="AY15" s="71">
        <f t="shared" si="13"/>
        <v>106148.2083207325</v>
      </c>
      <c r="AZ15" s="71">
        <f t="shared" si="13"/>
        <v>106148.2083207325</v>
      </c>
      <c r="BA15" s="71">
        <f t="shared" si="13"/>
        <v>106148.2083207325</v>
      </c>
      <c r="BB15" s="71">
        <f t="shared" si="13"/>
        <v>106148.2083207325</v>
      </c>
      <c r="BC15" s="71">
        <f t="shared" si="13"/>
        <v>109332.65457035447</v>
      </c>
      <c r="BD15" s="71">
        <f t="shared" si="13"/>
        <v>109332.65457035447</v>
      </c>
      <c r="BE15" s="71">
        <f t="shared" si="13"/>
        <v>109332.65457035447</v>
      </c>
      <c r="BF15" s="71">
        <f t="shared" si="13"/>
        <v>109332.65457035447</v>
      </c>
      <c r="BG15" s="71">
        <f t="shared" si="13"/>
        <v>109332.65457035447</v>
      </c>
      <c r="BH15" s="71">
        <f t="shared" si="13"/>
        <v>109332.65457035447</v>
      </c>
      <c r="BI15" s="71">
        <f t="shared" si="13"/>
        <v>109332.65457035447</v>
      </c>
      <c r="BJ15" s="71">
        <f t="shared" si="13"/>
        <v>109332.65457035447</v>
      </c>
      <c r="BK15" s="71">
        <f t="shared" si="13"/>
        <v>109332.65457035447</v>
      </c>
      <c r="BL15" s="71">
        <f t="shared" si="13"/>
        <v>109332.65457035447</v>
      </c>
      <c r="BM15" s="71">
        <f t="shared" si="13"/>
        <v>109332.65457035447</v>
      </c>
      <c r="BN15" s="71">
        <f t="shared" si="13"/>
        <v>109332.65457035447</v>
      </c>
      <c r="BO15" s="71">
        <f t="shared" si="13"/>
        <v>112612.6342074651</v>
      </c>
      <c r="BP15" s="71">
        <f t="shared" si="13"/>
        <v>112612.6342074651</v>
      </c>
      <c r="BQ15" s="71">
        <f t="shared" si="13"/>
        <v>112612.6342074651</v>
      </c>
      <c r="BR15" s="71">
        <f t="shared" si="13"/>
        <v>112612.6342074651</v>
      </c>
      <c r="BS15" s="71">
        <f t="shared" ref="BS15:CO15" si="14">IF(BS$5="","",$D15*(1+$E15)^(BS$4-1))</f>
        <v>112612.6342074651</v>
      </c>
      <c r="BT15" s="71">
        <f t="shared" si="14"/>
        <v>112612.6342074651</v>
      </c>
      <c r="BU15" s="71">
        <f t="shared" si="14"/>
        <v>112612.6342074651</v>
      </c>
      <c r="BV15" s="71">
        <f t="shared" si="14"/>
        <v>112612.6342074651</v>
      </c>
      <c r="BW15" s="71">
        <f t="shared" si="14"/>
        <v>112612.6342074651</v>
      </c>
      <c r="BX15" s="71">
        <f t="shared" si="14"/>
        <v>112612.6342074651</v>
      </c>
      <c r="BY15" s="71">
        <f t="shared" si="14"/>
        <v>112612.6342074651</v>
      </c>
      <c r="BZ15" s="71">
        <f t="shared" si="14"/>
        <v>112612.6342074651</v>
      </c>
      <c r="CA15" s="71" t="str">
        <f t="shared" si="14"/>
        <v/>
      </c>
      <c r="CB15" s="71" t="str">
        <f t="shared" si="14"/>
        <v/>
      </c>
      <c r="CC15" s="71" t="str">
        <f t="shared" si="14"/>
        <v/>
      </c>
      <c r="CD15" s="71" t="str">
        <f t="shared" si="14"/>
        <v/>
      </c>
      <c r="CE15" s="71" t="str">
        <f t="shared" si="14"/>
        <v/>
      </c>
      <c r="CF15" s="71" t="str">
        <f t="shared" si="14"/>
        <v/>
      </c>
      <c r="CG15" s="71" t="str">
        <f t="shared" si="14"/>
        <v/>
      </c>
      <c r="CH15" s="71" t="str">
        <f t="shared" si="14"/>
        <v/>
      </c>
      <c r="CI15" s="71" t="str">
        <f t="shared" si="14"/>
        <v/>
      </c>
      <c r="CJ15" s="71" t="str">
        <f t="shared" si="14"/>
        <v/>
      </c>
      <c r="CK15" s="71" t="str">
        <f t="shared" si="14"/>
        <v/>
      </c>
      <c r="CL15" s="71" t="str">
        <f t="shared" si="14"/>
        <v/>
      </c>
      <c r="CM15" s="71" t="str">
        <f t="shared" si="14"/>
        <v/>
      </c>
      <c r="CN15" s="71" t="str">
        <f t="shared" si="14"/>
        <v/>
      </c>
      <c r="CO15" s="71" t="str">
        <f t="shared" si="14"/>
        <v/>
      </c>
    </row>
    <row r="16" spans="3:93" x14ac:dyDescent="0.2">
      <c r="C16" s="69" t="s">
        <v>294</v>
      </c>
      <c r="D16" s="69"/>
      <c r="E16" s="69"/>
      <c r="F16" s="76"/>
      <c r="G16" s="72">
        <f t="shared" ref="G16:AL16" si="15">IF(G$5="","",SUM(G14:G15))</f>
        <v>237466.64750000002</v>
      </c>
      <c r="H16" s="72">
        <f t="shared" si="15"/>
        <v>237466.64750000002</v>
      </c>
      <c r="I16" s="72">
        <f t="shared" si="15"/>
        <v>237647.54749999999</v>
      </c>
      <c r="J16" s="72">
        <f t="shared" si="15"/>
        <v>238350.59749999997</v>
      </c>
      <c r="K16" s="72">
        <f t="shared" si="15"/>
        <v>238610.15749999997</v>
      </c>
      <c r="L16" s="72">
        <f t="shared" si="15"/>
        <v>239457.6875</v>
      </c>
      <c r="M16" s="72">
        <f t="shared" si="15"/>
        <v>239457.6875</v>
      </c>
      <c r="N16" s="72">
        <f t="shared" si="15"/>
        <v>239824.13750000001</v>
      </c>
      <c r="O16" s="72">
        <f t="shared" si="15"/>
        <v>227632.13750000001</v>
      </c>
      <c r="P16" s="72">
        <f t="shared" si="15"/>
        <v>239277.13750000001</v>
      </c>
      <c r="Q16" s="72">
        <f t="shared" si="15"/>
        <v>240077.6875</v>
      </c>
      <c r="R16" s="72">
        <f t="shared" si="15"/>
        <v>255202.6875</v>
      </c>
      <c r="S16" s="72">
        <f t="shared" si="15"/>
        <v>258574.40692500002</v>
      </c>
      <c r="T16" s="72">
        <f t="shared" si="15"/>
        <v>258574.40692500002</v>
      </c>
      <c r="U16" s="72">
        <f t="shared" si="15"/>
        <v>254743.50692500002</v>
      </c>
      <c r="V16" s="72">
        <f t="shared" si="15"/>
        <v>255467.64842499999</v>
      </c>
      <c r="W16" s="72">
        <f t="shared" si="15"/>
        <v>255734.99522499999</v>
      </c>
      <c r="X16" s="72">
        <f t="shared" si="15"/>
        <v>268031.95112500002</v>
      </c>
      <c r="Y16" s="72">
        <f t="shared" si="15"/>
        <v>299566.95112500002</v>
      </c>
      <c r="Z16" s="72">
        <f t="shared" si="15"/>
        <v>291150.50112500001</v>
      </c>
      <c r="AA16" s="72">
        <f t="shared" si="15"/>
        <v>320533.98112500005</v>
      </c>
      <c r="AB16" s="72">
        <f t="shared" si="15"/>
        <v>320730.33112500003</v>
      </c>
      <c r="AC16" s="72">
        <f t="shared" si="15"/>
        <v>321554.89762499998</v>
      </c>
      <c r="AD16" s="72">
        <f t="shared" si="15"/>
        <v>325578.64762499998</v>
      </c>
      <c r="AE16" s="72">
        <f t="shared" si="15"/>
        <v>318822.79363274999</v>
      </c>
      <c r="AF16" s="72">
        <f t="shared" si="15"/>
        <v>318822.79363274999</v>
      </c>
      <c r="AG16" s="72">
        <f t="shared" si="15"/>
        <v>318894.19363275002</v>
      </c>
      <c r="AH16" s="72">
        <f t="shared" si="15"/>
        <v>319640.05937775003</v>
      </c>
      <c r="AI16" s="72">
        <f t="shared" si="15"/>
        <v>323372.65257775004</v>
      </c>
      <c r="AJ16" s="72">
        <f t="shared" si="15"/>
        <v>303977.88667775004</v>
      </c>
      <c r="AK16" s="72">
        <f t="shared" si="15"/>
        <v>304923.93667775003</v>
      </c>
      <c r="AL16" s="72">
        <f t="shared" si="15"/>
        <v>305048.88667774998</v>
      </c>
      <c r="AM16" s="72">
        <f t="shared" ref="AM16:BR16" si="16">IF(AM$5="","",SUM(AM14:AM15))</f>
        <v>306158.87107774999</v>
      </c>
      <c r="AN16" s="72">
        <f t="shared" si="16"/>
        <v>315439.11157775001</v>
      </c>
      <c r="AO16" s="72">
        <f t="shared" si="16"/>
        <v>304021.58355275</v>
      </c>
      <c r="AP16" s="72">
        <f t="shared" si="16"/>
        <v>304596.04605274997</v>
      </c>
      <c r="AQ16" s="72">
        <f t="shared" si="16"/>
        <v>307866.2414407325</v>
      </c>
      <c r="AR16" s="72">
        <f t="shared" si="16"/>
        <v>317862.2414407325</v>
      </c>
      <c r="AS16" s="72">
        <f t="shared" si="16"/>
        <v>333286.78344073246</v>
      </c>
      <c r="AT16" s="72">
        <f t="shared" si="16"/>
        <v>334055.02515808248</v>
      </c>
      <c r="AU16" s="72">
        <f t="shared" si="16"/>
        <v>334442.37015808246</v>
      </c>
      <c r="AV16" s="72">
        <f t="shared" si="16"/>
        <v>335102.39175808249</v>
      </c>
      <c r="AW16" s="72">
        <f t="shared" si="16"/>
        <v>336076.8232580825</v>
      </c>
      <c r="AX16" s="72">
        <f t="shared" si="16"/>
        <v>346915.52175808244</v>
      </c>
      <c r="AY16" s="72">
        <f t="shared" si="16"/>
        <v>348058.80569008249</v>
      </c>
      <c r="AZ16" s="72">
        <f t="shared" si="16"/>
        <v>348692.45340508246</v>
      </c>
      <c r="BA16" s="72">
        <f t="shared" si="16"/>
        <v>349199.23105933249</v>
      </c>
      <c r="BB16" s="72">
        <f t="shared" si="16"/>
        <v>349790.92743433249</v>
      </c>
      <c r="BC16" s="72">
        <f t="shared" si="16"/>
        <v>353159.22868395445</v>
      </c>
      <c r="BD16" s="72">
        <f t="shared" si="16"/>
        <v>353459.10868395446</v>
      </c>
      <c r="BE16" s="72">
        <f t="shared" si="16"/>
        <v>353995.38694395439</v>
      </c>
      <c r="BF16" s="72">
        <f t="shared" si="16"/>
        <v>354786.67591282493</v>
      </c>
      <c r="BG16" s="72">
        <f t="shared" si="16"/>
        <v>355185.64126282488</v>
      </c>
      <c r="BH16" s="72">
        <f t="shared" si="16"/>
        <v>355865.46351082495</v>
      </c>
      <c r="BI16" s="72">
        <f t="shared" si="16"/>
        <v>356869.12795582495</v>
      </c>
      <c r="BJ16" s="72">
        <f t="shared" si="16"/>
        <v>357322.98741082498</v>
      </c>
      <c r="BK16" s="72">
        <f t="shared" si="16"/>
        <v>358500.56986078492</v>
      </c>
      <c r="BL16" s="72">
        <f t="shared" si="16"/>
        <v>359153.22700723493</v>
      </c>
      <c r="BM16" s="72">
        <f t="shared" si="16"/>
        <v>359675.20799111243</v>
      </c>
      <c r="BN16" s="72">
        <f t="shared" si="16"/>
        <v>360284.65525736241</v>
      </c>
      <c r="BO16" s="79">
        <f t="shared" si="16"/>
        <v>363754.00554447307</v>
      </c>
      <c r="BP16" s="79">
        <f t="shared" si="16"/>
        <v>364062.88194447302</v>
      </c>
      <c r="BQ16" s="79">
        <f t="shared" si="16"/>
        <v>364615.24855227303</v>
      </c>
      <c r="BR16" s="79">
        <f t="shared" si="16"/>
        <v>365430.27619020967</v>
      </c>
      <c r="BS16" s="79">
        <f t="shared" ref="BS16:CO16" si="17">IF(BS$5="","",SUM(BS14:BS15))</f>
        <v>365841.21050070971</v>
      </c>
      <c r="BT16" s="79">
        <f t="shared" si="17"/>
        <v>366541.4274161497</v>
      </c>
      <c r="BU16" s="79">
        <f t="shared" si="17"/>
        <v>367575.20179449971</v>
      </c>
      <c r="BV16" s="79">
        <f t="shared" si="17"/>
        <v>368042.67703314975</v>
      </c>
      <c r="BW16" s="79">
        <f t="shared" si="17"/>
        <v>360426.55560673971</v>
      </c>
      <c r="BX16" s="79">
        <f t="shared" si="17"/>
        <v>349794.24872028973</v>
      </c>
      <c r="BY16" s="79">
        <f t="shared" si="17"/>
        <v>350331.88913368352</v>
      </c>
      <c r="BZ16" s="79">
        <f t="shared" si="17"/>
        <v>339970.59944413352</v>
      </c>
      <c r="CA16" s="79" t="str">
        <f t="shared" si="17"/>
        <v/>
      </c>
      <c r="CB16" s="79" t="str">
        <f t="shared" si="17"/>
        <v/>
      </c>
      <c r="CC16" s="79" t="str">
        <f t="shared" si="17"/>
        <v/>
      </c>
      <c r="CD16" s="79" t="str">
        <f t="shared" si="17"/>
        <v/>
      </c>
      <c r="CE16" s="79" t="str">
        <f t="shared" si="17"/>
        <v/>
      </c>
      <c r="CF16" s="79" t="str">
        <f t="shared" si="17"/>
        <v/>
      </c>
      <c r="CG16" s="79" t="str">
        <f t="shared" si="17"/>
        <v/>
      </c>
      <c r="CH16" s="79" t="str">
        <f t="shared" si="17"/>
        <v/>
      </c>
      <c r="CI16" s="79" t="str">
        <f t="shared" si="17"/>
        <v/>
      </c>
      <c r="CJ16" s="79" t="str">
        <f t="shared" si="17"/>
        <v/>
      </c>
      <c r="CK16" s="79" t="str">
        <f t="shared" si="17"/>
        <v/>
      </c>
      <c r="CL16" s="79" t="str">
        <f t="shared" si="17"/>
        <v/>
      </c>
      <c r="CM16" s="79" t="str">
        <f t="shared" si="17"/>
        <v/>
      </c>
      <c r="CN16" s="79" t="str">
        <f t="shared" si="17"/>
        <v/>
      </c>
      <c r="CO16" s="79" t="str">
        <f t="shared" si="17"/>
        <v/>
      </c>
    </row>
    <row r="17" spans="3:93" x14ac:dyDescent="0.2">
      <c r="C17" s="65" t="s">
        <v>306</v>
      </c>
      <c r="D17" s="65"/>
      <c r="E17" s="78">
        <v>0.05</v>
      </c>
      <c r="F17" s="75"/>
      <c r="G17" s="71" cm="1">
        <f t="array" ref="G17">IF(G$5="","",IF(SUMPRODUCT(--(INDEX('Lease Roll Over'!$N$12:$CK$26,0,G$5)&gt;0))&gt;=COUNT('Lease Roll Over'!$B$12:$B$26),-G16*$E$17,0))</f>
        <v>0</v>
      </c>
      <c r="H17" s="71" cm="1">
        <f t="array" ref="H17">IF(H$5="","",IF(SUMPRODUCT(--(INDEX('Lease Roll Over'!$N$12:$CK$26,0,H$5)&gt;0))&gt;=COUNT('Lease Roll Over'!$B$12:$B$26),-H16*$E$17,0))</f>
        <v>0</v>
      </c>
      <c r="I17" s="71" cm="1">
        <f t="array" ref="I17">IF(I$5="","",IF(SUMPRODUCT(--(INDEX('Lease Roll Over'!$N$12:$CK$26,0,I$5)&gt;0))&gt;=COUNT('Lease Roll Over'!$B$12:$B$26),-I16*$E$17,0))</f>
        <v>0</v>
      </c>
      <c r="J17" s="71" cm="1">
        <f t="array" ref="J17">IF(J$5="","",IF(SUMPRODUCT(--(INDEX('Lease Roll Over'!$N$12:$CK$26,0,J$5)&gt;0))&gt;=COUNT('Lease Roll Over'!$B$12:$B$26),-J16*$E$17,0))</f>
        <v>0</v>
      </c>
      <c r="K17" s="71" cm="1">
        <f t="array" ref="K17">IF(K$5="","",IF(SUMPRODUCT(--(INDEX('Lease Roll Over'!$N$12:$CK$26,0,K$5)&gt;0))&gt;=COUNT('Lease Roll Over'!$B$12:$B$26),-K16*$E$17,0))</f>
        <v>0</v>
      </c>
      <c r="L17" s="71" cm="1">
        <f t="array" ref="L17">IF(L$5="","",IF(SUMPRODUCT(--(INDEX('Lease Roll Over'!$N$12:$CK$26,0,L$5)&gt;0))&gt;=COUNT('Lease Roll Over'!$B$12:$B$26),-L16*$E$17,0))</f>
        <v>0</v>
      </c>
      <c r="M17" s="71" cm="1">
        <f t="array" ref="M17">IF(M$5="","",IF(SUMPRODUCT(--(INDEX('Lease Roll Over'!$N$12:$CK$26,0,M$5)&gt;0))&gt;=COUNT('Lease Roll Over'!$B$12:$B$26),-M16*$E$17,0))</f>
        <v>0</v>
      </c>
      <c r="N17" s="71" cm="1">
        <f t="array" ref="N17">IF(N$5="","",IF(SUMPRODUCT(--(INDEX('Lease Roll Over'!$N$12:$CK$26,0,N$5)&gt;0))&gt;=COUNT('Lease Roll Over'!$B$12:$B$26),-N16*$E$17,0))</f>
        <v>0</v>
      </c>
      <c r="O17" s="71" cm="1">
        <f t="array" ref="O17">IF(O$5="","",IF(SUMPRODUCT(--(INDEX('Lease Roll Over'!$N$12:$CK$26,0,O$5)&gt;0))&gt;=COUNT('Lease Roll Over'!$B$12:$B$26),-O16*$E$17,0))</f>
        <v>0</v>
      </c>
      <c r="P17" s="71" cm="1">
        <f t="array" ref="P17">IF(P$5="","",IF(SUMPRODUCT(--(INDEX('Lease Roll Over'!$N$12:$CK$26,0,P$5)&gt;0))&gt;=COUNT('Lease Roll Over'!$B$12:$B$26),-P16*$E$17,0))</f>
        <v>0</v>
      </c>
      <c r="Q17" s="71" cm="1">
        <f t="array" ref="Q17">IF(Q$5="","",IF(SUMPRODUCT(--(INDEX('Lease Roll Over'!$N$12:$CK$26,0,Q$5)&gt;0))&gt;=COUNT('Lease Roll Over'!$B$12:$B$26),-Q16*$E$17,0))</f>
        <v>0</v>
      </c>
      <c r="R17" s="71" cm="1">
        <f t="array" ref="R17">IF(R$5="","",IF(SUMPRODUCT(--(INDEX('Lease Roll Over'!$N$12:$CK$26,0,R$5)&gt;0))&gt;=COUNT('Lease Roll Over'!$B$12:$B$26),-R16*$E$17,0))</f>
        <v>0</v>
      </c>
      <c r="S17" s="71" cm="1">
        <f t="array" ref="S17">IF(S$5="","",IF(SUMPRODUCT(--(INDEX('Lease Roll Over'!$N$12:$CK$26,0,S$5)&gt;0))&gt;=COUNT('Lease Roll Over'!$B$12:$B$26),-S16*$E$17,0))</f>
        <v>0</v>
      </c>
      <c r="T17" s="71" cm="1">
        <f t="array" ref="T17">IF(T$5="","",IF(SUMPRODUCT(--(INDEX('Lease Roll Over'!$N$12:$CK$26,0,T$5)&gt;0))&gt;=COUNT('Lease Roll Over'!$B$12:$B$26),-T16*$E$17,0))</f>
        <v>0</v>
      </c>
      <c r="U17" s="71" cm="1">
        <f t="array" ref="U17">IF(U$5="","",IF(SUMPRODUCT(--(INDEX('Lease Roll Over'!$N$12:$CK$26,0,U$5)&gt;0))&gt;=COUNT('Lease Roll Over'!$B$12:$B$26),-U16*$E$17,0))</f>
        <v>0</v>
      </c>
      <c r="V17" s="71" cm="1">
        <f t="array" ref="V17">IF(V$5="","",IF(SUMPRODUCT(--(INDEX('Lease Roll Over'!$N$12:$CK$26,0,V$5)&gt;0))&gt;=COUNT('Lease Roll Over'!$B$12:$B$26),-V16*$E$17,0))</f>
        <v>0</v>
      </c>
      <c r="W17" s="71" cm="1">
        <f t="array" ref="W17">IF(W$5="","",IF(SUMPRODUCT(--(INDEX('Lease Roll Over'!$N$12:$CK$26,0,W$5)&gt;0))&gt;=COUNT('Lease Roll Over'!$B$12:$B$26),-W16*$E$17,0))</f>
        <v>0</v>
      </c>
      <c r="X17" s="71" cm="1">
        <f t="array" ref="X17">IF(X$5="","",IF(SUMPRODUCT(--(INDEX('Lease Roll Over'!$N$12:$CK$26,0,X$5)&gt;0))&gt;=COUNT('Lease Roll Over'!$B$12:$B$26),-X16*$E$17,0))</f>
        <v>0</v>
      </c>
      <c r="Y17" s="71" cm="1">
        <f t="array" ref="Y17">IF(Y$5="","",IF(SUMPRODUCT(--(INDEX('Lease Roll Over'!$N$12:$CK$26,0,Y$5)&gt;0))&gt;=COUNT('Lease Roll Over'!$B$12:$B$26),-Y16*$E$17,0))</f>
        <v>0</v>
      </c>
      <c r="Z17" s="71" cm="1">
        <f t="array" ref="Z17">IF(Z$5="","",IF(SUMPRODUCT(--(INDEX('Lease Roll Over'!$N$12:$CK$26,0,Z$5)&gt;0))&gt;=COUNT('Lease Roll Over'!$B$12:$B$26),-Z16*$E$17,0))</f>
        <v>0</v>
      </c>
      <c r="AA17" s="71" cm="1">
        <f t="array" ref="AA17">IF(AA$5="","",IF(SUMPRODUCT(--(INDEX('Lease Roll Over'!$N$12:$CK$26,0,AA$5)&gt;0))&gt;=COUNT('Lease Roll Over'!$B$12:$B$26),-AA16*$E$17,0))</f>
        <v>-16026.699056250003</v>
      </c>
      <c r="AB17" s="71" cm="1">
        <f t="array" ref="AB17">IF(AB$5="","",IF(SUMPRODUCT(--(INDEX('Lease Roll Over'!$N$12:$CK$26,0,AB$5)&gt;0))&gt;=COUNT('Lease Roll Over'!$B$12:$B$26),-AB16*$E$17,0))</f>
        <v>-16036.516556250002</v>
      </c>
      <c r="AC17" s="71" cm="1">
        <f t="array" ref="AC17">IF(AC$5="","",IF(SUMPRODUCT(--(INDEX('Lease Roll Over'!$N$12:$CK$26,0,AC$5)&gt;0))&gt;=COUNT('Lease Roll Over'!$B$12:$B$26),-AC16*$E$17,0))</f>
        <v>-16077.744881250001</v>
      </c>
      <c r="AD17" s="71" cm="1">
        <f t="array" ref="AD17">IF(AD$5="","",IF(SUMPRODUCT(--(INDEX('Lease Roll Over'!$N$12:$CK$26,0,AD$5)&gt;0))&gt;=COUNT('Lease Roll Over'!$B$12:$B$26),-AD16*$E$17,0))</f>
        <v>-16278.932381250001</v>
      </c>
      <c r="AE17" s="71" cm="1">
        <f t="array" ref="AE17">IF(AE$5="","",IF(SUMPRODUCT(--(INDEX('Lease Roll Over'!$N$12:$CK$26,0,AE$5)&gt;0))&gt;=COUNT('Lease Roll Over'!$B$12:$B$26),-AE16*$E$17,0))</f>
        <v>-15941.1396816375</v>
      </c>
      <c r="AF17" s="71" cm="1">
        <f t="array" ref="AF17">IF(AF$5="","",IF(SUMPRODUCT(--(INDEX('Lease Roll Over'!$N$12:$CK$26,0,AF$5)&gt;0))&gt;=COUNT('Lease Roll Over'!$B$12:$B$26),-AF16*$E$17,0))</f>
        <v>-15941.1396816375</v>
      </c>
      <c r="AG17" s="71" cm="1">
        <f t="array" ref="AG17">IF(AG$5="","",IF(SUMPRODUCT(--(INDEX('Lease Roll Over'!$N$12:$CK$26,0,AG$5)&gt;0))&gt;=COUNT('Lease Roll Over'!$B$12:$B$26),-AG16*$E$17,0))</f>
        <v>-15944.709681637501</v>
      </c>
      <c r="AH17" s="71" cm="1">
        <f t="array" ref="AH17">IF(AH$5="","",IF(SUMPRODUCT(--(INDEX('Lease Roll Over'!$N$12:$CK$26,0,AH$5)&gt;0))&gt;=COUNT('Lease Roll Over'!$B$12:$B$26),-AH16*$E$17,0))</f>
        <v>-15982.002968887502</v>
      </c>
      <c r="AI17" s="71" cm="1">
        <f t="array" ref="AI17">IF(AI$5="","",IF(SUMPRODUCT(--(INDEX('Lease Roll Over'!$N$12:$CK$26,0,AI$5)&gt;0))&gt;=COUNT('Lease Roll Over'!$B$12:$B$26),-AI16*$E$17,0))</f>
        <v>-16168.632628887503</v>
      </c>
      <c r="AJ17" s="71" cm="1">
        <f t="array" ref="AJ17">IF(AJ$5="","",IF(SUMPRODUCT(--(INDEX('Lease Roll Over'!$N$12:$CK$26,0,AJ$5)&gt;0))&gt;=COUNT('Lease Roll Over'!$B$12:$B$26),-AJ16*$E$17,0))</f>
        <v>-15198.894333887503</v>
      </c>
      <c r="AK17" s="71" cm="1">
        <f t="array" ref="AK17">IF(AK$5="","",IF(SUMPRODUCT(--(INDEX('Lease Roll Over'!$N$12:$CK$26,0,AK$5)&gt;0))&gt;=COUNT('Lease Roll Over'!$B$12:$B$26),-AK16*$E$17,0))</f>
        <v>-15246.196833887501</v>
      </c>
      <c r="AL17" s="71" cm="1">
        <f t="array" ref="AL17">IF(AL$5="","",IF(SUMPRODUCT(--(INDEX('Lease Roll Over'!$N$12:$CK$26,0,AL$5)&gt;0))&gt;=COUNT('Lease Roll Over'!$B$12:$B$26),-AL16*$E$17,0))</f>
        <v>-15252.444333887499</v>
      </c>
      <c r="AM17" s="71" cm="1">
        <f t="array" ref="AM17">IF(AM$5="","",IF(SUMPRODUCT(--(INDEX('Lease Roll Over'!$N$12:$CK$26,0,AM$5)&gt;0))&gt;=COUNT('Lease Roll Over'!$B$12:$B$26),-AM16*$E$17,0))</f>
        <v>-15307.9435538875</v>
      </c>
      <c r="AN17" s="71" cm="1">
        <f t="array" ref="AN17">IF(AN$5="","",IF(SUMPRODUCT(--(INDEX('Lease Roll Over'!$N$12:$CK$26,0,AN$5)&gt;0))&gt;=COUNT('Lease Roll Over'!$B$12:$B$26),-AN16*$E$17,0))</f>
        <v>-15771.9555788875</v>
      </c>
      <c r="AO17" s="71" cm="1">
        <f t="array" ref="AO17">IF(AO$5="","",IF(SUMPRODUCT(--(INDEX('Lease Roll Over'!$N$12:$CK$26,0,AO$5)&gt;0))&gt;=COUNT('Lease Roll Over'!$B$12:$B$26),-AO16*$E$17,0))</f>
        <v>-15201.079177637501</v>
      </c>
      <c r="AP17" s="71" cm="1">
        <f t="array" ref="AP17">IF(AP$5="","",IF(SUMPRODUCT(--(INDEX('Lease Roll Over'!$N$12:$CK$26,0,AP$5)&gt;0))&gt;=COUNT('Lease Roll Over'!$B$12:$B$26),-AP16*$E$17,0))</f>
        <v>-15229.802302637499</v>
      </c>
      <c r="AQ17" s="71" cm="1">
        <f t="array" ref="AQ17">IF(AQ$5="","",IF(SUMPRODUCT(--(INDEX('Lease Roll Over'!$N$12:$CK$26,0,AQ$5)&gt;0))&gt;=COUNT('Lease Roll Over'!$B$12:$B$26),-AQ16*$E$17,0))</f>
        <v>-15393.312072036626</v>
      </c>
      <c r="AR17" s="71" cm="1">
        <f t="array" ref="AR17">IF(AR$5="","",IF(SUMPRODUCT(--(INDEX('Lease Roll Over'!$N$12:$CK$26,0,AR$5)&gt;0))&gt;=COUNT('Lease Roll Over'!$B$12:$B$26),-AR16*$E$17,0))</f>
        <v>-15893.112072036625</v>
      </c>
      <c r="AS17" s="71" cm="1">
        <f t="array" ref="AS17">IF(AS$5="","",IF(SUMPRODUCT(--(INDEX('Lease Roll Over'!$N$12:$CK$26,0,AS$5)&gt;0))&gt;=COUNT('Lease Roll Over'!$B$12:$B$26),-AS16*$E$17,0))</f>
        <v>-16664.339172036623</v>
      </c>
      <c r="AT17" s="71" cm="1">
        <f t="array" ref="AT17">IF(AT$5="","",IF(SUMPRODUCT(--(INDEX('Lease Roll Over'!$N$12:$CK$26,0,AT$5)&gt;0))&gt;=COUNT('Lease Roll Over'!$B$12:$B$26),-AT16*$E$17,0))</f>
        <v>-16702.751257904125</v>
      </c>
      <c r="AU17" s="71" cm="1">
        <f t="array" ref="AU17">IF(AU$5="","",IF(SUMPRODUCT(--(INDEX('Lease Roll Over'!$N$12:$CK$26,0,AU$5)&gt;0))&gt;=COUNT('Lease Roll Over'!$B$12:$B$26),-AU16*$E$17,0))</f>
        <v>-16722.118507904124</v>
      </c>
      <c r="AV17" s="71" cm="1">
        <f t="array" ref="AV17">IF(AV$5="","",IF(SUMPRODUCT(--(INDEX('Lease Roll Over'!$N$12:$CK$26,0,AV$5)&gt;0))&gt;=COUNT('Lease Roll Over'!$B$12:$B$26),-AV16*$E$17,0))</f>
        <v>-16755.119587904126</v>
      </c>
      <c r="AW17" s="71" cm="1">
        <f t="array" ref="AW17">IF(AW$5="","",IF(SUMPRODUCT(--(INDEX('Lease Roll Over'!$N$12:$CK$26,0,AW$5)&gt;0))&gt;=COUNT('Lease Roll Over'!$B$12:$B$26),-AW16*$E$17,0))</f>
        <v>-16803.841162904126</v>
      </c>
      <c r="AX17" s="71" cm="1">
        <f t="array" ref="AX17">IF(AX$5="","",IF(SUMPRODUCT(--(INDEX('Lease Roll Over'!$N$12:$CK$26,0,AX$5)&gt;0))&gt;=COUNT('Lease Roll Over'!$B$12:$B$26),-AX16*$E$17,0))</f>
        <v>-17345.776087904123</v>
      </c>
      <c r="AY17" s="71" cm="1">
        <f t="array" ref="AY17">IF(AY$5="","",IF(SUMPRODUCT(--(INDEX('Lease Roll Over'!$N$12:$CK$26,0,AY$5)&gt;0))&gt;=COUNT('Lease Roll Over'!$B$12:$B$26),-AY16*$E$17,0))</f>
        <v>-17402.940284504126</v>
      </c>
      <c r="AZ17" s="71" cm="1">
        <f t="array" ref="AZ17">IF(AZ$5="","",IF(SUMPRODUCT(--(INDEX('Lease Roll Over'!$N$12:$CK$26,0,AZ$5)&gt;0))&gt;=COUNT('Lease Roll Over'!$B$12:$B$26),-AZ16*$E$17,0))</f>
        <v>-17434.622670254124</v>
      </c>
      <c r="BA17" s="71" cm="1">
        <f t="array" ref="BA17">IF(BA$5="","",IF(SUMPRODUCT(--(INDEX('Lease Roll Over'!$N$12:$CK$26,0,BA$5)&gt;0))&gt;=COUNT('Lease Roll Over'!$B$12:$B$26),-BA16*$E$17,0))</f>
        <v>-17459.961552966626</v>
      </c>
      <c r="BB17" s="71" cm="1">
        <f t="array" ref="BB17">IF(BB$5="","",IF(SUMPRODUCT(--(INDEX('Lease Roll Over'!$N$12:$CK$26,0,BB$5)&gt;0))&gt;=COUNT('Lease Roll Over'!$B$12:$B$26),-BB16*$E$17,0))</f>
        <v>-17489.546371716624</v>
      </c>
      <c r="BC17" s="71" cm="1">
        <f t="array" ref="BC17">IF(BC$5="","",IF(SUMPRODUCT(--(INDEX('Lease Roll Over'!$N$12:$CK$26,0,BC$5)&gt;0))&gt;=COUNT('Lease Roll Over'!$B$12:$B$26),-BC16*$E$17,0))</f>
        <v>-17657.961434197725</v>
      </c>
      <c r="BD17" s="71" cm="1">
        <f t="array" ref="BD17">IF(BD$5="","",IF(SUMPRODUCT(--(INDEX('Lease Roll Over'!$N$12:$CK$26,0,BD$5)&gt;0))&gt;=COUNT('Lease Roll Over'!$B$12:$B$26),-BD16*$E$17,0))</f>
        <v>-17672.955434197724</v>
      </c>
      <c r="BE17" s="71" cm="1">
        <f t="array" ref="BE17">IF(BE$5="","",IF(SUMPRODUCT(--(INDEX('Lease Roll Over'!$N$12:$CK$26,0,BE$5)&gt;0))&gt;=COUNT('Lease Roll Over'!$B$12:$B$26),-BE16*$E$17,0))</f>
        <v>-17699.769347197722</v>
      </c>
      <c r="BF17" s="71" cm="1">
        <f t="array" ref="BF17">IF(BF$5="","",IF(SUMPRODUCT(--(INDEX('Lease Roll Over'!$N$12:$CK$26,0,BF$5)&gt;0))&gt;=COUNT('Lease Roll Over'!$B$12:$B$26),-BF16*$E$17,0))</f>
        <v>-17739.333795641247</v>
      </c>
      <c r="BG17" s="71" cm="1">
        <f t="array" ref="BG17">IF(BG$5="","",IF(SUMPRODUCT(--(INDEX('Lease Roll Over'!$N$12:$CK$26,0,BG$5)&gt;0))&gt;=COUNT('Lease Roll Over'!$B$12:$B$26),-BG16*$E$17,0))</f>
        <v>-17759.282063141243</v>
      </c>
      <c r="BH17" s="71" cm="1">
        <f t="array" ref="BH17">IF(BH$5="","",IF(SUMPRODUCT(--(INDEX('Lease Roll Over'!$N$12:$CK$26,0,BH$5)&gt;0))&gt;=COUNT('Lease Roll Over'!$B$12:$B$26),-BH16*$E$17,0))</f>
        <v>-17793.27317554125</v>
      </c>
      <c r="BI17" s="71" cm="1">
        <f t="array" ref="BI17">IF(BI$5="","",IF(SUMPRODUCT(--(INDEX('Lease Roll Over'!$N$12:$CK$26,0,BI$5)&gt;0))&gt;=COUNT('Lease Roll Over'!$B$12:$B$26),-BI16*$E$17,0))</f>
        <v>-17843.456397791248</v>
      </c>
      <c r="BJ17" s="71" cm="1">
        <f t="array" ref="BJ17">IF(BJ$5="","",IF(SUMPRODUCT(--(INDEX('Lease Roll Over'!$N$12:$CK$26,0,BJ$5)&gt;0))&gt;=COUNT('Lease Roll Over'!$B$12:$B$26),-BJ16*$E$17,0))</f>
        <v>-17866.14937054125</v>
      </c>
      <c r="BK17" s="71" cm="1">
        <f t="array" ref="BK17">IF(BK$5="","",IF(SUMPRODUCT(--(INDEX('Lease Roll Over'!$N$12:$CK$26,0,BK$5)&gt;0))&gt;=COUNT('Lease Roll Over'!$B$12:$B$26),-BK16*$E$17,0))</f>
        <v>-17925.028493039248</v>
      </c>
      <c r="BL17" s="71" cm="1">
        <f t="array" ref="BL17">IF(BL$5="","",IF(SUMPRODUCT(--(INDEX('Lease Roll Over'!$N$12:$CK$26,0,BL$5)&gt;0))&gt;=COUNT('Lease Roll Over'!$B$12:$B$26),-BL16*$E$17,0))</f>
        <v>-17957.661350361748</v>
      </c>
      <c r="BM17" s="71" cm="1">
        <f t="array" ref="BM17">IF(BM$5="","",IF(SUMPRODUCT(--(INDEX('Lease Roll Over'!$N$12:$CK$26,0,BM$5)&gt;0))&gt;=COUNT('Lease Roll Over'!$B$12:$B$26),-BM16*$E$17,0))</f>
        <v>-17983.760399555624</v>
      </c>
      <c r="BN17" s="71" cm="1">
        <f t="array" ref="BN17">IF(BN$5="","",IF(SUMPRODUCT(--(INDEX('Lease Roll Over'!$N$12:$CK$26,0,BN$5)&gt;0))&gt;=COUNT('Lease Roll Over'!$B$12:$B$26),-BN16*$E$17,0))</f>
        <v>-18014.23276286812</v>
      </c>
      <c r="BO17" s="71" cm="1">
        <f t="array" ref="BO17">IF(BO$5="","",IF(SUMPRODUCT(--(INDEX('Lease Roll Over'!$N$12:$CK$26,0,BO$5)&gt;0))&gt;=COUNT('Lease Roll Over'!$B$12:$B$26),-BO16*$E$17,0))</f>
        <v>-18187.700277223656</v>
      </c>
      <c r="BP17" s="71" cm="1">
        <f t="array" ref="BP17">IF(BP$5="","",IF(SUMPRODUCT(--(INDEX('Lease Roll Over'!$N$12:$CK$26,0,BP$5)&gt;0))&gt;=COUNT('Lease Roll Over'!$B$12:$B$26),-BP16*$E$17,0))</f>
        <v>-18203.144097223652</v>
      </c>
      <c r="BQ17" s="71" cm="1">
        <f t="array" ref="BQ17">IF(BQ$5="","",IF(SUMPRODUCT(--(INDEX('Lease Roll Over'!$N$12:$CK$26,0,BQ$5)&gt;0))&gt;=COUNT('Lease Roll Over'!$B$12:$B$26),-BQ16*$E$17,0))</f>
        <v>-18230.762427613652</v>
      </c>
      <c r="BR17" s="71" cm="1">
        <f t="array" ref="BR17">IF(BR$5="","",IF(SUMPRODUCT(--(INDEX('Lease Roll Over'!$N$12:$CK$26,0,BR$5)&gt;0))&gt;=COUNT('Lease Roll Over'!$B$12:$B$26),-BR16*$E$17,0))</f>
        <v>-18271.513809510485</v>
      </c>
      <c r="BS17" s="71" cm="1">
        <f t="array" ref="BS17">IF(BS$5="","",IF(SUMPRODUCT(--(INDEX('Lease Roll Over'!$N$12:$CK$26,0,BS$5)&gt;0))&gt;=COUNT('Lease Roll Over'!$B$12:$B$26),-BS16*$E$17,0))</f>
        <v>-18292.060525035486</v>
      </c>
      <c r="BT17" s="71" cm="1">
        <f t="array" ref="BT17">IF(BT$5="","",IF(SUMPRODUCT(--(INDEX('Lease Roll Over'!$N$12:$CK$26,0,BT$5)&gt;0))&gt;=COUNT('Lease Roll Over'!$B$12:$B$26),-BT16*$E$17,0))</f>
        <v>-18327.071370807487</v>
      </c>
      <c r="BU17" s="71" cm="1">
        <f t="array" ref="BU17">IF(BU$5="","",IF(SUMPRODUCT(--(INDEX('Lease Roll Over'!$N$12:$CK$26,0,BU$5)&gt;0))&gt;=COUNT('Lease Roll Over'!$B$12:$B$26),-BU16*$E$17,0))</f>
        <v>-18378.760089724987</v>
      </c>
      <c r="BV17" s="71" cm="1">
        <f t="array" ref="BV17">IF(BV$5="","",IF(SUMPRODUCT(--(INDEX('Lease Roll Over'!$N$12:$CK$26,0,BV$5)&gt;0))&gt;=COUNT('Lease Roll Over'!$B$12:$B$26),-BV16*$E$17,0))</f>
        <v>-18402.133851657487</v>
      </c>
      <c r="BW17" s="71" cm="1">
        <f t="array" ref="BW17">IF(BW$5="","",IF(SUMPRODUCT(--(INDEX('Lease Roll Over'!$N$12:$CK$26,0,BW$5)&gt;0))&gt;=COUNT('Lease Roll Over'!$B$12:$B$26),-BW16*$E$17,0))</f>
        <v>-18021.327780336986</v>
      </c>
      <c r="BX17" s="71" cm="1">
        <f t="array" ref="BX17">IF(BX$5="","",IF(SUMPRODUCT(--(INDEX('Lease Roll Over'!$N$12:$CK$26,0,BX$5)&gt;0))&gt;=COUNT('Lease Roll Over'!$B$12:$B$26),-BX16*$E$17,0))</f>
        <v>0</v>
      </c>
      <c r="BY17" s="71" cm="1">
        <f t="array" ref="BY17">IF(BY$5="","",IF(SUMPRODUCT(--(INDEX('Lease Roll Over'!$N$12:$CK$26,0,BY$5)&gt;0))&gt;=COUNT('Lease Roll Over'!$B$12:$B$26),-BY16*$E$17,0))</f>
        <v>0</v>
      </c>
      <c r="BZ17" s="71" cm="1">
        <f t="array" ref="BZ17">IF(BZ$5="","",IF(SUMPRODUCT(--(INDEX('Lease Roll Over'!$N$12:$CK$26,0,BZ$5)&gt;0))&gt;=COUNT('Lease Roll Over'!$B$12:$B$26),-BZ16*$E$17,0))</f>
        <v>0</v>
      </c>
      <c r="CA17" s="71" t="str" cm="1">
        <f t="array" ref="CA17">IF(CA$5="","",IF(SUMPRODUCT(--(INDEX('Lease Roll Over'!$N$12:$CK$26,0,CA$5)&gt;0))&gt;=COUNT('Lease Roll Over'!$B$12:$B$26),-CA16*$E$17,0))</f>
        <v/>
      </c>
      <c r="CB17" s="71" t="str" cm="1">
        <f t="array" ref="CB17">IF(CB$5="","",IF(SUMPRODUCT(--(INDEX('Lease Roll Over'!$N$12:$CK$26,0,CB$5)&gt;0))&gt;=COUNT('Lease Roll Over'!$B$12:$B$26),-CB16*$E$17,0))</f>
        <v/>
      </c>
      <c r="CC17" s="71" t="str" cm="1">
        <f t="array" ref="CC17">IF(CC$5="","",IF(SUMPRODUCT(--(INDEX('Lease Roll Over'!$N$12:$CK$26,0,CC$5)&gt;0))&gt;=COUNT('Lease Roll Over'!$B$12:$B$26),-CC16*$E$17,0))</f>
        <v/>
      </c>
      <c r="CD17" s="71" t="str" cm="1">
        <f t="array" ref="CD17">IF(CD$5="","",IF(SUMPRODUCT(--(INDEX('Lease Roll Over'!$N$12:$CK$26,0,CD$5)&gt;0))&gt;=COUNT('Lease Roll Over'!$B$12:$B$26),-CD16*$E$17,0))</f>
        <v/>
      </c>
      <c r="CE17" s="71" t="str" cm="1">
        <f t="array" ref="CE17">IF(CE$5="","",IF(SUMPRODUCT(--(INDEX('Lease Roll Over'!$N$12:$CK$26,0,CE$5)&gt;0))&gt;=COUNT('Lease Roll Over'!$B$12:$B$26),-CE16*$E$17,0))</f>
        <v/>
      </c>
      <c r="CF17" s="71" t="str" cm="1">
        <f t="array" ref="CF17">IF(CF$5="","",IF(SUMPRODUCT(--(INDEX('Lease Roll Over'!$N$12:$CK$26,0,CF$5)&gt;0))&gt;=COUNT('Lease Roll Over'!$B$12:$B$26),-CF16*$E$17,0))</f>
        <v/>
      </c>
      <c r="CG17" s="71" t="str" cm="1">
        <f t="array" ref="CG17">IF(CG$5="","",IF(SUMPRODUCT(--(INDEX('Lease Roll Over'!$N$12:$CK$26,0,CG$5)&gt;0))&gt;=COUNT('Lease Roll Over'!$B$12:$B$26),-CG16*$E$17,0))</f>
        <v/>
      </c>
      <c r="CH17" s="71" t="str" cm="1">
        <f t="array" ref="CH17">IF(CH$5="","",IF(SUMPRODUCT(--(INDEX('Lease Roll Over'!$N$12:$CK$26,0,CH$5)&gt;0))&gt;=COUNT('Lease Roll Over'!$B$12:$B$26),-CH16*$E$17,0))</f>
        <v/>
      </c>
      <c r="CI17" s="71" t="str" cm="1">
        <f t="array" ref="CI17">IF(CI$5="","",IF(SUMPRODUCT(--(INDEX('Lease Roll Over'!$N$12:$CK$26,0,CI$5)&gt;0))&gt;=COUNT('Lease Roll Over'!$B$12:$B$26),-CI16*$E$17,0))</f>
        <v/>
      </c>
      <c r="CJ17" s="71" t="str" cm="1">
        <f t="array" ref="CJ17">IF(CJ$5="","",IF(SUMPRODUCT(--(INDEX('Lease Roll Over'!$N$12:$CK$26,0,CJ$5)&gt;0))&gt;=COUNT('Lease Roll Over'!$B$12:$B$26),-CJ16*$E$17,0))</f>
        <v/>
      </c>
      <c r="CK17" s="71" t="str" cm="1">
        <f t="array" ref="CK17">IF(CK$5="","",IF(SUMPRODUCT(--(INDEX('Lease Roll Over'!$N$12:$CK$26,0,CK$5)&gt;0))&gt;=COUNT('Lease Roll Over'!$B$12:$B$26),-CK16*$E$17,0))</f>
        <v/>
      </c>
      <c r="CL17" s="71" t="str" cm="1">
        <f t="array" ref="CL17">IF(CL$5="","",IF(SUMPRODUCT(--(INDEX('Lease Roll Over'!$N$12:$CK$26,0,CL$5)&gt;0))&gt;=COUNT('Lease Roll Over'!$B$12:$B$26),-CL16*$E$17,0))</f>
        <v/>
      </c>
      <c r="CM17" s="71" t="str" cm="1">
        <f t="array" ref="CM17">IF(CM$5="","",IF(SUMPRODUCT(--(INDEX('Lease Roll Over'!$N$12:$CK$26,0,CM$5)&gt;0))&gt;=COUNT('Lease Roll Over'!$B$12:$B$26),-CM16*$E$17,0))</f>
        <v/>
      </c>
      <c r="CN17" s="71" t="str" cm="1">
        <f t="array" ref="CN17">IF(CN$5="","",IF(SUMPRODUCT(--(INDEX('Lease Roll Over'!$N$12:$CK$26,0,CN$5)&gt;0))&gt;=COUNT('Lease Roll Over'!$B$12:$B$26),-CN16*$E$17,0))</f>
        <v/>
      </c>
      <c r="CO17" s="71" t="str" cm="1">
        <f t="array" ref="CO17">IF(CO$5="","",IF(SUMPRODUCT(--(INDEX('Lease Roll Over'!$N$12:$CK$26,0,CO$5)&gt;0))&gt;=COUNT('Lease Roll Over'!$B$12:$B$26),-CO16*$E$17,0))</f>
        <v/>
      </c>
    </row>
    <row r="18" spans="3:93" x14ac:dyDescent="0.2">
      <c r="C18" s="69" t="s">
        <v>295</v>
      </c>
      <c r="D18" s="69"/>
      <c r="E18" s="69"/>
      <c r="F18" s="72"/>
      <c r="G18" s="72">
        <f t="shared" ref="G18:AL18" si="18">IF(G$5="","",SUM(G16:G17))</f>
        <v>237466.64750000002</v>
      </c>
      <c r="H18" s="72">
        <f t="shared" si="18"/>
        <v>237466.64750000002</v>
      </c>
      <c r="I18" s="72">
        <f t="shared" si="18"/>
        <v>237647.54749999999</v>
      </c>
      <c r="J18" s="72">
        <f t="shared" si="18"/>
        <v>238350.59749999997</v>
      </c>
      <c r="K18" s="72">
        <f t="shared" si="18"/>
        <v>238610.15749999997</v>
      </c>
      <c r="L18" s="72">
        <f t="shared" si="18"/>
        <v>239457.6875</v>
      </c>
      <c r="M18" s="72">
        <f t="shared" si="18"/>
        <v>239457.6875</v>
      </c>
      <c r="N18" s="72">
        <f t="shared" si="18"/>
        <v>239824.13750000001</v>
      </c>
      <c r="O18" s="72">
        <f t="shared" si="18"/>
        <v>227632.13750000001</v>
      </c>
      <c r="P18" s="72">
        <f t="shared" si="18"/>
        <v>239277.13750000001</v>
      </c>
      <c r="Q18" s="72">
        <f t="shared" si="18"/>
        <v>240077.6875</v>
      </c>
      <c r="R18" s="72">
        <f t="shared" si="18"/>
        <v>255202.6875</v>
      </c>
      <c r="S18" s="72">
        <f t="shared" si="18"/>
        <v>258574.40692500002</v>
      </c>
      <c r="T18" s="72">
        <f t="shared" si="18"/>
        <v>258574.40692500002</v>
      </c>
      <c r="U18" s="72">
        <f t="shared" si="18"/>
        <v>254743.50692500002</v>
      </c>
      <c r="V18" s="72">
        <f t="shared" si="18"/>
        <v>255467.64842499999</v>
      </c>
      <c r="W18" s="72">
        <f t="shared" si="18"/>
        <v>255734.99522499999</v>
      </c>
      <c r="X18" s="72">
        <f t="shared" si="18"/>
        <v>268031.95112500002</v>
      </c>
      <c r="Y18" s="72">
        <f t="shared" si="18"/>
        <v>299566.95112500002</v>
      </c>
      <c r="Z18" s="72">
        <f t="shared" si="18"/>
        <v>291150.50112500001</v>
      </c>
      <c r="AA18" s="72">
        <f t="shared" si="18"/>
        <v>304507.28206875006</v>
      </c>
      <c r="AB18" s="72">
        <f t="shared" si="18"/>
        <v>304693.81456875004</v>
      </c>
      <c r="AC18" s="72">
        <f t="shared" si="18"/>
        <v>305477.15274374996</v>
      </c>
      <c r="AD18" s="72">
        <f t="shared" si="18"/>
        <v>309299.71524374996</v>
      </c>
      <c r="AE18" s="72">
        <f t="shared" si="18"/>
        <v>302881.65395111247</v>
      </c>
      <c r="AF18" s="72">
        <f t="shared" si="18"/>
        <v>302881.65395111247</v>
      </c>
      <c r="AG18" s="72">
        <f t="shared" si="18"/>
        <v>302949.48395111249</v>
      </c>
      <c r="AH18" s="72">
        <f t="shared" si="18"/>
        <v>303658.05640886253</v>
      </c>
      <c r="AI18" s="72">
        <f t="shared" si="18"/>
        <v>307204.01994886255</v>
      </c>
      <c r="AJ18" s="72">
        <f t="shared" si="18"/>
        <v>288778.99234386254</v>
      </c>
      <c r="AK18" s="72">
        <f t="shared" si="18"/>
        <v>289677.73984386254</v>
      </c>
      <c r="AL18" s="72">
        <f t="shared" si="18"/>
        <v>289796.44234386249</v>
      </c>
      <c r="AM18" s="72">
        <f t="shared" ref="AM18:BR18" si="19">IF(AM$5="","",SUM(AM16:AM17))</f>
        <v>290850.92752386251</v>
      </c>
      <c r="AN18" s="72">
        <f t="shared" si="19"/>
        <v>299667.15599886252</v>
      </c>
      <c r="AO18" s="72">
        <f t="shared" si="19"/>
        <v>288820.50437511248</v>
      </c>
      <c r="AP18" s="72">
        <f t="shared" si="19"/>
        <v>289366.24375011248</v>
      </c>
      <c r="AQ18" s="72">
        <f t="shared" si="19"/>
        <v>292472.92936869588</v>
      </c>
      <c r="AR18" s="72">
        <f t="shared" si="19"/>
        <v>301969.1293686959</v>
      </c>
      <c r="AS18" s="72">
        <f t="shared" si="19"/>
        <v>316622.44426869584</v>
      </c>
      <c r="AT18" s="72">
        <f t="shared" si="19"/>
        <v>317352.27390017838</v>
      </c>
      <c r="AU18" s="72">
        <f t="shared" si="19"/>
        <v>317720.25165017834</v>
      </c>
      <c r="AV18" s="72">
        <f t="shared" si="19"/>
        <v>318347.27217017836</v>
      </c>
      <c r="AW18" s="72">
        <f t="shared" si="19"/>
        <v>319272.98209517839</v>
      </c>
      <c r="AX18" s="72">
        <f t="shared" si="19"/>
        <v>329569.74567017832</v>
      </c>
      <c r="AY18" s="72">
        <f t="shared" si="19"/>
        <v>330655.86540557834</v>
      </c>
      <c r="AZ18" s="72">
        <f t="shared" si="19"/>
        <v>331257.83073482831</v>
      </c>
      <c r="BA18" s="72">
        <f t="shared" si="19"/>
        <v>331739.26950636588</v>
      </c>
      <c r="BB18" s="72">
        <f t="shared" si="19"/>
        <v>332301.3810626159</v>
      </c>
      <c r="BC18" s="72">
        <f t="shared" si="19"/>
        <v>335501.26724975673</v>
      </c>
      <c r="BD18" s="72">
        <f t="shared" si="19"/>
        <v>335786.15324975672</v>
      </c>
      <c r="BE18" s="72">
        <f t="shared" si="19"/>
        <v>336295.61759675667</v>
      </c>
      <c r="BF18" s="72">
        <f t="shared" si="19"/>
        <v>337047.34211718367</v>
      </c>
      <c r="BG18" s="72">
        <f t="shared" si="19"/>
        <v>337426.35919968365</v>
      </c>
      <c r="BH18" s="72">
        <f t="shared" si="19"/>
        <v>338072.1903352837</v>
      </c>
      <c r="BI18" s="72">
        <f t="shared" si="19"/>
        <v>339025.67155803367</v>
      </c>
      <c r="BJ18" s="72">
        <f t="shared" si="19"/>
        <v>339456.83804028371</v>
      </c>
      <c r="BK18" s="72">
        <f t="shared" si="19"/>
        <v>340575.54136774567</v>
      </c>
      <c r="BL18" s="72">
        <f t="shared" si="19"/>
        <v>341195.56565687316</v>
      </c>
      <c r="BM18" s="72">
        <f t="shared" si="19"/>
        <v>341691.44759155682</v>
      </c>
      <c r="BN18" s="72">
        <f t="shared" si="19"/>
        <v>342270.4224944943</v>
      </c>
      <c r="BO18" s="79">
        <f t="shared" si="19"/>
        <v>345566.30526724941</v>
      </c>
      <c r="BP18" s="79">
        <f t="shared" si="19"/>
        <v>345859.73784724937</v>
      </c>
      <c r="BQ18" s="79">
        <f t="shared" si="19"/>
        <v>346384.48612465936</v>
      </c>
      <c r="BR18" s="79">
        <f t="shared" si="19"/>
        <v>347158.76238069916</v>
      </c>
      <c r="BS18" s="79">
        <f t="shared" ref="BS18:CO18" si="20">IF(BS$5="","",SUM(BS16:BS17))</f>
        <v>347549.14997567423</v>
      </c>
      <c r="BT18" s="79">
        <f t="shared" si="20"/>
        <v>348214.35604534223</v>
      </c>
      <c r="BU18" s="79">
        <f t="shared" si="20"/>
        <v>349196.44170477474</v>
      </c>
      <c r="BV18" s="79">
        <f t="shared" si="20"/>
        <v>349640.54318149225</v>
      </c>
      <c r="BW18" s="79">
        <f t="shared" si="20"/>
        <v>342405.22782640276</v>
      </c>
      <c r="BX18" s="79">
        <f t="shared" si="20"/>
        <v>349794.24872028973</v>
      </c>
      <c r="BY18" s="79">
        <f t="shared" si="20"/>
        <v>350331.88913368352</v>
      </c>
      <c r="BZ18" s="79">
        <f t="shared" si="20"/>
        <v>339970.59944413352</v>
      </c>
      <c r="CA18" s="79" t="str">
        <f t="shared" si="20"/>
        <v/>
      </c>
      <c r="CB18" s="79" t="str">
        <f t="shared" si="20"/>
        <v/>
      </c>
      <c r="CC18" s="79" t="str">
        <f t="shared" si="20"/>
        <v/>
      </c>
      <c r="CD18" s="79" t="str">
        <f t="shared" si="20"/>
        <v/>
      </c>
      <c r="CE18" s="79" t="str">
        <f t="shared" si="20"/>
        <v/>
      </c>
      <c r="CF18" s="79" t="str">
        <f t="shared" si="20"/>
        <v/>
      </c>
      <c r="CG18" s="79" t="str">
        <f t="shared" si="20"/>
        <v/>
      </c>
      <c r="CH18" s="79" t="str">
        <f t="shared" si="20"/>
        <v/>
      </c>
      <c r="CI18" s="79" t="str">
        <f t="shared" si="20"/>
        <v/>
      </c>
      <c r="CJ18" s="79" t="str">
        <f t="shared" si="20"/>
        <v/>
      </c>
      <c r="CK18" s="79" t="str">
        <f t="shared" si="20"/>
        <v/>
      </c>
      <c r="CL18" s="79" t="str">
        <f t="shared" si="20"/>
        <v/>
      </c>
      <c r="CM18" s="79" t="str">
        <f t="shared" si="20"/>
        <v/>
      </c>
      <c r="CN18" s="79" t="str">
        <f t="shared" si="20"/>
        <v/>
      </c>
      <c r="CO18" s="79" t="str">
        <f t="shared" si="20"/>
        <v/>
      </c>
    </row>
    <row r="19" spans="3:93" x14ac:dyDescent="0.2">
      <c r="C19" s="65"/>
      <c r="D19" s="65"/>
      <c r="E19" s="65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</row>
    <row r="20" spans="3:93" x14ac:dyDescent="0.2">
      <c r="C20" s="67" t="s">
        <v>61</v>
      </c>
      <c r="D20" s="67"/>
      <c r="E20" s="67"/>
      <c r="F20" s="73"/>
      <c r="G20" s="192" t="s">
        <v>393</v>
      </c>
      <c r="H20" s="192" t="s">
        <v>393</v>
      </c>
      <c r="I20" s="192" t="s">
        <v>393</v>
      </c>
      <c r="J20" s="192" t="s">
        <v>393</v>
      </c>
      <c r="K20" s="192" t="s">
        <v>393</v>
      </c>
      <c r="L20" s="192" t="s">
        <v>393</v>
      </c>
      <c r="M20" s="192" t="s">
        <v>393</v>
      </c>
      <c r="N20" s="192" t="s">
        <v>393</v>
      </c>
      <c r="O20" s="192" t="s">
        <v>393</v>
      </c>
      <c r="P20" s="192" t="s">
        <v>393</v>
      </c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</row>
    <row r="21" spans="3:93" x14ac:dyDescent="0.2">
      <c r="C21" s="65" t="s">
        <v>276</v>
      </c>
      <c r="D21" s="65"/>
      <c r="E21" s="65"/>
      <c r="F21" s="71"/>
      <c r="G21" s="71">
        <f>-'2021 T12'!D74</f>
        <v>-29234.25</v>
      </c>
      <c r="H21" s="71">
        <f>-'2021 T12'!E74</f>
        <v>-42334.55</v>
      </c>
      <c r="I21" s="71">
        <f>-'2021 T12'!F74</f>
        <v>-25405.200000000001</v>
      </c>
      <c r="J21" s="71">
        <f>-'2021 T12'!G74</f>
        <v>-17614.61</v>
      </c>
      <c r="K21" s="71">
        <f>-'2021 T12'!H74</f>
        <v>-21129.95</v>
      </c>
      <c r="L21" s="71">
        <f>-'2021 T12'!I74</f>
        <v>-44306.55</v>
      </c>
      <c r="M21" s="71">
        <f>-'2021 T12'!J74</f>
        <v>-27865.599999999999</v>
      </c>
      <c r="N21" s="71">
        <f>-'2021 T12'!K74</f>
        <v>-9160</v>
      </c>
      <c r="O21" s="71">
        <f>-'2021 T12'!L74</f>
        <v>-58108.55</v>
      </c>
      <c r="P21" s="71">
        <f>-'2021 T12'!M74</f>
        <v>-9794.2999999999993</v>
      </c>
      <c r="Q21" s="71" cm="1">
        <f t="array" ref="Q21">IF(Q$5="","",-INDEX(OPEX!$F$23:$BM$23,1,Q$5))</f>
        <v>-23225</v>
      </c>
      <c r="R21" s="71" cm="1">
        <f t="array" ref="R21">IF(R$5="","",-INDEX(OPEX!$F$23:$BM$23,1,R$5))</f>
        <v>-23225</v>
      </c>
      <c r="S21" s="71" cm="1">
        <f t="array" ref="S21">IF(S$5="","",-INDEX(OPEX!$F$23:$BM$23,1,S$5))</f>
        <v>-23225</v>
      </c>
      <c r="T21" s="71" cm="1">
        <f t="array" ref="T21">IF(T$5="","",-INDEX(OPEX!$F$23:$BM$23,1,T$5))</f>
        <v>-23225</v>
      </c>
      <c r="U21" s="71" cm="1">
        <f t="array" ref="U21">IF(U$5="","",-INDEX(OPEX!$F$23:$BM$23,1,U$5))</f>
        <v>-23225</v>
      </c>
      <c r="V21" s="71" cm="1">
        <f t="array" ref="V21">IF(V$5="","",-INDEX(OPEX!$F$23:$BM$23,1,V$5))</f>
        <v>-23225</v>
      </c>
      <c r="W21" s="71" cm="1">
        <f t="array" ref="W21">IF(W$5="","",-INDEX(OPEX!$F$23:$BM$23,1,W$5))</f>
        <v>-23225</v>
      </c>
      <c r="X21" s="71" cm="1">
        <f t="array" ref="X21">IF(X$5="","",-INDEX(OPEX!$F$23:$BM$23,1,X$5))</f>
        <v>-23225</v>
      </c>
      <c r="Y21" s="71" cm="1">
        <f t="array" ref="Y21">IF(Y$5="","",-INDEX(OPEX!$F$23:$BM$23,1,Y$5))</f>
        <v>-23225</v>
      </c>
      <c r="Z21" s="71" cm="1">
        <f t="array" ref="Z21">IF(Z$5="","",-INDEX(OPEX!$F$23:$BM$23,1,Z$5))</f>
        <v>-23225</v>
      </c>
      <c r="AA21" s="71" cm="1">
        <f t="array" ref="AA21">IF(AA$5="","",-INDEX(OPEX!$F$23:$BM$23,1,AA$5))</f>
        <v>-23225</v>
      </c>
      <c r="AB21" s="71" cm="1">
        <f t="array" ref="AB21">IF(AB$5="","",-INDEX(OPEX!$F$23:$BM$23,1,AB$5))</f>
        <v>-23225</v>
      </c>
      <c r="AC21" s="71" cm="1">
        <f t="array" ref="AC21">IF(AC$5="","",-INDEX(OPEX!$F$23:$BM$23,1,AC$5))</f>
        <v>-23225</v>
      </c>
      <c r="AD21" s="71" cm="1">
        <f t="array" ref="AD21">IF(AD$5="","",-INDEX(OPEX!$F$23:$BM$23,1,AD$5))</f>
        <v>-23225</v>
      </c>
      <c r="AE21" s="71" cm="1">
        <f t="array" ref="AE21">IF(AE$5="","",-INDEX(OPEX!$F$23:$BM$23,1,AE$5))</f>
        <v>-23921.75</v>
      </c>
      <c r="AF21" s="71" cm="1">
        <f t="array" ref="AF21">IF(AF$5="","",-INDEX(OPEX!$F$23:$BM$23,1,AF$5))</f>
        <v>-23921.75</v>
      </c>
      <c r="AG21" s="71" cm="1">
        <f t="array" ref="AG21">IF(AG$5="","",-INDEX(OPEX!$F$23:$BM$23,1,AG$5))</f>
        <v>-23921.75</v>
      </c>
      <c r="AH21" s="71" cm="1">
        <f t="array" ref="AH21">IF(AH$5="","",-INDEX(OPEX!$F$23:$BM$23,1,AH$5))</f>
        <v>-23921.75</v>
      </c>
      <c r="AI21" s="71" cm="1">
        <f t="array" ref="AI21">IF(AI$5="","",-INDEX(OPEX!$F$23:$BM$23,1,AI$5))</f>
        <v>-23921.75</v>
      </c>
      <c r="AJ21" s="71" cm="1">
        <f t="array" ref="AJ21">IF(AJ$5="","",-INDEX(OPEX!$F$23:$BM$23,1,AJ$5))</f>
        <v>-23921.75</v>
      </c>
      <c r="AK21" s="71" cm="1">
        <f t="array" ref="AK21">IF(AK$5="","",-INDEX(OPEX!$F$23:$BM$23,1,AK$5))</f>
        <v>-23921.75</v>
      </c>
      <c r="AL21" s="71" cm="1">
        <f t="array" ref="AL21">IF(AL$5="","",-INDEX(OPEX!$F$23:$BM$23,1,AL$5))</f>
        <v>-23921.75</v>
      </c>
      <c r="AM21" s="71" cm="1">
        <f t="array" ref="AM21">IF(AM$5="","",-INDEX(OPEX!$F$23:$BM$23,1,AM$5))</f>
        <v>-23921.75</v>
      </c>
      <c r="AN21" s="71" cm="1">
        <f t="array" ref="AN21">IF(AN$5="","",-INDEX(OPEX!$F$23:$BM$23,1,AN$5))</f>
        <v>-23921.75</v>
      </c>
      <c r="AO21" s="71" cm="1">
        <f t="array" ref="AO21">IF(AO$5="","",-INDEX(OPEX!$F$23:$BM$23,1,AO$5))</f>
        <v>-23921.75</v>
      </c>
      <c r="AP21" s="71" cm="1">
        <f t="array" ref="AP21">IF(AP$5="","",-INDEX(OPEX!$F$23:$BM$23,1,AP$5))</f>
        <v>-23921.75</v>
      </c>
      <c r="AQ21" s="71" cm="1">
        <f t="array" ref="AQ21">IF(AQ$5="","",-INDEX(OPEX!$F$23:$BM$23,1,AQ$5))</f>
        <v>-24639.4025</v>
      </c>
      <c r="AR21" s="71" cm="1">
        <f t="array" ref="AR21">IF(AR$5="","",-INDEX(OPEX!$F$23:$BM$23,1,AR$5))</f>
        <v>-24639.4025</v>
      </c>
      <c r="AS21" s="71" cm="1">
        <f t="array" ref="AS21">IF(AS$5="","",-INDEX(OPEX!$F$23:$BM$23,1,AS$5))</f>
        <v>-24639.4025</v>
      </c>
      <c r="AT21" s="71" cm="1">
        <f t="array" ref="AT21">IF(AT$5="","",-INDEX(OPEX!$F$23:$BM$23,1,AT$5))</f>
        <v>-24639.4025</v>
      </c>
      <c r="AU21" s="71" cm="1">
        <f t="array" ref="AU21">IF(AU$5="","",-INDEX(OPEX!$F$23:$BM$23,1,AU$5))</f>
        <v>-24639.4025</v>
      </c>
      <c r="AV21" s="71" cm="1">
        <f t="array" ref="AV21">IF(AV$5="","",-INDEX(OPEX!$F$23:$BM$23,1,AV$5))</f>
        <v>-24639.4025</v>
      </c>
      <c r="AW21" s="71" cm="1">
        <f t="array" ref="AW21">IF(AW$5="","",-INDEX(OPEX!$F$23:$BM$23,1,AW$5))</f>
        <v>-24639.4025</v>
      </c>
      <c r="AX21" s="71" cm="1">
        <f t="array" ref="AX21">IF(AX$5="","",-INDEX(OPEX!$F$23:$BM$23,1,AX$5))</f>
        <v>-24639.4025</v>
      </c>
      <c r="AY21" s="71" cm="1">
        <f t="array" ref="AY21">IF(AY$5="","",-INDEX(OPEX!$F$23:$BM$23,1,AY$5))</f>
        <v>-24639.4025</v>
      </c>
      <c r="AZ21" s="71" cm="1">
        <f t="array" ref="AZ21">IF(AZ$5="","",-INDEX(OPEX!$F$23:$BM$23,1,AZ$5))</f>
        <v>-24639.4025</v>
      </c>
      <c r="BA21" s="71" cm="1">
        <f t="array" ref="BA21">IF(BA$5="","",-INDEX(OPEX!$F$23:$BM$23,1,BA$5))</f>
        <v>-24639.4025</v>
      </c>
      <c r="BB21" s="71" cm="1">
        <f t="array" ref="BB21">IF(BB$5="","",-INDEX(OPEX!$F$23:$BM$23,1,BB$5))</f>
        <v>-24639.4025</v>
      </c>
      <c r="BC21" s="71" cm="1">
        <f t="array" ref="BC21">IF(BC$5="","",-INDEX(OPEX!$F$23:$BM$23,1,BC$5))</f>
        <v>-25378.584575000001</v>
      </c>
      <c r="BD21" s="71" cm="1">
        <f t="array" ref="BD21">IF(BD$5="","",-INDEX(OPEX!$F$23:$BM$23,1,BD$5))</f>
        <v>-25378.584575000001</v>
      </c>
      <c r="BE21" s="71" cm="1">
        <f t="array" ref="BE21">IF(BE$5="","",-INDEX(OPEX!$F$23:$BM$23,1,BE$5))</f>
        <v>-25378.584575000001</v>
      </c>
      <c r="BF21" s="71" cm="1">
        <f t="array" ref="BF21">IF(BF$5="","",-INDEX(OPEX!$F$23:$BM$23,1,BF$5))</f>
        <v>-25378.584575000001</v>
      </c>
      <c r="BG21" s="71" cm="1">
        <f t="array" ref="BG21">IF(BG$5="","",-INDEX(OPEX!$F$23:$BM$23,1,BG$5))</f>
        <v>-25378.584575000001</v>
      </c>
      <c r="BH21" s="71" cm="1">
        <f t="array" ref="BH21">IF(BH$5="","",-INDEX(OPEX!$F$23:$BM$23,1,BH$5))</f>
        <v>-25378.584575000001</v>
      </c>
      <c r="BI21" s="71" cm="1">
        <f t="array" ref="BI21">IF(BI$5="","",-INDEX(OPEX!$F$23:$BM$23,1,BI$5))</f>
        <v>-25378.584575000001</v>
      </c>
      <c r="BJ21" s="71" cm="1">
        <f t="array" ref="BJ21">IF(BJ$5="","",-INDEX(OPEX!$F$23:$BM$23,1,BJ$5))</f>
        <v>-25378.584575000001</v>
      </c>
      <c r="BK21" s="71" cm="1">
        <f t="array" ref="BK21">IF(BK$5="","",-INDEX(OPEX!$F$23:$BM$23,1,BK$5))</f>
        <v>-25378.584575000001</v>
      </c>
      <c r="BL21" s="71" cm="1">
        <f t="array" ref="BL21">IF(BL$5="","",-INDEX(OPEX!$F$23:$BM$23,1,BL$5))</f>
        <v>-25378.584575000001</v>
      </c>
      <c r="BM21" s="71" cm="1">
        <f t="array" ref="BM21">IF(BM$5="","",-INDEX(OPEX!$F$23:$BM$23,1,BM$5))</f>
        <v>-25378.584575000001</v>
      </c>
      <c r="BN21" s="71" cm="1">
        <f t="array" ref="BN21">IF(BN$5="","",-INDEX(OPEX!$F$23:$BM$23,1,BN$5))</f>
        <v>-25378.584575000001</v>
      </c>
      <c r="BO21" s="71" cm="1">
        <f t="array" ref="BO21">IF(BO$5="","",-INDEX(OPEX!$F$23:$BY$23,1,BO$5))</f>
        <v>-26139.942112249999</v>
      </c>
      <c r="BP21" s="71" cm="1">
        <f t="array" ref="BP21">IF(BP$5="","",-INDEX(OPEX!$F$23:$BY$23,1,BP$5))</f>
        <v>-26139.942112249999</v>
      </c>
      <c r="BQ21" s="71" cm="1">
        <f t="array" ref="BQ21">IF(BQ$5="","",-INDEX(OPEX!$F$23:$BY$23,1,BQ$5))</f>
        <v>-26139.942112249999</v>
      </c>
      <c r="BR21" s="71" cm="1">
        <f t="array" ref="BR21">IF(BR$5="","",-INDEX(OPEX!$F$23:$BY$23,1,BR$5))</f>
        <v>-26139.942112249999</v>
      </c>
      <c r="BS21" s="71" cm="1">
        <f t="array" ref="BS21">IF(BS$5="","",-INDEX(OPEX!$F$23:$BY$23,1,BS$5))</f>
        <v>-26139.942112249999</v>
      </c>
      <c r="BT21" s="71" cm="1">
        <f t="array" ref="BT21">IF(BT$5="","",-INDEX(OPEX!$F$23:$BY$23,1,BT$5))</f>
        <v>-26139.942112249999</v>
      </c>
      <c r="BU21" s="71" cm="1">
        <f t="array" ref="BU21">IF(BU$5="","",-INDEX(OPEX!$F$23:$BY$23,1,BU$5))</f>
        <v>-26139.942112249999</v>
      </c>
      <c r="BV21" s="71" cm="1">
        <f t="array" ref="BV21">IF(BV$5="","",-INDEX(OPEX!$F$23:$BY$23,1,BV$5))</f>
        <v>-26139.942112249999</v>
      </c>
      <c r="BW21" s="71" cm="1">
        <f t="array" ref="BW21">IF(BW$5="","",-INDEX(OPEX!$F$23:$BY$23,1,BW$5))</f>
        <v>-26139.942112249999</v>
      </c>
      <c r="BX21" s="71" cm="1">
        <f t="array" ref="BX21">IF(BX$5="","",-INDEX(OPEX!$F$23:$BY$23,1,BX$5))</f>
        <v>-26139.942112249999</v>
      </c>
      <c r="BY21" s="71" cm="1">
        <f t="array" ref="BY21">IF(BY$5="","",-INDEX(OPEX!$F$23:$BY$23,1,BY$5))</f>
        <v>-26139.942112249999</v>
      </c>
      <c r="BZ21" s="71" cm="1">
        <f t="array" ref="BZ21">IF(BZ$5="","",-INDEX(OPEX!$F$23:$BY$23,1,BZ$5))</f>
        <v>-26139.942112249999</v>
      </c>
    </row>
    <row r="22" spans="3:93" x14ac:dyDescent="0.2">
      <c r="C22" s="65" t="s">
        <v>277</v>
      </c>
      <c r="D22" s="65"/>
      <c r="E22" s="65"/>
      <c r="F22" s="71"/>
      <c r="G22" s="71">
        <f>-'2021 T12'!D84</f>
        <v>-40396.370000000003</v>
      </c>
      <c r="H22" s="71">
        <f>-'2021 T12'!E84</f>
        <v>-16313.27</v>
      </c>
      <c r="I22" s="71">
        <f>-'2021 T12'!F84</f>
        <v>-83090.98</v>
      </c>
      <c r="J22" s="71">
        <f>-'2021 T12'!G84</f>
        <v>8019.18</v>
      </c>
      <c r="K22" s="71">
        <f>-'2021 T12'!H84</f>
        <v>-75673.95</v>
      </c>
      <c r="L22" s="71">
        <f>-'2021 T12'!I84</f>
        <v>-72184.23</v>
      </c>
      <c r="M22" s="71">
        <f>-'2021 T12'!J84</f>
        <v>-53183.94</v>
      </c>
      <c r="N22" s="71">
        <f>-'2021 T12'!K84</f>
        <v>-25909.1</v>
      </c>
      <c r="O22" s="71">
        <f>-'2021 T12'!L84</f>
        <v>-52210.73</v>
      </c>
      <c r="P22" s="71">
        <f>-'2021 T12'!M84</f>
        <v>-47304.92</v>
      </c>
      <c r="Q22" s="71" cm="1">
        <f t="array" ref="Q22">IF(Q$5="","",-INDEX(OPEX!$F$24:$BM$24,1,Q$5))</f>
        <v>-39332.979941666665</v>
      </c>
      <c r="R22" s="71" cm="1">
        <f t="array" ref="R22">IF(R$5="","",-INDEX(OPEX!$F$24:$BM$24,1,R$5))</f>
        <v>-39332.979941666665</v>
      </c>
      <c r="S22" s="71" cm="1">
        <f t="array" ref="S22">IF(S$5="","",-INDEX(OPEX!$F$24:$BM$24,1,S$5))</f>
        <v>-39332.979941666665</v>
      </c>
      <c r="T22" s="71" cm="1">
        <f t="array" ref="T22">IF(T$5="","",-INDEX(OPEX!$F$24:$BM$24,1,T$5))</f>
        <v>-39332.979941666665</v>
      </c>
      <c r="U22" s="71" cm="1">
        <f t="array" ref="U22">IF(U$5="","",-INDEX(OPEX!$F$24:$BM$24,1,U$5))</f>
        <v>-39332.979941666665</v>
      </c>
      <c r="V22" s="71" cm="1">
        <f t="array" ref="V22">IF(V$5="","",-INDEX(OPEX!$F$24:$BM$24,1,V$5))</f>
        <v>-39332.979941666665</v>
      </c>
      <c r="W22" s="71" cm="1">
        <f t="array" ref="W22">IF(W$5="","",-INDEX(OPEX!$F$24:$BM$24,1,W$5))</f>
        <v>-39332.979941666665</v>
      </c>
      <c r="X22" s="71" cm="1">
        <f t="array" ref="X22">IF(X$5="","",-INDEX(OPEX!$F$24:$BM$24,1,X$5))</f>
        <v>-39332.979941666665</v>
      </c>
      <c r="Y22" s="71" cm="1">
        <f t="array" ref="Y22">IF(Y$5="","",-INDEX(OPEX!$F$24:$BM$24,1,Y$5))</f>
        <v>-39332.979941666665</v>
      </c>
      <c r="Z22" s="71" cm="1">
        <f t="array" ref="Z22">IF(Z$5="","",-INDEX(OPEX!$F$24:$BM$24,1,Z$5))</f>
        <v>-39332.979941666665</v>
      </c>
      <c r="AA22" s="71" cm="1">
        <f t="array" ref="AA22">IF(AA$5="","",-INDEX(OPEX!$F$24:$BM$24,1,AA$5))</f>
        <v>-39332.979941666665</v>
      </c>
      <c r="AB22" s="71" cm="1">
        <f t="array" ref="AB22">IF(AB$5="","",-INDEX(OPEX!$F$24:$BM$24,1,AB$5))</f>
        <v>-39332.979941666665</v>
      </c>
      <c r="AC22" s="71" cm="1">
        <f t="array" ref="AC22">IF(AC$5="","",-INDEX(OPEX!$F$24:$BM$24,1,AC$5))</f>
        <v>-39332.979941666665</v>
      </c>
      <c r="AD22" s="71" cm="1">
        <f t="array" ref="AD22">IF(AD$5="","",-INDEX(OPEX!$F$24:$BM$24,1,AD$5))</f>
        <v>-39332.979941666665</v>
      </c>
      <c r="AE22" s="71" cm="1">
        <f t="array" ref="AE22">IF(AE$5="","",-INDEX(OPEX!$F$24:$BM$24,1,AE$5))</f>
        <v>-40512.969339916664</v>
      </c>
      <c r="AF22" s="71" cm="1">
        <f t="array" ref="AF22">IF(AF$5="","",-INDEX(OPEX!$F$24:$BM$24,1,AF$5))</f>
        <v>-40512.969339916664</v>
      </c>
      <c r="AG22" s="71" cm="1">
        <f t="array" ref="AG22">IF(AG$5="","",-INDEX(OPEX!$F$24:$BM$24,1,AG$5))</f>
        <v>-40512.969339916664</v>
      </c>
      <c r="AH22" s="71" cm="1">
        <f t="array" ref="AH22">IF(AH$5="","",-INDEX(OPEX!$F$24:$BM$24,1,AH$5))</f>
        <v>-40512.969339916664</v>
      </c>
      <c r="AI22" s="71" cm="1">
        <f t="array" ref="AI22">IF(AI$5="","",-INDEX(OPEX!$F$24:$BM$24,1,AI$5))</f>
        <v>-40512.969339916664</v>
      </c>
      <c r="AJ22" s="71" cm="1">
        <f t="array" ref="AJ22">IF(AJ$5="","",-INDEX(OPEX!$F$24:$BM$24,1,AJ$5))</f>
        <v>-40512.969339916664</v>
      </c>
      <c r="AK22" s="71" cm="1">
        <f t="array" ref="AK22">IF(AK$5="","",-INDEX(OPEX!$F$24:$BM$24,1,AK$5))</f>
        <v>-40512.969339916664</v>
      </c>
      <c r="AL22" s="71" cm="1">
        <f t="array" ref="AL22">IF(AL$5="","",-INDEX(OPEX!$F$24:$BM$24,1,AL$5))</f>
        <v>-40512.969339916664</v>
      </c>
      <c r="AM22" s="71" cm="1">
        <f t="array" ref="AM22">IF(AM$5="","",-INDEX(OPEX!$F$24:$BM$24,1,AM$5))</f>
        <v>-40512.969339916664</v>
      </c>
      <c r="AN22" s="71" cm="1">
        <f t="array" ref="AN22">IF(AN$5="","",-INDEX(OPEX!$F$24:$BM$24,1,AN$5))</f>
        <v>-40512.969339916664</v>
      </c>
      <c r="AO22" s="71" cm="1">
        <f t="array" ref="AO22">IF(AO$5="","",-INDEX(OPEX!$F$24:$BM$24,1,AO$5))</f>
        <v>-40512.969339916664</v>
      </c>
      <c r="AP22" s="71" cm="1">
        <f t="array" ref="AP22">IF(AP$5="","",-INDEX(OPEX!$F$24:$BM$24,1,AP$5))</f>
        <v>-40512.969339916664</v>
      </c>
      <c r="AQ22" s="71" cm="1">
        <f t="array" ref="AQ22">IF(AQ$5="","",-INDEX(OPEX!$F$24:$BM$24,1,AQ$5))</f>
        <v>-41728.358420114164</v>
      </c>
      <c r="AR22" s="71" cm="1">
        <f t="array" ref="AR22">IF(AR$5="","",-INDEX(OPEX!$F$24:$BM$24,1,AR$5))</f>
        <v>-41728.358420114164</v>
      </c>
      <c r="AS22" s="71" cm="1">
        <f t="array" ref="AS22">IF(AS$5="","",-INDEX(OPEX!$F$24:$BM$24,1,AS$5))</f>
        <v>-41728.358420114164</v>
      </c>
      <c r="AT22" s="71" cm="1">
        <f t="array" ref="AT22">IF(AT$5="","",-INDEX(OPEX!$F$24:$BM$24,1,AT$5))</f>
        <v>-41728.358420114164</v>
      </c>
      <c r="AU22" s="71" cm="1">
        <f t="array" ref="AU22">IF(AU$5="","",-INDEX(OPEX!$F$24:$BM$24,1,AU$5))</f>
        <v>-41728.358420114164</v>
      </c>
      <c r="AV22" s="71" cm="1">
        <f t="array" ref="AV22">IF(AV$5="","",-INDEX(OPEX!$F$24:$BM$24,1,AV$5))</f>
        <v>-41728.358420114164</v>
      </c>
      <c r="AW22" s="71" cm="1">
        <f t="array" ref="AW22">IF(AW$5="","",-INDEX(OPEX!$F$24:$BM$24,1,AW$5))</f>
        <v>-41728.358420114164</v>
      </c>
      <c r="AX22" s="71" cm="1">
        <f t="array" ref="AX22">IF(AX$5="","",-INDEX(OPEX!$F$24:$BM$24,1,AX$5))</f>
        <v>-41728.358420114164</v>
      </c>
      <c r="AY22" s="71" cm="1">
        <f t="array" ref="AY22">IF(AY$5="","",-INDEX(OPEX!$F$24:$BM$24,1,AY$5))</f>
        <v>-41728.358420114164</v>
      </c>
      <c r="AZ22" s="71" cm="1">
        <f t="array" ref="AZ22">IF(AZ$5="","",-INDEX(OPEX!$F$24:$BM$24,1,AZ$5))</f>
        <v>-41728.358420114164</v>
      </c>
      <c r="BA22" s="71" cm="1">
        <f t="array" ref="BA22">IF(BA$5="","",-INDEX(OPEX!$F$24:$BM$24,1,BA$5))</f>
        <v>-41728.358420114164</v>
      </c>
      <c r="BB22" s="71" cm="1">
        <f t="array" ref="BB22">IF(BB$5="","",-INDEX(OPEX!$F$24:$BM$24,1,BB$5))</f>
        <v>-41728.358420114164</v>
      </c>
      <c r="BC22" s="71" cm="1">
        <f t="array" ref="BC22">IF(BC$5="","",-INDEX(OPEX!$F$24:$BM$24,1,BC$5))</f>
        <v>-42980.209172717587</v>
      </c>
      <c r="BD22" s="71" cm="1">
        <f t="array" ref="BD22">IF(BD$5="","",-INDEX(OPEX!$F$24:$BM$24,1,BD$5))</f>
        <v>-42980.209172717587</v>
      </c>
      <c r="BE22" s="71" cm="1">
        <f t="array" ref="BE22">IF(BE$5="","",-INDEX(OPEX!$F$24:$BM$24,1,BE$5))</f>
        <v>-42980.209172717587</v>
      </c>
      <c r="BF22" s="71" cm="1">
        <f t="array" ref="BF22">IF(BF$5="","",-INDEX(OPEX!$F$24:$BM$24,1,BF$5))</f>
        <v>-42980.209172717587</v>
      </c>
      <c r="BG22" s="71" cm="1">
        <f t="array" ref="BG22">IF(BG$5="","",-INDEX(OPEX!$F$24:$BM$24,1,BG$5))</f>
        <v>-42980.209172717587</v>
      </c>
      <c r="BH22" s="71" cm="1">
        <f t="array" ref="BH22">IF(BH$5="","",-INDEX(OPEX!$F$24:$BM$24,1,BH$5))</f>
        <v>-42980.209172717587</v>
      </c>
      <c r="BI22" s="71" cm="1">
        <f t="array" ref="BI22">IF(BI$5="","",-INDEX(OPEX!$F$24:$BM$24,1,BI$5))</f>
        <v>-42980.209172717587</v>
      </c>
      <c r="BJ22" s="71" cm="1">
        <f t="array" ref="BJ22">IF(BJ$5="","",-INDEX(OPEX!$F$24:$BM$24,1,BJ$5))</f>
        <v>-42980.209172717587</v>
      </c>
      <c r="BK22" s="71" cm="1">
        <f t="array" ref="BK22">IF(BK$5="","",-INDEX(OPEX!$F$24:$BM$24,1,BK$5))</f>
        <v>-42980.209172717587</v>
      </c>
      <c r="BL22" s="71" cm="1">
        <f t="array" ref="BL22">IF(BL$5="","",-INDEX(OPEX!$F$24:$BM$24,1,BL$5))</f>
        <v>-42980.209172717587</v>
      </c>
      <c r="BM22" s="71" cm="1">
        <f t="array" ref="BM22">IF(BM$5="","",-INDEX(OPEX!$F$24:$BM$24,1,BM$5))</f>
        <v>-42980.209172717587</v>
      </c>
      <c r="BN22" s="71" cm="1">
        <f t="array" ref="BN22">IF(BN$5="","",-INDEX(OPEX!$F$24:$BM$24,1,BN$5))</f>
        <v>-42980.209172717587</v>
      </c>
      <c r="BO22" s="71" cm="1">
        <f t="array" ref="BO22">IF(BO$5="","",-INDEX(OPEX!$F$24:$BY$24,1,BO$5))</f>
        <v>-44269.615447899116</v>
      </c>
      <c r="BP22" s="71" cm="1">
        <f t="array" ref="BP22">IF(BP$5="","",-INDEX(OPEX!$F$24:$BY$24,1,BP$5))</f>
        <v>-44269.615447899116</v>
      </c>
      <c r="BQ22" s="71" cm="1">
        <f t="array" ref="BQ22">IF(BQ$5="","",-INDEX(OPEX!$F$24:$BY$24,1,BQ$5))</f>
        <v>-44269.615447899116</v>
      </c>
      <c r="BR22" s="71" cm="1">
        <f t="array" ref="BR22">IF(BR$5="","",-INDEX(OPEX!$F$24:$BY$24,1,BR$5))</f>
        <v>-44269.615447899116</v>
      </c>
      <c r="BS22" s="71" cm="1">
        <f t="array" ref="BS22">IF(BS$5="","",-INDEX(OPEX!$F$24:$BY$24,1,BS$5))</f>
        <v>-44269.615447899116</v>
      </c>
      <c r="BT22" s="71" cm="1">
        <f t="array" ref="BT22">IF(BT$5="","",-INDEX(OPEX!$F$24:$BY$24,1,BT$5))</f>
        <v>-44269.615447899116</v>
      </c>
      <c r="BU22" s="71" cm="1">
        <f t="array" ref="BU22">IF(BU$5="","",-INDEX(OPEX!$F$24:$BY$24,1,BU$5))</f>
        <v>-44269.615447899116</v>
      </c>
      <c r="BV22" s="71" cm="1">
        <f t="array" ref="BV22">IF(BV$5="","",-INDEX(OPEX!$F$24:$BY$24,1,BV$5))</f>
        <v>-44269.615447899116</v>
      </c>
      <c r="BW22" s="71" cm="1">
        <f t="array" ref="BW22">IF(BW$5="","",-INDEX(OPEX!$F$24:$BY$24,1,BW$5))</f>
        <v>-44269.615447899116</v>
      </c>
      <c r="BX22" s="71" cm="1">
        <f t="array" ref="BX22">IF(BX$5="","",-INDEX(OPEX!$F$24:$BY$24,1,BX$5))</f>
        <v>-44269.615447899116</v>
      </c>
      <c r="BY22" s="71" cm="1">
        <f t="array" ref="BY22">IF(BY$5="","",-INDEX(OPEX!$F$24:$BY$24,1,BY$5))</f>
        <v>-44269.615447899116</v>
      </c>
      <c r="BZ22" s="71" cm="1">
        <f t="array" ref="BZ22">IF(BZ$5="","",-INDEX(OPEX!$F$24:$BY$24,1,BZ$5))</f>
        <v>-44269.615447899116</v>
      </c>
    </row>
    <row r="23" spans="3:93" x14ac:dyDescent="0.2">
      <c r="C23" s="65" t="s">
        <v>278</v>
      </c>
      <c r="D23" s="65"/>
      <c r="E23" s="65"/>
      <c r="F23" s="71"/>
      <c r="G23" s="71">
        <f>-'2021 T12'!D94</f>
        <v>-39302.01</v>
      </c>
      <c r="H23" s="71">
        <f>-'2021 T12'!E94</f>
        <v>-32502.01</v>
      </c>
      <c r="I23" s="71">
        <f>-'2021 T12'!F94</f>
        <v>-32502.01</v>
      </c>
      <c r="J23" s="71">
        <f>-'2021 T12'!G94</f>
        <v>-32502</v>
      </c>
      <c r="K23" s="71">
        <f>-'2021 T12'!H94</f>
        <v>-34502.01</v>
      </c>
      <c r="L23" s="71">
        <f>-'2021 T12'!I94</f>
        <v>-32502.01</v>
      </c>
      <c r="M23" s="71">
        <f>-'2021 T12'!J94</f>
        <v>-32502.01</v>
      </c>
      <c r="N23" s="71">
        <f>-'2021 T12'!K94</f>
        <v>-31158.38</v>
      </c>
      <c r="O23" s="71">
        <f>-'2021 T12'!L94</f>
        <v>-32166.1</v>
      </c>
      <c r="P23" s="71">
        <f>-'2021 T12'!M94</f>
        <v>-32166.080000000002</v>
      </c>
      <c r="Q23" s="71" cm="1">
        <f t="array" ref="Q23">IF(Q$5="","",-INDEX(OPEX!$F$25:$BM$25,1,Q$5))</f>
        <v>-27650.385000000006</v>
      </c>
      <c r="R23" s="71" cm="1">
        <f t="array" ref="R23">IF(R$5="","",-INDEX(OPEX!$F$25:$BM$25,1,R$5))</f>
        <v>-27650.385000000006</v>
      </c>
      <c r="S23" s="71" cm="1">
        <f t="array" ref="S23">IF(S$5="","",-INDEX(OPEX!$F$25:$BM$25,1,S$5))</f>
        <v>-27650.385000000006</v>
      </c>
      <c r="T23" s="71" cm="1">
        <f t="array" ref="T23">IF(T$5="","",-INDEX(OPEX!$F$25:$BM$25,1,T$5))</f>
        <v>-27650.385000000006</v>
      </c>
      <c r="U23" s="71" cm="1">
        <f t="array" ref="U23">IF(U$5="","",-INDEX(OPEX!$F$25:$BM$25,1,U$5))</f>
        <v>-27650.385000000006</v>
      </c>
      <c r="V23" s="71" cm="1">
        <f t="array" ref="V23">IF(V$5="","",-INDEX(OPEX!$F$25:$BM$25,1,V$5))</f>
        <v>-27650.385000000006</v>
      </c>
      <c r="W23" s="71" cm="1">
        <f t="array" ref="W23">IF(W$5="","",-INDEX(OPEX!$F$25:$BM$25,1,W$5))</f>
        <v>-27650.385000000006</v>
      </c>
      <c r="X23" s="71" cm="1">
        <f t="array" ref="X23">IF(X$5="","",-INDEX(OPEX!$F$25:$BM$25,1,X$5))</f>
        <v>-27650.385000000006</v>
      </c>
      <c r="Y23" s="71" cm="1">
        <f t="array" ref="Y23">IF(Y$5="","",-INDEX(OPEX!$F$25:$BM$25,1,Y$5))</f>
        <v>-27650.385000000006</v>
      </c>
      <c r="Z23" s="71" cm="1">
        <f t="array" ref="Z23">IF(Z$5="","",-INDEX(OPEX!$F$25:$BM$25,1,Z$5))</f>
        <v>-27650.385000000006</v>
      </c>
      <c r="AA23" s="71" cm="1">
        <f t="array" ref="AA23">IF(AA$5="","",-INDEX(OPEX!$F$25:$BM$25,1,AA$5))</f>
        <v>-27650.385000000006</v>
      </c>
      <c r="AB23" s="71" cm="1">
        <f t="array" ref="AB23">IF(AB$5="","",-INDEX(OPEX!$F$25:$BM$25,1,AB$5))</f>
        <v>-27650.385000000006</v>
      </c>
      <c r="AC23" s="71" cm="1">
        <f t="array" ref="AC23">IF(AC$5="","",-INDEX(OPEX!$F$25:$BM$25,1,AC$5))</f>
        <v>-27650.385000000006</v>
      </c>
      <c r="AD23" s="71" cm="1">
        <f t="array" ref="AD23">IF(AD$5="","",-INDEX(OPEX!$F$25:$BM$25,1,AD$5))</f>
        <v>-27650.385000000006</v>
      </c>
      <c r="AE23" s="71" cm="1">
        <f t="array" ref="AE23">IF(AE$5="","",-INDEX(OPEX!$F$25:$BM$25,1,AE$5))</f>
        <v>-28479.896550000005</v>
      </c>
      <c r="AF23" s="71" cm="1">
        <f t="array" ref="AF23">IF(AF$5="","",-INDEX(OPEX!$F$25:$BM$25,1,AF$5))</f>
        <v>-28479.896550000005</v>
      </c>
      <c r="AG23" s="71" cm="1">
        <f t="array" ref="AG23">IF(AG$5="","",-INDEX(OPEX!$F$25:$BM$25,1,AG$5))</f>
        <v>-28479.896550000005</v>
      </c>
      <c r="AH23" s="71" cm="1">
        <f t="array" ref="AH23">IF(AH$5="","",-INDEX(OPEX!$F$25:$BM$25,1,AH$5))</f>
        <v>-28479.896550000005</v>
      </c>
      <c r="AI23" s="71" cm="1">
        <f t="array" ref="AI23">IF(AI$5="","",-INDEX(OPEX!$F$25:$BM$25,1,AI$5))</f>
        <v>-28479.896550000005</v>
      </c>
      <c r="AJ23" s="71" cm="1">
        <f t="array" ref="AJ23">IF(AJ$5="","",-INDEX(OPEX!$F$25:$BM$25,1,AJ$5))</f>
        <v>-28479.896550000005</v>
      </c>
      <c r="AK23" s="71" cm="1">
        <f t="array" ref="AK23">IF(AK$5="","",-INDEX(OPEX!$F$25:$BM$25,1,AK$5))</f>
        <v>-28479.896550000005</v>
      </c>
      <c r="AL23" s="71" cm="1">
        <f t="array" ref="AL23">IF(AL$5="","",-INDEX(OPEX!$F$25:$BM$25,1,AL$5))</f>
        <v>-28479.896550000005</v>
      </c>
      <c r="AM23" s="71" cm="1">
        <f t="array" ref="AM23">IF(AM$5="","",-INDEX(OPEX!$F$25:$BM$25,1,AM$5))</f>
        <v>-28479.896550000005</v>
      </c>
      <c r="AN23" s="71" cm="1">
        <f t="array" ref="AN23">IF(AN$5="","",-INDEX(OPEX!$F$25:$BM$25,1,AN$5))</f>
        <v>-28479.896550000005</v>
      </c>
      <c r="AO23" s="71" cm="1">
        <f t="array" ref="AO23">IF(AO$5="","",-INDEX(OPEX!$F$25:$BM$25,1,AO$5))</f>
        <v>-28479.896550000005</v>
      </c>
      <c r="AP23" s="71" cm="1">
        <f t="array" ref="AP23">IF(AP$5="","",-INDEX(OPEX!$F$25:$BM$25,1,AP$5))</f>
        <v>-28479.896550000005</v>
      </c>
      <c r="AQ23" s="71" cm="1">
        <f t="array" ref="AQ23">IF(AQ$5="","",-INDEX(OPEX!$F$25:$BM$25,1,AQ$5))</f>
        <v>-29334.293446500003</v>
      </c>
      <c r="AR23" s="71" cm="1">
        <f t="array" ref="AR23">IF(AR$5="","",-INDEX(OPEX!$F$25:$BM$25,1,AR$5))</f>
        <v>-29334.293446500003</v>
      </c>
      <c r="AS23" s="71" cm="1">
        <f t="array" ref="AS23">IF(AS$5="","",-INDEX(OPEX!$F$25:$BM$25,1,AS$5))</f>
        <v>-29334.293446500003</v>
      </c>
      <c r="AT23" s="71" cm="1">
        <f t="array" ref="AT23">IF(AT$5="","",-INDEX(OPEX!$F$25:$BM$25,1,AT$5))</f>
        <v>-29334.293446500003</v>
      </c>
      <c r="AU23" s="71" cm="1">
        <f t="array" ref="AU23">IF(AU$5="","",-INDEX(OPEX!$F$25:$BM$25,1,AU$5))</f>
        <v>-29334.293446500003</v>
      </c>
      <c r="AV23" s="71" cm="1">
        <f t="array" ref="AV23">IF(AV$5="","",-INDEX(OPEX!$F$25:$BM$25,1,AV$5))</f>
        <v>-29334.293446500003</v>
      </c>
      <c r="AW23" s="71" cm="1">
        <f t="array" ref="AW23">IF(AW$5="","",-INDEX(OPEX!$F$25:$BM$25,1,AW$5))</f>
        <v>-29334.293446500003</v>
      </c>
      <c r="AX23" s="71" cm="1">
        <f t="array" ref="AX23">IF(AX$5="","",-INDEX(OPEX!$F$25:$BM$25,1,AX$5))</f>
        <v>-29334.293446500003</v>
      </c>
      <c r="AY23" s="71" cm="1">
        <f t="array" ref="AY23">IF(AY$5="","",-INDEX(OPEX!$F$25:$BM$25,1,AY$5))</f>
        <v>-29334.293446500003</v>
      </c>
      <c r="AZ23" s="71" cm="1">
        <f t="array" ref="AZ23">IF(AZ$5="","",-INDEX(OPEX!$F$25:$BM$25,1,AZ$5))</f>
        <v>-29334.293446500003</v>
      </c>
      <c r="BA23" s="71" cm="1">
        <f t="array" ref="BA23">IF(BA$5="","",-INDEX(OPEX!$F$25:$BM$25,1,BA$5))</f>
        <v>-29334.293446500003</v>
      </c>
      <c r="BB23" s="71" cm="1">
        <f t="array" ref="BB23">IF(BB$5="","",-INDEX(OPEX!$F$25:$BM$25,1,BB$5))</f>
        <v>-29334.293446500003</v>
      </c>
      <c r="BC23" s="71" cm="1">
        <f t="array" ref="BC23">IF(BC$5="","",-INDEX(OPEX!$F$25:$BM$25,1,BC$5))</f>
        <v>-30214.322249895005</v>
      </c>
      <c r="BD23" s="71" cm="1">
        <f t="array" ref="BD23">IF(BD$5="","",-INDEX(OPEX!$F$25:$BM$25,1,BD$5))</f>
        <v>-30214.322249895005</v>
      </c>
      <c r="BE23" s="71" cm="1">
        <f t="array" ref="BE23">IF(BE$5="","",-INDEX(OPEX!$F$25:$BM$25,1,BE$5))</f>
        <v>-30214.322249895005</v>
      </c>
      <c r="BF23" s="71" cm="1">
        <f t="array" ref="BF23">IF(BF$5="","",-INDEX(OPEX!$F$25:$BM$25,1,BF$5))</f>
        <v>-30214.322249895005</v>
      </c>
      <c r="BG23" s="71" cm="1">
        <f t="array" ref="BG23">IF(BG$5="","",-INDEX(OPEX!$F$25:$BM$25,1,BG$5))</f>
        <v>-30214.322249895005</v>
      </c>
      <c r="BH23" s="71" cm="1">
        <f t="array" ref="BH23">IF(BH$5="","",-INDEX(OPEX!$F$25:$BM$25,1,BH$5))</f>
        <v>-30214.322249895005</v>
      </c>
      <c r="BI23" s="71" cm="1">
        <f t="array" ref="BI23">IF(BI$5="","",-INDEX(OPEX!$F$25:$BM$25,1,BI$5))</f>
        <v>-30214.322249895005</v>
      </c>
      <c r="BJ23" s="71" cm="1">
        <f t="array" ref="BJ23">IF(BJ$5="","",-INDEX(OPEX!$F$25:$BM$25,1,BJ$5))</f>
        <v>-30214.322249895005</v>
      </c>
      <c r="BK23" s="71" cm="1">
        <f t="array" ref="BK23">IF(BK$5="","",-INDEX(OPEX!$F$25:$BM$25,1,BK$5))</f>
        <v>-30214.322249895005</v>
      </c>
      <c r="BL23" s="71" cm="1">
        <f t="array" ref="BL23">IF(BL$5="","",-INDEX(OPEX!$F$25:$BM$25,1,BL$5))</f>
        <v>-30214.322249895005</v>
      </c>
      <c r="BM23" s="71" cm="1">
        <f t="array" ref="BM23">IF(BM$5="","",-INDEX(OPEX!$F$25:$BM$25,1,BM$5))</f>
        <v>-30214.322249895005</v>
      </c>
      <c r="BN23" s="71" cm="1">
        <f t="array" ref="BN23">IF(BN$5="","",-INDEX(OPEX!$F$25:$BM$25,1,BN$5))</f>
        <v>-30214.322249895005</v>
      </c>
      <c r="BO23" s="71" cm="1">
        <f t="array" ref="BO23">IF(BO$5="","",-INDEX(OPEX!$F$25:$BY$25,1,BO$5))</f>
        <v>-31120.751917391855</v>
      </c>
      <c r="BP23" s="71" cm="1">
        <f t="array" ref="BP23">IF(BP$5="","",-INDEX(OPEX!$F$25:$BY$25,1,BP$5))</f>
        <v>-31120.751917391855</v>
      </c>
      <c r="BQ23" s="71" cm="1">
        <f t="array" ref="BQ23">IF(BQ$5="","",-INDEX(OPEX!$F$25:$BY$25,1,BQ$5))</f>
        <v>-31120.751917391855</v>
      </c>
      <c r="BR23" s="71" cm="1">
        <f t="array" ref="BR23">IF(BR$5="","",-INDEX(OPEX!$F$25:$BY$25,1,BR$5))</f>
        <v>-31120.751917391855</v>
      </c>
      <c r="BS23" s="71" cm="1">
        <f t="array" ref="BS23">IF(BS$5="","",-INDEX(OPEX!$F$25:$BY$25,1,BS$5))</f>
        <v>-31120.751917391855</v>
      </c>
      <c r="BT23" s="71" cm="1">
        <f t="array" ref="BT23">IF(BT$5="","",-INDEX(OPEX!$F$25:$BY$25,1,BT$5))</f>
        <v>-31120.751917391855</v>
      </c>
      <c r="BU23" s="71" cm="1">
        <f t="array" ref="BU23">IF(BU$5="","",-INDEX(OPEX!$F$25:$BY$25,1,BU$5))</f>
        <v>-31120.751917391855</v>
      </c>
      <c r="BV23" s="71" cm="1">
        <f t="array" ref="BV23">IF(BV$5="","",-INDEX(OPEX!$F$25:$BY$25,1,BV$5))</f>
        <v>-31120.751917391855</v>
      </c>
      <c r="BW23" s="71" cm="1">
        <f t="array" ref="BW23">IF(BW$5="","",-INDEX(OPEX!$F$25:$BY$25,1,BW$5))</f>
        <v>-31120.751917391855</v>
      </c>
      <c r="BX23" s="71" cm="1">
        <f t="array" ref="BX23">IF(BX$5="","",-INDEX(OPEX!$F$25:$BY$25,1,BX$5))</f>
        <v>-31120.751917391855</v>
      </c>
      <c r="BY23" s="71" cm="1">
        <f t="array" ref="BY23">IF(BY$5="","",-INDEX(OPEX!$F$25:$BY$25,1,BY$5))</f>
        <v>-31120.751917391855</v>
      </c>
      <c r="BZ23" s="71" cm="1">
        <f t="array" ref="BZ23">IF(BZ$5="","",-INDEX(OPEX!$F$25:$BY$25,1,BZ$5))</f>
        <v>-31120.751917391855</v>
      </c>
    </row>
    <row r="24" spans="3:93" x14ac:dyDescent="0.2">
      <c r="C24" s="65" t="s">
        <v>279</v>
      </c>
      <c r="D24" s="65"/>
      <c r="E24" s="65"/>
      <c r="F24" s="71"/>
      <c r="G24" s="71">
        <f>-'2021 T12'!D101</f>
        <v>-10385.23</v>
      </c>
      <c r="H24" s="71">
        <f>-'2021 T12'!E101</f>
        <v>-10385.23</v>
      </c>
      <c r="I24" s="71">
        <f>-'2021 T12'!F101</f>
        <v>-10385.23</v>
      </c>
      <c r="J24" s="71">
        <f>-'2021 T12'!G101</f>
        <v>-10385.23</v>
      </c>
      <c r="K24" s="71">
        <f>-'2021 T12'!H101</f>
        <v>-11226.28</v>
      </c>
      <c r="L24" s="71">
        <f>-'2021 T12'!I101</f>
        <v>-11226.28</v>
      </c>
      <c r="M24" s="71">
        <f>-'2021 T12'!J101</f>
        <v>-8069.78</v>
      </c>
      <c r="N24" s="71">
        <f>-'2021 T12'!K101</f>
        <v>-8069.78</v>
      </c>
      <c r="O24" s="71">
        <f>-'2021 T12'!L101</f>
        <v>-24296.23</v>
      </c>
      <c r="P24" s="71">
        <f>-'2021 T12'!M101</f>
        <v>-7420.73</v>
      </c>
      <c r="Q24" s="71" cm="1">
        <f t="array" ref="Q24">IF(Q$5="","",-INDEX(OPEX!$F$26:$BM$26,1,Q$5))</f>
        <v>-9600.4583333333321</v>
      </c>
      <c r="R24" s="71" cm="1">
        <f t="array" ref="R24">IF(R$5="","",-INDEX(OPEX!$F$26:$BM$26,1,R$5))</f>
        <v>-9600.4583333333321</v>
      </c>
      <c r="S24" s="71" cm="1">
        <f t="array" ref="S24">IF(S$5="","",-INDEX(OPEX!$F$26:$BM$26,1,S$5))</f>
        <v>-9600.4583333333321</v>
      </c>
      <c r="T24" s="71" cm="1">
        <f t="array" ref="T24">IF(T$5="","",-INDEX(OPEX!$F$26:$BM$26,1,T$5))</f>
        <v>-9600.4583333333321</v>
      </c>
      <c r="U24" s="71" cm="1">
        <f t="array" ref="U24">IF(U$5="","",-INDEX(OPEX!$F$26:$BM$26,1,U$5))</f>
        <v>-9600.4583333333321</v>
      </c>
      <c r="V24" s="71" cm="1">
        <f t="array" ref="V24">IF(V$5="","",-INDEX(OPEX!$F$26:$BM$26,1,V$5))</f>
        <v>-9600.4583333333321</v>
      </c>
      <c r="W24" s="71" cm="1">
        <f t="array" ref="W24">IF(W$5="","",-INDEX(OPEX!$F$26:$BM$26,1,W$5))</f>
        <v>-9600.4583333333321</v>
      </c>
      <c r="X24" s="71" cm="1">
        <f t="array" ref="X24">IF(X$5="","",-INDEX(OPEX!$F$26:$BM$26,1,X$5))</f>
        <v>-9600.4583333333321</v>
      </c>
      <c r="Y24" s="71" cm="1">
        <f t="array" ref="Y24">IF(Y$5="","",-INDEX(OPEX!$F$26:$BM$26,1,Y$5))</f>
        <v>-9600.4583333333321</v>
      </c>
      <c r="Z24" s="71" cm="1">
        <f t="array" ref="Z24">IF(Z$5="","",-INDEX(OPEX!$F$26:$BM$26,1,Z$5))</f>
        <v>-9600.4583333333321</v>
      </c>
      <c r="AA24" s="71" cm="1">
        <f t="array" ref="AA24">IF(AA$5="","",-INDEX(OPEX!$F$26:$BM$26,1,AA$5))</f>
        <v>-9600.4583333333321</v>
      </c>
      <c r="AB24" s="71" cm="1">
        <f t="array" ref="AB24">IF(AB$5="","",-INDEX(OPEX!$F$26:$BM$26,1,AB$5))</f>
        <v>-9600.4583333333321</v>
      </c>
      <c r="AC24" s="71" cm="1">
        <f t="array" ref="AC24">IF(AC$5="","",-INDEX(OPEX!$F$26:$BM$26,1,AC$5))</f>
        <v>-9600.4583333333321</v>
      </c>
      <c r="AD24" s="71" cm="1">
        <f t="array" ref="AD24">IF(AD$5="","",-INDEX(OPEX!$F$26:$BM$26,1,AD$5))</f>
        <v>-9600.4583333333321</v>
      </c>
      <c r="AE24" s="71" cm="1">
        <f t="array" ref="AE24">IF(AE$5="","",-INDEX(OPEX!$F$26:$BM$26,1,AE$5))</f>
        <v>-9888.4720833333322</v>
      </c>
      <c r="AF24" s="71" cm="1">
        <f t="array" ref="AF24">IF(AF$5="","",-INDEX(OPEX!$F$26:$BM$26,1,AF$5))</f>
        <v>-9888.4720833333322</v>
      </c>
      <c r="AG24" s="71" cm="1">
        <f t="array" ref="AG24">IF(AG$5="","",-INDEX(OPEX!$F$26:$BM$26,1,AG$5))</f>
        <v>-9888.4720833333322</v>
      </c>
      <c r="AH24" s="71" cm="1">
        <f t="array" ref="AH24">IF(AH$5="","",-INDEX(OPEX!$F$26:$BM$26,1,AH$5))</f>
        <v>-9888.4720833333322</v>
      </c>
      <c r="AI24" s="71" cm="1">
        <f t="array" ref="AI24">IF(AI$5="","",-INDEX(OPEX!$F$26:$BM$26,1,AI$5))</f>
        <v>-9888.4720833333322</v>
      </c>
      <c r="AJ24" s="71" cm="1">
        <f t="array" ref="AJ24">IF(AJ$5="","",-INDEX(OPEX!$F$26:$BM$26,1,AJ$5))</f>
        <v>-9888.4720833333322</v>
      </c>
      <c r="AK24" s="71" cm="1">
        <f t="array" ref="AK24">IF(AK$5="","",-INDEX(OPEX!$F$26:$BM$26,1,AK$5))</f>
        <v>-9888.4720833333322</v>
      </c>
      <c r="AL24" s="71" cm="1">
        <f t="array" ref="AL24">IF(AL$5="","",-INDEX(OPEX!$F$26:$BM$26,1,AL$5))</f>
        <v>-9888.4720833333322</v>
      </c>
      <c r="AM24" s="71" cm="1">
        <f t="array" ref="AM24">IF(AM$5="","",-INDEX(OPEX!$F$26:$BM$26,1,AM$5))</f>
        <v>-9888.4720833333322</v>
      </c>
      <c r="AN24" s="71" cm="1">
        <f t="array" ref="AN24">IF(AN$5="","",-INDEX(OPEX!$F$26:$BM$26,1,AN$5))</f>
        <v>-9888.4720833333322</v>
      </c>
      <c r="AO24" s="71" cm="1">
        <f t="array" ref="AO24">IF(AO$5="","",-INDEX(OPEX!$F$26:$BM$26,1,AO$5))</f>
        <v>-9888.4720833333322</v>
      </c>
      <c r="AP24" s="71" cm="1">
        <f t="array" ref="AP24">IF(AP$5="","",-INDEX(OPEX!$F$26:$BM$26,1,AP$5))</f>
        <v>-9888.4720833333322</v>
      </c>
      <c r="AQ24" s="71" cm="1">
        <f t="array" ref="AQ24">IF(AQ$5="","",-INDEX(OPEX!$F$26:$BM$26,1,AQ$5))</f>
        <v>-10185.126245833331</v>
      </c>
      <c r="AR24" s="71" cm="1">
        <f t="array" ref="AR24">IF(AR$5="","",-INDEX(OPEX!$F$26:$BM$26,1,AR$5))</f>
        <v>-10185.126245833331</v>
      </c>
      <c r="AS24" s="71" cm="1">
        <f t="array" ref="AS24">IF(AS$5="","",-INDEX(OPEX!$F$26:$BM$26,1,AS$5))</f>
        <v>-10185.126245833331</v>
      </c>
      <c r="AT24" s="71" cm="1">
        <f t="array" ref="AT24">IF(AT$5="","",-INDEX(OPEX!$F$26:$BM$26,1,AT$5))</f>
        <v>-10185.126245833331</v>
      </c>
      <c r="AU24" s="71" cm="1">
        <f t="array" ref="AU24">IF(AU$5="","",-INDEX(OPEX!$F$26:$BM$26,1,AU$5))</f>
        <v>-10185.126245833331</v>
      </c>
      <c r="AV24" s="71" cm="1">
        <f t="array" ref="AV24">IF(AV$5="","",-INDEX(OPEX!$F$26:$BM$26,1,AV$5))</f>
        <v>-10185.126245833331</v>
      </c>
      <c r="AW24" s="71" cm="1">
        <f t="array" ref="AW24">IF(AW$5="","",-INDEX(OPEX!$F$26:$BM$26,1,AW$5))</f>
        <v>-10185.126245833331</v>
      </c>
      <c r="AX24" s="71" cm="1">
        <f t="array" ref="AX24">IF(AX$5="","",-INDEX(OPEX!$F$26:$BM$26,1,AX$5))</f>
        <v>-10185.126245833331</v>
      </c>
      <c r="AY24" s="71" cm="1">
        <f t="array" ref="AY24">IF(AY$5="","",-INDEX(OPEX!$F$26:$BM$26,1,AY$5))</f>
        <v>-10185.126245833331</v>
      </c>
      <c r="AZ24" s="71" cm="1">
        <f t="array" ref="AZ24">IF(AZ$5="","",-INDEX(OPEX!$F$26:$BM$26,1,AZ$5))</f>
        <v>-10185.126245833331</v>
      </c>
      <c r="BA24" s="71" cm="1">
        <f t="array" ref="BA24">IF(BA$5="","",-INDEX(OPEX!$F$26:$BM$26,1,BA$5))</f>
        <v>-10185.126245833331</v>
      </c>
      <c r="BB24" s="71" cm="1">
        <f t="array" ref="BB24">IF(BB$5="","",-INDEX(OPEX!$F$26:$BM$26,1,BB$5))</f>
        <v>-10185.126245833331</v>
      </c>
      <c r="BC24" s="71" cm="1">
        <f t="array" ref="BC24">IF(BC$5="","",-INDEX(OPEX!$F$26:$BM$26,1,BC$5))</f>
        <v>-10490.680033208331</v>
      </c>
      <c r="BD24" s="71" cm="1">
        <f t="array" ref="BD24">IF(BD$5="","",-INDEX(OPEX!$F$26:$BM$26,1,BD$5))</f>
        <v>-10490.680033208331</v>
      </c>
      <c r="BE24" s="71" cm="1">
        <f t="array" ref="BE24">IF(BE$5="","",-INDEX(OPEX!$F$26:$BM$26,1,BE$5))</f>
        <v>-10490.680033208331</v>
      </c>
      <c r="BF24" s="71" cm="1">
        <f t="array" ref="BF24">IF(BF$5="","",-INDEX(OPEX!$F$26:$BM$26,1,BF$5))</f>
        <v>-10490.680033208331</v>
      </c>
      <c r="BG24" s="71" cm="1">
        <f t="array" ref="BG24">IF(BG$5="","",-INDEX(OPEX!$F$26:$BM$26,1,BG$5))</f>
        <v>-10490.680033208331</v>
      </c>
      <c r="BH24" s="71" cm="1">
        <f t="array" ref="BH24">IF(BH$5="","",-INDEX(OPEX!$F$26:$BM$26,1,BH$5))</f>
        <v>-10490.680033208331</v>
      </c>
      <c r="BI24" s="71" cm="1">
        <f t="array" ref="BI24">IF(BI$5="","",-INDEX(OPEX!$F$26:$BM$26,1,BI$5))</f>
        <v>-10490.680033208331</v>
      </c>
      <c r="BJ24" s="71" cm="1">
        <f t="array" ref="BJ24">IF(BJ$5="","",-INDEX(OPEX!$F$26:$BM$26,1,BJ$5))</f>
        <v>-10490.680033208331</v>
      </c>
      <c r="BK24" s="71" cm="1">
        <f t="array" ref="BK24">IF(BK$5="","",-INDEX(OPEX!$F$26:$BM$26,1,BK$5))</f>
        <v>-10490.680033208331</v>
      </c>
      <c r="BL24" s="71" cm="1">
        <f t="array" ref="BL24">IF(BL$5="","",-INDEX(OPEX!$F$26:$BM$26,1,BL$5))</f>
        <v>-10490.680033208331</v>
      </c>
      <c r="BM24" s="71" cm="1">
        <f t="array" ref="BM24">IF(BM$5="","",-INDEX(OPEX!$F$26:$BM$26,1,BM$5))</f>
        <v>-10490.680033208331</v>
      </c>
      <c r="BN24" s="71" cm="1">
        <f t="array" ref="BN24">IF(BN$5="","",-INDEX(OPEX!$F$26:$BM$26,1,BN$5))</f>
        <v>-10490.680033208331</v>
      </c>
      <c r="BO24" s="71" cm="1">
        <f t="array" ref="BO24">IF(BO$5="","",-INDEX(OPEX!$F$26:$BY$26,1,BO$5))</f>
        <v>-10805.400434204581</v>
      </c>
      <c r="BP24" s="71" cm="1">
        <f t="array" ref="BP24">IF(BP$5="","",-INDEX(OPEX!$F$26:$BY$26,1,BP$5))</f>
        <v>-10805.400434204581</v>
      </c>
      <c r="BQ24" s="71" cm="1">
        <f t="array" ref="BQ24">IF(BQ$5="","",-INDEX(OPEX!$F$26:$BY$26,1,BQ$5))</f>
        <v>-10805.400434204581</v>
      </c>
      <c r="BR24" s="71" cm="1">
        <f t="array" ref="BR24">IF(BR$5="","",-INDEX(OPEX!$F$26:$BY$26,1,BR$5))</f>
        <v>-10805.400434204581</v>
      </c>
      <c r="BS24" s="71" cm="1">
        <f t="array" ref="BS24">IF(BS$5="","",-INDEX(OPEX!$F$26:$BY$26,1,BS$5))</f>
        <v>-10805.400434204581</v>
      </c>
      <c r="BT24" s="71" cm="1">
        <f t="array" ref="BT24">IF(BT$5="","",-INDEX(OPEX!$F$26:$BY$26,1,BT$5))</f>
        <v>-10805.400434204581</v>
      </c>
      <c r="BU24" s="71" cm="1">
        <f t="array" ref="BU24">IF(BU$5="","",-INDEX(OPEX!$F$26:$BY$26,1,BU$5))</f>
        <v>-10805.400434204581</v>
      </c>
      <c r="BV24" s="71" cm="1">
        <f t="array" ref="BV24">IF(BV$5="","",-INDEX(OPEX!$F$26:$BY$26,1,BV$5))</f>
        <v>-10805.400434204581</v>
      </c>
      <c r="BW24" s="71" cm="1">
        <f t="array" ref="BW24">IF(BW$5="","",-INDEX(OPEX!$F$26:$BY$26,1,BW$5))</f>
        <v>-10805.400434204581</v>
      </c>
      <c r="BX24" s="71" cm="1">
        <f t="array" ref="BX24">IF(BX$5="","",-INDEX(OPEX!$F$26:$BY$26,1,BX$5))</f>
        <v>-10805.400434204581</v>
      </c>
      <c r="BY24" s="71" cm="1">
        <f t="array" ref="BY24">IF(BY$5="","",-INDEX(OPEX!$F$26:$BY$26,1,BY$5))</f>
        <v>-10805.400434204581</v>
      </c>
      <c r="BZ24" s="71" cm="1">
        <f t="array" ref="BZ24">IF(BZ$5="","",-INDEX(OPEX!$F$26:$BY$26,1,BZ$5))</f>
        <v>-10805.400434204581</v>
      </c>
    </row>
    <row r="25" spans="3:93" x14ac:dyDescent="0.2">
      <c r="C25" s="65" t="s">
        <v>280</v>
      </c>
      <c r="D25" s="65"/>
      <c r="E25" s="65"/>
      <c r="F25" s="71"/>
      <c r="G25" s="71">
        <f>-'2021 T12'!D106</f>
        <v>-8253.2900000000009</v>
      </c>
      <c r="H25" s="71">
        <f>-'2021 T12'!E106</f>
        <v>-6906.04</v>
      </c>
      <c r="I25" s="71">
        <f>-'2021 T12'!F106</f>
        <v>-5141.93</v>
      </c>
      <c r="J25" s="71">
        <f>-'2021 T12'!G106</f>
        <v>-7009.87</v>
      </c>
      <c r="K25" s="71">
        <f>-'2021 T12'!H106</f>
        <v>-5354.47</v>
      </c>
      <c r="L25" s="71">
        <f>-'2021 T12'!I106</f>
        <v>-6089.1</v>
      </c>
      <c r="M25" s="71">
        <f>-'2021 T12'!J106</f>
        <v>-5349.05</v>
      </c>
      <c r="N25" s="71">
        <f>-'2021 T12'!K106</f>
        <v>-5420.85</v>
      </c>
      <c r="O25" s="71">
        <f>-'2021 T12'!L106</f>
        <v>-5410.04</v>
      </c>
      <c r="P25" s="71">
        <f>-'2021 T12'!M106</f>
        <v>-5484.89</v>
      </c>
      <c r="Q25" s="71" cm="1">
        <f t="array" ref="Q25">IF(Q$5="","",-INDEX(OPEX!$F$27:$BM$27,1,Q$5))</f>
        <v>-5186.0096583333334</v>
      </c>
      <c r="R25" s="71" cm="1">
        <f t="array" ref="R25">IF(R$5="","",-INDEX(OPEX!$F$27:$BM$27,1,R$5))</f>
        <v>-5186.0096583333334</v>
      </c>
      <c r="S25" s="71" cm="1">
        <f t="array" ref="S25">IF(S$5="","",-INDEX(OPEX!$F$27:$BM$27,1,S$5))</f>
        <v>-5186.0096583333334</v>
      </c>
      <c r="T25" s="71" cm="1">
        <f t="array" ref="T25">IF(T$5="","",-INDEX(OPEX!$F$27:$BM$27,1,T$5))</f>
        <v>-5186.0096583333334</v>
      </c>
      <c r="U25" s="71" cm="1">
        <f t="array" ref="U25">IF(U$5="","",-INDEX(OPEX!$F$27:$BM$27,1,U$5))</f>
        <v>-5186.0096583333334</v>
      </c>
      <c r="V25" s="71" cm="1">
        <f t="array" ref="V25">IF(V$5="","",-INDEX(OPEX!$F$27:$BM$27,1,V$5))</f>
        <v>-5186.0096583333334</v>
      </c>
      <c r="W25" s="71" cm="1">
        <f t="array" ref="W25">IF(W$5="","",-INDEX(OPEX!$F$27:$BM$27,1,W$5))</f>
        <v>-5186.0096583333334</v>
      </c>
      <c r="X25" s="71" cm="1">
        <f t="array" ref="X25">IF(X$5="","",-INDEX(OPEX!$F$27:$BM$27,1,X$5))</f>
        <v>-5186.0096583333334</v>
      </c>
      <c r="Y25" s="71" cm="1">
        <f t="array" ref="Y25">IF(Y$5="","",-INDEX(OPEX!$F$27:$BM$27,1,Y$5))</f>
        <v>-5186.0096583333334</v>
      </c>
      <c r="Z25" s="71" cm="1">
        <f t="array" ref="Z25">IF(Z$5="","",-INDEX(OPEX!$F$27:$BM$27,1,Z$5))</f>
        <v>-5186.0096583333334</v>
      </c>
      <c r="AA25" s="71" cm="1">
        <f t="array" ref="AA25">IF(AA$5="","",-INDEX(OPEX!$F$27:$BM$27,1,AA$5))</f>
        <v>-5186.0096583333334</v>
      </c>
      <c r="AB25" s="71" cm="1">
        <f t="array" ref="AB25">IF(AB$5="","",-INDEX(OPEX!$F$27:$BM$27,1,AB$5))</f>
        <v>-5186.0096583333334</v>
      </c>
      <c r="AC25" s="71" cm="1">
        <f t="array" ref="AC25">IF(AC$5="","",-INDEX(OPEX!$F$27:$BM$27,1,AC$5))</f>
        <v>-5186.0096583333334</v>
      </c>
      <c r="AD25" s="71" cm="1">
        <f t="array" ref="AD25">IF(AD$5="","",-INDEX(OPEX!$F$27:$BM$27,1,AD$5))</f>
        <v>-5186.0096583333334</v>
      </c>
      <c r="AE25" s="71" cm="1">
        <f t="array" ref="AE25">IF(AE$5="","",-INDEX(OPEX!$F$27:$BM$27,1,AE$5))</f>
        <v>-5341.5899480833332</v>
      </c>
      <c r="AF25" s="71" cm="1">
        <f t="array" ref="AF25">IF(AF$5="","",-INDEX(OPEX!$F$27:$BM$27,1,AF$5))</f>
        <v>-5341.5899480833332</v>
      </c>
      <c r="AG25" s="71" cm="1">
        <f t="array" ref="AG25">IF(AG$5="","",-INDEX(OPEX!$F$27:$BM$27,1,AG$5))</f>
        <v>-5341.5899480833332</v>
      </c>
      <c r="AH25" s="71" cm="1">
        <f t="array" ref="AH25">IF(AH$5="","",-INDEX(OPEX!$F$27:$BM$27,1,AH$5))</f>
        <v>-5341.5899480833332</v>
      </c>
      <c r="AI25" s="71" cm="1">
        <f t="array" ref="AI25">IF(AI$5="","",-INDEX(OPEX!$F$27:$BM$27,1,AI$5))</f>
        <v>-5341.5899480833332</v>
      </c>
      <c r="AJ25" s="71" cm="1">
        <f t="array" ref="AJ25">IF(AJ$5="","",-INDEX(OPEX!$F$27:$BM$27,1,AJ$5))</f>
        <v>-5341.5899480833332</v>
      </c>
      <c r="AK25" s="71" cm="1">
        <f t="array" ref="AK25">IF(AK$5="","",-INDEX(OPEX!$F$27:$BM$27,1,AK$5))</f>
        <v>-5341.5899480833332</v>
      </c>
      <c r="AL25" s="71" cm="1">
        <f t="array" ref="AL25">IF(AL$5="","",-INDEX(OPEX!$F$27:$BM$27,1,AL$5))</f>
        <v>-5341.5899480833332</v>
      </c>
      <c r="AM25" s="71" cm="1">
        <f t="array" ref="AM25">IF(AM$5="","",-INDEX(OPEX!$F$27:$BM$27,1,AM$5))</f>
        <v>-5341.5899480833332</v>
      </c>
      <c r="AN25" s="71" cm="1">
        <f t="array" ref="AN25">IF(AN$5="","",-INDEX(OPEX!$F$27:$BM$27,1,AN$5))</f>
        <v>-5341.5899480833332</v>
      </c>
      <c r="AO25" s="71" cm="1">
        <f t="array" ref="AO25">IF(AO$5="","",-INDEX(OPEX!$F$27:$BM$27,1,AO$5))</f>
        <v>-5341.5899480833332</v>
      </c>
      <c r="AP25" s="71" cm="1">
        <f t="array" ref="AP25">IF(AP$5="","",-INDEX(OPEX!$F$27:$BM$27,1,AP$5))</f>
        <v>-5341.5899480833332</v>
      </c>
      <c r="AQ25" s="71" cm="1">
        <f t="array" ref="AQ25">IF(AQ$5="","",-INDEX(OPEX!$F$27:$BM$27,1,AQ$5))</f>
        <v>-5501.8376465258334</v>
      </c>
      <c r="AR25" s="71" cm="1">
        <f t="array" ref="AR25">IF(AR$5="","",-INDEX(OPEX!$F$27:$BM$27,1,AR$5))</f>
        <v>-5501.8376465258334</v>
      </c>
      <c r="AS25" s="71" cm="1">
        <f t="array" ref="AS25">IF(AS$5="","",-INDEX(OPEX!$F$27:$BM$27,1,AS$5))</f>
        <v>-5501.8376465258334</v>
      </c>
      <c r="AT25" s="71" cm="1">
        <f t="array" ref="AT25">IF(AT$5="","",-INDEX(OPEX!$F$27:$BM$27,1,AT$5))</f>
        <v>-5501.8376465258334</v>
      </c>
      <c r="AU25" s="71" cm="1">
        <f t="array" ref="AU25">IF(AU$5="","",-INDEX(OPEX!$F$27:$BM$27,1,AU$5))</f>
        <v>-5501.8376465258334</v>
      </c>
      <c r="AV25" s="71" cm="1">
        <f t="array" ref="AV25">IF(AV$5="","",-INDEX(OPEX!$F$27:$BM$27,1,AV$5))</f>
        <v>-5501.8376465258334</v>
      </c>
      <c r="AW25" s="71" cm="1">
        <f t="array" ref="AW25">IF(AW$5="","",-INDEX(OPEX!$F$27:$BM$27,1,AW$5))</f>
        <v>-5501.8376465258334</v>
      </c>
      <c r="AX25" s="71" cm="1">
        <f t="array" ref="AX25">IF(AX$5="","",-INDEX(OPEX!$F$27:$BM$27,1,AX$5))</f>
        <v>-5501.8376465258334</v>
      </c>
      <c r="AY25" s="71" cm="1">
        <f t="array" ref="AY25">IF(AY$5="","",-INDEX(OPEX!$F$27:$BM$27,1,AY$5))</f>
        <v>-5501.8376465258334</v>
      </c>
      <c r="AZ25" s="71" cm="1">
        <f t="array" ref="AZ25">IF(AZ$5="","",-INDEX(OPEX!$F$27:$BM$27,1,AZ$5))</f>
        <v>-5501.8376465258334</v>
      </c>
      <c r="BA25" s="71" cm="1">
        <f t="array" ref="BA25">IF(BA$5="","",-INDEX(OPEX!$F$27:$BM$27,1,BA$5))</f>
        <v>-5501.8376465258334</v>
      </c>
      <c r="BB25" s="71" cm="1">
        <f t="array" ref="BB25">IF(BB$5="","",-INDEX(OPEX!$F$27:$BM$27,1,BB$5))</f>
        <v>-5501.8376465258334</v>
      </c>
      <c r="BC25" s="71" cm="1">
        <f t="array" ref="BC25">IF(BC$5="","",-INDEX(OPEX!$F$27:$BM$27,1,BC$5))</f>
        <v>-5666.8927759216085</v>
      </c>
      <c r="BD25" s="71" cm="1">
        <f t="array" ref="BD25">IF(BD$5="","",-INDEX(OPEX!$F$27:$BM$27,1,BD$5))</f>
        <v>-5666.8927759216085</v>
      </c>
      <c r="BE25" s="71" cm="1">
        <f t="array" ref="BE25">IF(BE$5="","",-INDEX(OPEX!$F$27:$BM$27,1,BE$5))</f>
        <v>-5666.8927759216085</v>
      </c>
      <c r="BF25" s="71" cm="1">
        <f t="array" ref="BF25">IF(BF$5="","",-INDEX(OPEX!$F$27:$BM$27,1,BF$5))</f>
        <v>-5666.8927759216085</v>
      </c>
      <c r="BG25" s="71" cm="1">
        <f t="array" ref="BG25">IF(BG$5="","",-INDEX(OPEX!$F$27:$BM$27,1,BG$5))</f>
        <v>-5666.8927759216085</v>
      </c>
      <c r="BH25" s="71" cm="1">
        <f t="array" ref="BH25">IF(BH$5="","",-INDEX(OPEX!$F$27:$BM$27,1,BH$5))</f>
        <v>-5666.8927759216085</v>
      </c>
      <c r="BI25" s="71" cm="1">
        <f t="array" ref="BI25">IF(BI$5="","",-INDEX(OPEX!$F$27:$BM$27,1,BI$5))</f>
        <v>-5666.8927759216085</v>
      </c>
      <c r="BJ25" s="71" cm="1">
        <f t="array" ref="BJ25">IF(BJ$5="","",-INDEX(OPEX!$F$27:$BM$27,1,BJ$5))</f>
        <v>-5666.8927759216085</v>
      </c>
      <c r="BK25" s="71" cm="1">
        <f t="array" ref="BK25">IF(BK$5="","",-INDEX(OPEX!$F$27:$BM$27,1,BK$5))</f>
        <v>-5666.8927759216085</v>
      </c>
      <c r="BL25" s="71" cm="1">
        <f t="array" ref="BL25">IF(BL$5="","",-INDEX(OPEX!$F$27:$BM$27,1,BL$5))</f>
        <v>-5666.8927759216085</v>
      </c>
      <c r="BM25" s="71" cm="1">
        <f t="array" ref="BM25">IF(BM$5="","",-INDEX(OPEX!$F$27:$BM$27,1,BM$5))</f>
        <v>-5666.8927759216085</v>
      </c>
      <c r="BN25" s="71" cm="1">
        <f t="array" ref="BN25">IF(BN$5="","",-INDEX(OPEX!$F$27:$BM$27,1,BN$5))</f>
        <v>-5666.8927759216085</v>
      </c>
      <c r="BO25" s="71" cm="1">
        <f t="array" ref="BO25">IF(BO$5="","",-INDEX(OPEX!$F$27:$BY$27,1,BO$5))</f>
        <v>-5836.8995591992561</v>
      </c>
      <c r="BP25" s="71" cm="1">
        <f t="array" ref="BP25">IF(BP$5="","",-INDEX(OPEX!$F$27:$BY$27,1,BP$5))</f>
        <v>-5836.8995591992561</v>
      </c>
      <c r="BQ25" s="71" cm="1">
        <f t="array" ref="BQ25">IF(BQ$5="","",-INDEX(OPEX!$F$27:$BY$27,1,BQ$5))</f>
        <v>-5836.8995591992561</v>
      </c>
      <c r="BR25" s="71" cm="1">
        <f t="array" ref="BR25">IF(BR$5="","",-INDEX(OPEX!$F$27:$BY$27,1,BR$5))</f>
        <v>-5836.8995591992561</v>
      </c>
      <c r="BS25" s="71" cm="1">
        <f t="array" ref="BS25">IF(BS$5="","",-INDEX(OPEX!$F$27:$BY$27,1,BS$5))</f>
        <v>-5836.8995591992561</v>
      </c>
      <c r="BT25" s="71" cm="1">
        <f t="array" ref="BT25">IF(BT$5="","",-INDEX(OPEX!$F$27:$BY$27,1,BT$5))</f>
        <v>-5836.8995591992561</v>
      </c>
      <c r="BU25" s="71" cm="1">
        <f t="array" ref="BU25">IF(BU$5="","",-INDEX(OPEX!$F$27:$BY$27,1,BU$5))</f>
        <v>-5836.8995591992561</v>
      </c>
      <c r="BV25" s="71" cm="1">
        <f t="array" ref="BV25">IF(BV$5="","",-INDEX(OPEX!$F$27:$BY$27,1,BV$5))</f>
        <v>-5836.8995591992561</v>
      </c>
      <c r="BW25" s="71" cm="1">
        <f t="array" ref="BW25">IF(BW$5="","",-INDEX(OPEX!$F$27:$BY$27,1,BW$5))</f>
        <v>-5836.8995591992561</v>
      </c>
      <c r="BX25" s="71" cm="1">
        <f t="array" ref="BX25">IF(BX$5="","",-INDEX(OPEX!$F$27:$BY$27,1,BX$5))</f>
        <v>-5836.8995591992561</v>
      </c>
      <c r="BY25" s="71" cm="1">
        <f t="array" ref="BY25">IF(BY$5="","",-INDEX(OPEX!$F$27:$BY$27,1,BY$5))</f>
        <v>-5836.8995591992561</v>
      </c>
      <c r="BZ25" s="71" cm="1">
        <f t="array" ref="BZ25">IF(BZ$5="","",-INDEX(OPEX!$F$27:$BY$27,1,BZ$5))</f>
        <v>-5836.8995591992561</v>
      </c>
    </row>
    <row r="26" spans="3:93" x14ac:dyDescent="0.2">
      <c r="C26" s="65" t="s">
        <v>281</v>
      </c>
      <c r="D26" s="65"/>
      <c r="E26" s="65"/>
      <c r="F26" s="71"/>
      <c r="G26" s="71">
        <f>-'2021 T12'!D117</f>
        <v>24103.63</v>
      </c>
      <c r="H26" s="71">
        <f>-'2021 T12'!E117</f>
        <v>-1405.85</v>
      </c>
      <c r="I26" s="71">
        <f>-'2021 T12'!F117</f>
        <v>-1282.29</v>
      </c>
      <c r="J26" s="71">
        <f>-'2021 T12'!G117</f>
        <v>-1229.19</v>
      </c>
      <c r="K26" s="71">
        <f>-'2021 T12'!H117</f>
        <v>-1620.26</v>
      </c>
      <c r="L26" s="71">
        <f>-'2021 T12'!I117</f>
        <v>-1488.35</v>
      </c>
      <c r="M26" s="71">
        <f>-'2021 T12'!J117</f>
        <v>-663.43</v>
      </c>
      <c r="N26" s="71">
        <f>-'2021 T12'!K117</f>
        <v>-2068.56</v>
      </c>
      <c r="O26" s="71">
        <f>-'2021 T12'!L117</f>
        <v>-1063.8800000000001</v>
      </c>
      <c r="P26" s="71">
        <f>-'2021 T12'!M117</f>
        <v>-1167.23</v>
      </c>
      <c r="Q26" s="71" cm="1">
        <f t="array" ref="Q26">IF(Q$5="","",-INDEX(OPEX!$F$28:$BM$28,1,Q$5))</f>
        <v>-1095.8333333333333</v>
      </c>
      <c r="R26" s="71" cm="1">
        <f t="array" ref="R26">IF(R$5="","",-INDEX(OPEX!$F$28:$BM$28,1,R$5))</f>
        <v>-1095.8333333333333</v>
      </c>
      <c r="S26" s="71" cm="1">
        <f t="array" ref="S26">IF(S$5="","",-INDEX(OPEX!$F$28:$BM$28,1,S$5))</f>
        <v>-1095.8333333333333</v>
      </c>
      <c r="T26" s="71" cm="1">
        <f t="array" ref="T26">IF(T$5="","",-INDEX(OPEX!$F$28:$BM$28,1,T$5))</f>
        <v>-1095.8333333333333</v>
      </c>
      <c r="U26" s="71" cm="1">
        <f t="array" ref="U26">IF(U$5="","",-INDEX(OPEX!$F$28:$BM$28,1,U$5))</f>
        <v>-1095.8333333333333</v>
      </c>
      <c r="V26" s="71" cm="1">
        <f t="array" ref="V26">IF(V$5="","",-INDEX(OPEX!$F$28:$BM$28,1,V$5))</f>
        <v>-1095.8333333333333</v>
      </c>
      <c r="W26" s="71" cm="1">
        <f t="array" ref="W26">IF(W$5="","",-INDEX(OPEX!$F$28:$BM$28,1,W$5))</f>
        <v>-1095.8333333333333</v>
      </c>
      <c r="X26" s="71" cm="1">
        <f t="array" ref="X26">IF(X$5="","",-INDEX(OPEX!$F$28:$BM$28,1,X$5))</f>
        <v>-1095.8333333333333</v>
      </c>
      <c r="Y26" s="71" cm="1">
        <f t="array" ref="Y26">IF(Y$5="","",-INDEX(OPEX!$F$28:$BM$28,1,Y$5))</f>
        <v>-1095.8333333333333</v>
      </c>
      <c r="Z26" s="71" cm="1">
        <f t="array" ref="Z26">IF(Z$5="","",-INDEX(OPEX!$F$28:$BM$28,1,Z$5))</f>
        <v>-1095.8333333333333</v>
      </c>
      <c r="AA26" s="71" cm="1">
        <f t="array" ref="AA26">IF(AA$5="","",-INDEX(OPEX!$F$28:$BM$28,1,AA$5))</f>
        <v>-1095.8333333333333</v>
      </c>
      <c r="AB26" s="71" cm="1">
        <f t="array" ref="AB26">IF(AB$5="","",-INDEX(OPEX!$F$28:$BM$28,1,AB$5))</f>
        <v>-1095.8333333333333</v>
      </c>
      <c r="AC26" s="71" cm="1">
        <f t="array" ref="AC26">IF(AC$5="","",-INDEX(OPEX!$F$28:$BM$28,1,AC$5))</f>
        <v>-1095.8333333333333</v>
      </c>
      <c r="AD26" s="71" cm="1">
        <f t="array" ref="AD26">IF(AD$5="","",-INDEX(OPEX!$F$28:$BM$28,1,AD$5))</f>
        <v>-1095.8333333333333</v>
      </c>
      <c r="AE26" s="71" cm="1">
        <f t="array" ref="AE26">IF(AE$5="","",-INDEX(OPEX!$F$28:$BM$28,1,AE$5))</f>
        <v>-1128.7083333333333</v>
      </c>
      <c r="AF26" s="71" cm="1">
        <f t="array" ref="AF26">IF(AF$5="","",-INDEX(OPEX!$F$28:$BM$28,1,AF$5))</f>
        <v>-1128.7083333333333</v>
      </c>
      <c r="AG26" s="71" cm="1">
        <f t="array" ref="AG26">IF(AG$5="","",-INDEX(OPEX!$F$28:$BM$28,1,AG$5))</f>
        <v>-1128.7083333333333</v>
      </c>
      <c r="AH26" s="71" cm="1">
        <f t="array" ref="AH26">IF(AH$5="","",-INDEX(OPEX!$F$28:$BM$28,1,AH$5))</f>
        <v>-1128.7083333333333</v>
      </c>
      <c r="AI26" s="71" cm="1">
        <f t="array" ref="AI26">IF(AI$5="","",-INDEX(OPEX!$F$28:$BM$28,1,AI$5))</f>
        <v>-1128.7083333333333</v>
      </c>
      <c r="AJ26" s="71" cm="1">
        <f t="array" ref="AJ26">IF(AJ$5="","",-INDEX(OPEX!$F$28:$BM$28,1,AJ$5))</f>
        <v>-1128.7083333333333</v>
      </c>
      <c r="AK26" s="71" cm="1">
        <f t="array" ref="AK26">IF(AK$5="","",-INDEX(OPEX!$F$28:$BM$28,1,AK$5))</f>
        <v>-1128.7083333333333</v>
      </c>
      <c r="AL26" s="71" cm="1">
        <f t="array" ref="AL26">IF(AL$5="","",-INDEX(OPEX!$F$28:$BM$28,1,AL$5))</f>
        <v>-1128.7083333333333</v>
      </c>
      <c r="AM26" s="71" cm="1">
        <f t="array" ref="AM26">IF(AM$5="","",-INDEX(OPEX!$F$28:$BM$28,1,AM$5))</f>
        <v>-1128.7083333333333</v>
      </c>
      <c r="AN26" s="71" cm="1">
        <f t="array" ref="AN26">IF(AN$5="","",-INDEX(OPEX!$F$28:$BM$28,1,AN$5))</f>
        <v>-1128.7083333333333</v>
      </c>
      <c r="AO26" s="71" cm="1">
        <f t="array" ref="AO26">IF(AO$5="","",-INDEX(OPEX!$F$28:$BM$28,1,AO$5))</f>
        <v>-1128.7083333333333</v>
      </c>
      <c r="AP26" s="71" cm="1">
        <f t="array" ref="AP26">IF(AP$5="","",-INDEX(OPEX!$F$28:$BM$28,1,AP$5))</f>
        <v>-1128.7083333333333</v>
      </c>
      <c r="AQ26" s="71" cm="1">
        <f t="array" ref="AQ26">IF(AQ$5="","",-INDEX(OPEX!$F$28:$BM$28,1,AQ$5))</f>
        <v>-1162.5695833333332</v>
      </c>
      <c r="AR26" s="71" cm="1">
        <f t="array" ref="AR26">IF(AR$5="","",-INDEX(OPEX!$F$28:$BM$28,1,AR$5))</f>
        <v>-1162.5695833333332</v>
      </c>
      <c r="AS26" s="71" cm="1">
        <f t="array" ref="AS26">IF(AS$5="","",-INDEX(OPEX!$F$28:$BM$28,1,AS$5))</f>
        <v>-1162.5695833333332</v>
      </c>
      <c r="AT26" s="71" cm="1">
        <f t="array" ref="AT26">IF(AT$5="","",-INDEX(OPEX!$F$28:$BM$28,1,AT$5))</f>
        <v>-1162.5695833333332</v>
      </c>
      <c r="AU26" s="71" cm="1">
        <f t="array" ref="AU26">IF(AU$5="","",-INDEX(OPEX!$F$28:$BM$28,1,AU$5))</f>
        <v>-1162.5695833333332</v>
      </c>
      <c r="AV26" s="71" cm="1">
        <f t="array" ref="AV26">IF(AV$5="","",-INDEX(OPEX!$F$28:$BM$28,1,AV$5))</f>
        <v>-1162.5695833333332</v>
      </c>
      <c r="AW26" s="71" cm="1">
        <f t="array" ref="AW26">IF(AW$5="","",-INDEX(OPEX!$F$28:$BM$28,1,AW$5))</f>
        <v>-1162.5695833333332</v>
      </c>
      <c r="AX26" s="71" cm="1">
        <f t="array" ref="AX26">IF(AX$5="","",-INDEX(OPEX!$F$28:$BM$28,1,AX$5))</f>
        <v>-1162.5695833333332</v>
      </c>
      <c r="AY26" s="71" cm="1">
        <f t="array" ref="AY26">IF(AY$5="","",-INDEX(OPEX!$F$28:$BM$28,1,AY$5))</f>
        <v>-1162.5695833333332</v>
      </c>
      <c r="AZ26" s="71" cm="1">
        <f t="array" ref="AZ26">IF(AZ$5="","",-INDEX(OPEX!$F$28:$BM$28,1,AZ$5))</f>
        <v>-1162.5695833333332</v>
      </c>
      <c r="BA26" s="71" cm="1">
        <f t="array" ref="BA26">IF(BA$5="","",-INDEX(OPEX!$F$28:$BM$28,1,BA$5))</f>
        <v>-1162.5695833333332</v>
      </c>
      <c r="BB26" s="71" cm="1">
        <f t="array" ref="BB26">IF(BB$5="","",-INDEX(OPEX!$F$28:$BM$28,1,BB$5))</f>
        <v>-1162.5695833333332</v>
      </c>
      <c r="BC26" s="71" cm="1">
        <f t="array" ref="BC26">IF(BC$5="","",-INDEX(OPEX!$F$28:$BM$28,1,BC$5))</f>
        <v>-1197.4466708333332</v>
      </c>
      <c r="BD26" s="71" cm="1">
        <f t="array" ref="BD26">IF(BD$5="","",-INDEX(OPEX!$F$28:$BM$28,1,BD$5))</f>
        <v>-1197.4466708333332</v>
      </c>
      <c r="BE26" s="71" cm="1">
        <f t="array" ref="BE26">IF(BE$5="","",-INDEX(OPEX!$F$28:$BM$28,1,BE$5))</f>
        <v>-1197.4466708333332</v>
      </c>
      <c r="BF26" s="71" cm="1">
        <f t="array" ref="BF26">IF(BF$5="","",-INDEX(OPEX!$F$28:$BM$28,1,BF$5))</f>
        <v>-1197.4466708333332</v>
      </c>
      <c r="BG26" s="71" cm="1">
        <f t="array" ref="BG26">IF(BG$5="","",-INDEX(OPEX!$F$28:$BM$28,1,BG$5))</f>
        <v>-1197.4466708333332</v>
      </c>
      <c r="BH26" s="71" cm="1">
        <f t="array" ref="BH26">IF(BH$5="","",-INDEX(OPEX!$F$28:$BM$28,1,BH$5))</f>
        <v>-1197.4466708333332</v>
      </c>
      <c r="BI26" s="71" cm="1">
        <f t="array" ref="BI26">IF(BI$5="","",-INDEX(OPEX!$F$28:$BM$28,1,BI$5))</f>
        <v>-1197.4466708333332</v>
      </c>
      <c r="BJ26" s="71" cm="1">
        <f t="array" ref="BJ26">IF(BJ$5="","",-INDEX(OPEX!$F$28:$BM$28,1,BJ$5))</f>
        <v>-1197.4466708333332</v>
      </c>
      <c r="BK26" s="71" cm="1">
        <f t="array" ref="BK26">IF(BK$5="","",-INDEX(OPEX!$F$28:$BM$28,1,BK$5))</f>
        <v>-1197.4466708333332</v>
      </c>
      <c r="BL26" s="71" cm="1">
        <f t="array" ref="BL26">IF(BL$5="","",-INDEX(OPEX!$F$28:$BM$28,1,BL$5))</f>
        <v>-1197.4466708333332</v>
      </c>
      <c r="BM26" s="71" cm="1">
        <f t="array" ref="BM26">IF(BM$5="","",-INDEX(OPEX!$F$28:$BM$28,1,BM$5))</f>
        <v>-1197.4466708333332</v>
      </c>
      <c r="BN26" s="71" cm="1">
        <f t="array" ref="BN26">IF(BN$5="","",-INDEX(OPEX!$F$28:$BM$28,1,BN$5))</f>
        <v>-1197.4466708333332</v>
      </c>
      <c r="BO26" s="71" cm="1">
        <f t="array" ref="BO26">IF(BO$5="","",-INDEX(OPEX!$F$28:$BY$28,1,BO$5))</f>
        <v>-1233.3700709583331</v>
      </c>
      <c r="BP26" s="71" cm="1">
        <f t="array" ref="BP26">IF(BP$5="","",-INDEX(OPEX!$F$28:$BY$28,1,BP$5))</f>
        <v>-1233.3700709583331</v>
      </c>
      <c r="BQ26" s="71" cm="1">
        <f t="array" ref="BQ26">IF(BQ$5="","",-INDEX(OPEX!$F$28:$BY$28,1,BQ$5))</f>
        <v>-1233.3700709583331</v>
      </c>
      <c r="BR26" s="71" cm="1">
        <f t="array" ref="BR26">IF(BR$5="","",-INDEX(OPEX!$F$28:$BY$28,1,BR$5))</f>
        <v>-1233.3700709583331</v>
      </c>
      <c r="BS26" s="71" cm="1">
        <f t="array" ref="BS26">IF(BS$5="","",-INDEX(OPEX!$F$28:$BY$28,1,BS$5))</f>
        <v>-1233.3700709583331</v>
      </c>
      <c r="BT26" s="71" cm="1">
        <f t="array" ref="BT26">IF(BT$5="","",-INDEX(OPEX!$F$28:$BY$28,1,BT$5))</f>
        <v>-1233.3700709583331</v>
      </c>
      <c r="BU26" s="71" cm="1">
        <f t="array" ref="BU26">IF(BU$5="","",-INDEX(OPEX!$F$28:$BY$28,1,BU$5))</f>
        <v>-1233.3700709583331</v>
      </c>
      <c r="BV26" s="71" cm="1">
        <f t="array" ref="BV26">IF(BV$5="","",-INDEX(OPEX!$F$28:$BY$28,1,BV$5))</f>
        <v>-1233.3700709583331</v>
      </c>
      <c r="BW26" s="71" cm="1">
        <f t="array" ref="BW26">IF(BW$5="","",-INDEX(OPEX!$F$28:$BY$28,1,BW$5))</f>
        <v>-1233.3700709583331</v>
      </c>
      <c r="BX26" s="71" cm="1">
        <f t="array" ref="BX26">IF(BX$5="","",-INDEX(OPEX!$F$28:$BY$28,1,BX$5))</f>
        <v>-1233.3700709583331</v>
      </c>
      <c r="BY26" s="71" cm="1">
        <f t="array" ref="BY26">IF(BY$5="","",-INDEX(OPEX!$F$28:$BY$28,1,BY$5))</f>
        <v>-1233.3700709583331</v>
      </c>
      <c r="BZ26" s="71" cm="1">
        <f t="array" ref="BZ26">IF(BZ$5="","",-INDEX(OPEX!$F$28:$BY$28,1,BZ$5))</f>
        <v>-1233.3700709583331</v>
      </c>
    </row>
    <row r="27" spans="3:93" x14ac:dyDescent="0.2">
      <c r="C27" s="65" t="s">
        <v>282</v>
      </c>
      <c r="D27" s="65"/>
      <c r="E27" s="65"/>
      <c r="F27" s="71"/>
      <c r="G27" s="71">
        <f>-'2021 T12'!D123</f>
        <v>0</v>
      </c>
      <c r="H27" s="71">
        <f>-'2021 T12'!E123</f>
        <v>-250</v>
      </c>
      <c r="I27" s="71">
        <f>-'2021 T12'!F123</f>
        <v>0</v>
      </c>
      <c r="J27" s="71">
        <f>-'2021 T12'!G123</f>
        <v>0</v>
      </c>
      <c r="K27" s="71">
        <f>-'2021 T12'!H123</f>
        <v>0</v>
      </c>
      <c r="L27" s="71">
        <f>-'2021 T12'!I123</f>
        <v>0</v>
      </c>
      <c r="M27" s="71">
        <f>-'2021 T12'!J123</f>
        <v>0</v>
      </c>
      <c r="N27" s="71">
        <f>-'2021 T12'!K123</f>
        <v>0</v>
      </c>
      <c r="O27" s="71">
        <f>-'2021 T12'!L123</f>
        <v>0</v>
      </c>
      <c r="P27" s="71">
        <f>-'2021 T12'!M123</f>
        <v>0</v>
      </c>
      <c r="Q27" s="71" cm="1">
        <f t="array" ref="Q27">IF(Q$5="","",-INDEX(OPEX!$F$29:$BM$29,1,Q$5))</f>
        <v>-20.833333333333332</v>
      </c>
      <c r="R27" s="71" cm="1">
        <f t="array" ref="R27">IF(R$5="","",-INDEX(OPEX!$F$29:$BM$29,1,R$5))</f>
        <v>-20.833333333333332</v>
      </c>
      <c r="S27" s="71" cm="1">
        <f t="array" ref="S27">IF(S$5="","",-INDEX(OPEX!$F$29:$BM$29,1,S$5))</f>
        <v>-20.833333333333332</v>
      </c>
      <c r="T27" s="71" cm="1">
        <f t="array" ref="T27">IF(T$5="","",-INDEX(OPEX!$F$29:$BM$29,1,T$5))</f>
        <v>-20.833333333333332</v>
      </c>
      <c r="U27" s="71" cm="1">
        <f t="array" ref="U27">IF(U$5="","",-INDEX(OPEX!$F$29:$BM$29,1,U$5))</f>
        <v>-20.833333333333332</v>
      </c>
      <c r="V27" s="71" cm="1">
        <f t="array" ref="V27">IF(V$5="","",-INDEX(OPEX!$F$29:$BM$29,1,V$5))</f>
        <v>-20.833333333333332</v>
      </c>
      <c r="W27" s="71" cm="1">
        <f t="array" ref="W27">IF(W$5="","",-INDEX(OPEX!$F$29:$BM$29,1,W$5))</f>
        <v>-20.833333333333332</v>
      </c>
      <c r="X27" s="71" cm="1">
        <f t="array" ref="X27">IF(X$5="","",-INDEX(OPEX!$F$29:$BM$29,1,X$5))</f>
        <v>-20.833333333333332</v>
      </c>
      <c r="Y27" s="71" cm="1">
        <f t="array" ref="Y27">IF(Y$5="","",-INDEX(OPEX!$F$29:$BM$29,1,Y$5))</f>
        <v>-20.833333333333332</v>
      </c>
      <c r="Z27" s="71" cm="1">
        <f t="array" ref="Z27">IF(Z$5="","",-INDEX(OPEX!$F$29:$BM$29,1,Z$5))</f>
        <v>-20.833333333333332</v>
      </c>
      <c r="AA27" s="71" cm="1">
        <f t="array" ref="AA27">IF(AA$5="","",-INDEX(OPEX!$F$29:$BM$29,1,AA$5))</f>
        <v>-20.833333333333332</v>
      </c>
      <c r="AB27" s="71" cm="1">
        <f t="array" ref="AB27">IF(AB$5="","",-INDEX(OPEX!$F$29:$BM$29,1,AB$5))</f>
        <v>-20.833333333333332</v>
      </c>
      <c r="AC27" s="71" cm="1">
        <f t="array" ref="AC27">IF(AC$5="","",-INDEX(OPEX!$F$29:$BM$29,1,AC$5))</f>
        <v>-20.833333333333332</v>
      </c>
      <c r="AD27" s="71" cm="1">
        <f t="array" ref="AD27">IF(AD$5="","",-INDEX(OPEX!$F$29:$BM$29,1,AD$5))</f>
        <v>-20.833333333333332</v>
      </c>
      <c r="AE27" s="71" cm="1">
        <f t="array" ref="AE27">IF(AE$5="","",-INDEX(OPEX!$F$29:$BM$29,1,AE$5))</f>
        <v>-21.458333333333332</v>
      </c>
      <c r="AF27" s="71" cm="1">
        <f t="array" ref="AF27">IF(AF$5="","",-INDEX(OPEX!$F$29:$BM$29,1,AF$5))</f>
        <v>-21.458333333333332</v>
      </c>
      <c r="AG27" s="71" cm="1">
        <f t="array" ref="AG27">IF(AG$5="","",-INDEX(OPEX!$F$29:$BM$29,1,AG$5))</f>
        <v>-21.458333333333332</v>
      </c>
      <c r="AH27" s="71" cm="1">
        <f t="array" ref="AH27">IF(AH$5="","",-INDEX(OPEX!$F$29:$BM$29,1,AH$5))</f>
        <v>-21.458333333333332</v>
      </c>
      <c r="AI27" s="71" cm="1">
        <f t="array" ref="AI27">IF(AI$5="","",-INDEX(OPEX!$F$29:$BM$29,1,AI$5))</f>
        <v>-21.458333333333332</v>
      </c>
      <c r="AJ27" s="71" cm="1">
        <f t="array" ref="AJ27">IF(AJ$5="","",-INDEX(OPEX!$F$29:$BM$29,1,AJ$5))</f>
        <v>-21.458333333333332</v>
      </c>
      <c r="AK27" s="71" cm="1">
        <f t="array" ref="AK27">IF(AK$5="","",-INDEX(OPEX!$F$29:$BM$29,1,AK$5))</f>
        <v>-21.458333333333332</v>
      </c>
      <c r="AL27" s="71" cm="1">
        <f t="array" ref="AL27">IF(AL$5="","",-INDEX(OPEX!$F$29:$BM$29,1,AL$5))</f>
        <v>-21.458333333333332</v>
      </c>
      <c r="AM27" s="71" cm="1">
        <f t="array" ref="AM27">IF(AM$5="","",-INDEX(OPEX!$F$29:$BM$29,1,AM$5))</f>
        <v>-21.458333333333332</v>
      </c>
      <c r="AN27" s="71" cm="1">
        <f t="array" ref="AN27">IF(AN$5="","",-INDEX(OPEX!$F$29:$BM$29,1,AN$5))</f>
        <v>-21.458333333333332</v>
      </c>
      <c r="AO27" s="71" cm="1">
        <f t="array" ref="AO27">IF(AO$5="","",-INDEX(OPEX!$F$29:$BM$29,1,AO$5))</f>
        <v>-21.458333333333332</v>
      </c>
      <c r="AP27" s="71" cm="1">
        <f t="array" ref="AP27">IF(AP$5="","",-INDEX(OPEX!$F$29:$BM$29,1,AP$5))</f>
        <v>-21.458333333333332</v>
      </c>
      <c r="AQ27" s="71" cm="1">
        <f t="array" ref="AQ27">IF(AQ$5="","",-INDEX(OPEX!$F$29:$BM$29,1,AQ$5))</f>
        <v>-22.102083333333333</v>
      </c>
      <c r="AR27" s="71" cm="1">
        <f t="array" ref="AR27">IF(AR$5="","",-INDEX(OPEX!$F$29:$BM$29,1,AR$5))</f>
        <v>-22.102083333333333</v>
      </c>
      <c r="AS27" s="71" cm="1">
        <f t="array" ref="AS27">IF(AS$5="","",-INDEX(OPEX!$F$29:$BM$29,1,AS$5))</f>
        <v>-22.102083333333333</v>
      </c>
      <c r="AT27" s="71" cm="1">
        <f t="array" ref="AT27">IF(AT$5="","",-INDEX(OPEX!$F$29:$BM$29,1,AT$5))</f>
        <v>-22.102083333333333</v>
      </c>
      <c r="AU27" s="71" cm="1">
        <f t="array" ref="AU27">IF(AU$5="","",-INDEX(OPEX!$F$29:$BM$29,1,AU$5))</f>
        <v>-22.102083333333333</v>
      </c>
      <c r="AV27" s="71" cm="1">
        <f t="array" ref="AV27">IF(AV$5="","",-INDEX(OPEX!$F$29:$BM$29,1,AV$5))</f>
        <v>-22.102083333333333</v>
      </c>
      <c r="AW27" s="71" cm="1">
        <f t="array" ref="AW27">IF(AW$5="","",-INDEX(OPEX!$F$29:$BM$29,1,AW$5))</f>
        <v>-22.102083333333333</v>
      </c>
      <c r="AX27" s="71" cm="1">
        <f t="array" ref="AX27">IF(AX$5="","",-INDEX(OPEX!$F$29:$BM$29,1,AX$5))</f>
        <v>-22.102083333333333</v>
      </c>
      <c r="AY27" s="71" cm="1">
        <f t="array" ref="AY27">IF(AY$5="","",-INDEX(OPEX!$F$29:$BM$29,1,AY$5))</f>
        <v>-22.102083333333333</v>
      </c>
      <c r="AZ27" s="71" cm="1">
        <f t="array" ref="AZ27">IF(AZ$5="","",-INDEX(OPEX!$F$29:$BM$29,1,AZ$5))</f>
        <v>-22.102083333333333</v>
      </c>
      <c r="BA27" s="71" cm="1">
        <f t="array" ref="BA27">IF(BA$5="","",-INDEX(OPEX!$F$29:$BM$29,1,BA$5))</f>
        <v>-22.102083333333333</v>
      </c>
      <c r="BB27" s="71" cm="1">
        <f t="array" ref="BB27">IF(BB$5="","",-INDEX(OPEX!$F$29:$BM$29,1,BB$5))</f>
        <v>-22.102083333333333</v>
      </c>
      <c r="BC27" s="71" cm="1">
        <f t="array" ref="BC27">IF(BC$5="","",-INDEX(OPEX!$F$29:$BM$29,1,BC$5))</f>
        <v>-22.765145833333332</v>
      </c>
      <c r="BD27" s="71" cm="1">
        <f t="array" ref="BD27">IF(BD$5="","",-INDEX(OPEX!$F$29:$BM$29,1,BD$5))</f>
        <v>-22.765145833333332</v>
      </c>
      <c r="BE27" s="71" cm="1">
        <f t="array" ref="BE27">IF(BE$5="","",-INDEX(OPEX!$F$29:$BM$29,1,BE$5))</f>
        <v>-22.765145833333332</v>
      </c>
      <c r="BF27" s="71" cm="1">
        <f t="array" ref="BF27">IF(BF$5="","",-INDEX(OPEX!$F$29:$BM$29,1,BF$5))</f>
        <v>-22.765145833333332</v>
      </c>
      <c r="BG27" s="71" cm="1">
        <f t="array" ref="BG27">IF(BG$5="","",-INDEX(OPEX!$F$29:$BM$29,1,BG$5))</f>
        <v>-22.765145833333332</v>
      </c>
      <c r="BH27" s="71" cm="1">
        <f t="array" ref="BH27">IF(BH$5="","",-INDEX(OPEX!$F$29:$BM$29,1,BH$5))</f>
        <v>-22.765145833333332</v>
      </c>
      <c r="BI27" s="71" cm="1">
        <f t="array" ref="BI27">IF(BI$5="","",-INDEX(OPEX!$F$29:$BM$29,1,BI$5))</f>
        <v>-22.765145833333332</v>
      </c>
      <c r="BJ27" s="71" cm="1">
        <f t="array" ref="BJ27">IF(BJ$5="","",-INDEX(OPEX!$F$29:$BM$29,1,BJ$5))</f>
        <v>-22.765145833333332</v>
      </c>
      <c r="BK27" s="71" cm="1">
        <f t="array" ref="BK27">IF(BK$5="","",-INDEX(OPEX!$F$29:$BM$29,1,BK$5))</f>
        <v>-22.765145833333332</v>
      </c>
      <c r="BL27" s="71" cm="1">
        <f t="array" ref="BL27">IF(BL$5="","",-INDEX(OPEX!$F$29:$BM$29,1,BL$5))</f>
        <v>-22.765145833333332</v>
      </c>
      <c r="BM27" s="71" cm="1">
        <f t="array" ref="BM27">IF(BM$5="","",-INDEX(OPEX!$F$29:$BM$29,1,BM$5))</f>
        <v>-22.765145833333332</v>
      </c>
      <c r="BN27" s="71" cm="1">
        <f t="array" ref="BN27">IF(BN$5="","",-INDEX(OPEX!$F$29:$BM$29,1,BN$5))</f>
        <v>-22.765145833333332</v>
      </c>
      <c r="BO27" s="71" cm="1">
        <f t="array" ref="BO27">IF(BO$5="","",-INDEX(OPEX!$F$29:$BY$29,1,BO$5))</f>
        <v>-23.448100208333329</v>
      </c>
      <c r="BP27" s="71" cm="1">
        <f t="array" ref="BP27">IF(BP$5="","",-INDEX(OPEX!$F$29:$BY$29,1,BP$5))</f>
        <v>-23.448100208333329</v>
      </c>
      <c r="BQ27" s="71" cm="1">
        <f t="array" ref="BQ27">IF(BQ$5="","",-INDEX(OPEX!$F$29:$BY$29,1,BQ$5))</f>
        <v>-23.448100208333329</v>
      </c>
      <c r="BR27" s="71" cm="1">
        <f t="array" ref="BR27">IF(BR$5="","",-INDEX(OPEX!$F$29:$BY$29,1,BR$5))</f>
        <v>-23.448100208333329</v>
      </c>
      <c r="BS27" s="71" cm="1">
        <f t="array" ref="BS27">IF(BS$5="","",-INDEX(OPEX!$F$29:$BY$29,1,BS$5))</f>
        <v>-23.448100208333329</v>
      </c>
      <c r="BT27" s="71" cm="1">
        <f t="array" ref="BT27">IF(BT$5="","",-INDEX(OPEX!$F$29:$BY$29,1,BT$5))</f>
        <v>-23.448100208333329</v>
      </c>
      <c r="BU27" s="71" cm="1">
        <f t="array" ref="BU27">IF(BU$5="","",-INDEX(OPEX!$F$29:$BY$29,1,BU$5))</f>
        <v>-23.448100208333329</v>
      </c>
      <c r="BV27" s="71" cm="1">
        <f t="array" ref="BV27">IF(BV$5="","",-INDEX(OPEX!$F$29:$BY$29,1,BV$5))</f>
        <v>-23.448100208333329</v>
      </c>
      <c r="BW27" s="71" cm="1">
        <f t="array" ref="BW27">IF(BW$5="","",-INDEX(OPEX!$F$29:$BY$29,1,BW$5))</f>
        <v>-23.448100208333329</v>
      </c>
      <c r="BX27" s="71" cm="1">
        <f t="array" ref="BX27">IF(BX$5="","",-INDEX(OPEX!$F$29:$BY$29,1,BX$5))</f>
        <v>-23.448100208333329</v>
      </c>
      <c r="BY27" s="71" cm="1">
        <f t="array" ref="BY27">IF(BY$5="","",-INDEX(OPEX!$F$29:$BY$29,1,BY$5))</f>
        <v>-23.448100208333329</v>
      </c>
      <c r="BZ27" s="71" cm="1">
        <f t="array" ref="BZ27">IF(BZ$5="","",-INDEX(OPEX!$F$29:$BY$29,1,BZ$5))</f>
        <v>-23.448100208333329</v>
      </c>
    </row>
    <row r="28" spans="3:93" x14ac:dyDescent="0.2">
      <c r="C28" s="65" t="s">
        <v>283</v>
      </c>
      <c r="D28" s="65"/>
      <c r="E28" s="65"/>
      <c r="F28" s="71"/>
      <c r="G28" s="71">
        <f>-'2021 T12'!D134</f>
        <v>-2390.04</v>
      </c>
      <c r="H28" s="71">
        <f>-'2021 T12'!E134</f>
        <v>-5225</v>
      </c>
      <c r="I28" s="71">
        <f>-'2021 T12'!F134</f>
        <v>-1961</v>
      </c>
      <c r="J28" s="71">
        <f>-'2021 T12'!G134</f>
        <v>-1875</v>
      </c>
      <c r="K28" s="71">
        <f>-'2021 T12'!H134</f>
        <v>-2025</v>
      </c>
      <c r="L28" s="71">
        <f>-'2021 T12'!I134</f>
        <v>-5316.57</v>
      </c>
      <c r="M28" s="71">
        <f>-'2021 T12'!J134</f>
        <v>-3450</v>
      </c>
      <c r="N28" s="71">
        <f>-'2021 T12'!K134</f>
        <v>-2800</v>
      </c>
      <c r="O28" s="71">
        <f>-'2021 T12'!L134</f>
        <v>-3450</v>
      </c>
      <c r="P28" s="71">
        <f>-'2021 T12'!M134</f>
        <v>-7512</v>
      </c>
      <c r="Q28" s="71" cm="1">
        <f t="array" ref="Q28">IF(Q$5="","",-INDEX(OPEX!$F$30:$BM$30,1,Q$5))</f>
        <v>-3208.3333333333335</v>
      </c>
      <c r="R28" s="71" cm="1">
        <f t="array" ref="R28">IF(R$5="","",-INDEX(OPEX!$F$30:$BM$30,1,R$5))</f>
        <v>-3208.3333333333335</v>
      </c>
      <c r="S28" s="71" cm="1">
        <f t="array" ref="S28">IF(S$5="","",-INDEX(OPEX!$F$30:$BM$30,1,S$5))</f>
        <v>-3208.3333333333335</v>
      </c>
      <c r="T28" s="71" cm="1">
        <f t="array" ref="T28">IF(T$5="","",-INDEX(OPEX!$F$30:$BM$30,1,T$5))</f>
        <v>-3208.3333333333335</v>
      </c>
      <c r="U28" s="71" cm="1">
        <f t="array" ref="U28">IF(U$5="","",-INDEX(OPEX!$F$30:$BM$30,1,U$5))</f>
        <v>-3208.3333333333335</v>
      </c>
      <c r="V28" s="71" cm="1">
        <f t="array" ref="V28">IF(V$5="","",-INDEX(OPEX!$F$30:$BM$30,1,V$5))</f>
        <v>-3208.3333333333335</v>
      </c>
      <c r="W28" s="71" cm="1">
        <f t="array" ref="W28">IF(W$5="","",-INDEX(OPEX!$F$30:$BM$30,1,W$5))</f>
        <v>-3208.3333333333335</v>
      </c>
      <c r="X28" s="71" cm="1">
        <f t="array" ref="X28">IF(X$5="","",-INDEX(OPEX!$F$30:$BM$30,1,X$5))</f>
        <v>-3208.3333333333335</v>
      </c>
      <c r="Y28" s="71" cm="1">
        <f t="array" ref="Y28">IF(Y$5="","",-INDEX(OPEX!$F$30:$BM$30,1,Y$5))</f>
        <v>-3208.3333333333335</v>
      </c>
      <c r="Z28" s="71" cm="1">
        <f t="array" ref="Z28">IF(Z$5="","",-INDEX(OPEX!$F$30:$BM$30,1,Z$5))</f>
        <v>-3208.3333333333335</v>
      </c>
      <c r="AA28" s="71" cm="1">
        <f t="array" ref="AA28">IF(AA$5="","",-INDEX(OPEX!$F$30:$BM$30,1,AA$5))</f>
        <v>-3208.3333333333335</v>
      </c>
      <c r="AB28" s="71" cm="1">
        <f t="array" ref="AB28">IF(AB$5="","",-INDEX(OPEX!$F$30:$BM$30,1,AB$5))</f>
        <v>-3208.3333333333335</v>
      </c>
      <c r="AC28" s="71" cm="1">
        <f t="array" ref="AC28">IF(AC$5="","",-INDEX(OPEX!$F$30:$BM$30,1,AC$5))</f>
        <v>-3208.3333333333335</v>
      </c>
      <c r="AD28" s="71" cm="1">
        <f t="array" ref="AD28">IF(AD$5="","",-INDEX(OPEX!$F$30:$BM$30,1,AD$5))</f>
        <v>-3208.3333333333335</v>
      </c>
      <c r="AE28" s="71" cm="1">
        <f t="array" ref="AE28">IF(AE$5="","",-INDEX(OPEX!$F$30:$BM$30,1,AE$5))</f>
        <v>-3304.5833333333335</v>
      </c>
      <c r="AF28" s="71" cm="1">
        <f t="array" ref="AF28">IF(AF$5="","",-INDEX(OPEX!$F$30:$BM$30,1,AF$5))</f>
        <v>-3304.5833333333335</v>
      </c>
      <c r="AG28" s="71" cm="1">
        <f t="array" ref="AG28">IF(AG$5="","",-INDEX(OPEX!$F$30:$BM$30,1,AG$5))</f>
        <v>-3304.5833333333335</v>
      </c>
      <c r="AH28" s="71" cm="1">
        <f t="array" ref="AH28">IF(AH$5="","",-INDEX(OPEX!$F$30:$BM$30,1,AH$5))</f>
        <v>-3304.5833333333335</v>
      </c>
      <c r="AI28" s="71" cm="1">
        <f t="array" ref="AI28">IF(AI$5="","",-INDEX(OPEX!$F$30:$BM$30,1,AI$5))</f>
        <v>-3304.5833333333335</v>
      </c>
      <c r="AJ28" s="71" cm="1">
        <f t="array" ref="AJ28">IF(AJ$5="","",-INDEX(OPEX!$F$30:$BM$30,1,AJ$5))</f>
        <v>-3304.5833333333335</v>
      </c>
      <c r="AK28" s="71" cm="1">
        <f t="array" ref="AK28">IF(AK$5="","",-INDEX(OPEX!$F$30:$BM$30,1,AK$5))</f>
        <v>-3304.5833333333335</v>
      </c>
      <c r="AL28" s="71" cm="1">
        <f t="array" ref="AL28">IF(AL$5="","",-INDEX(OPEX!$F$30:$BM$30,1,AL$5))</f>
        <v>-3304.5833333333335</v>
      </c>
      <c r="AM28" s="71" cm="1">
        <f t="array" ref="AM28">IF(AM$5="","",-INDEX(OPEX!$F$30:$BM$30,1,AM$5))</f>
        <v>-3304.5833333333335</v>
      </c>
      <c r="AN28" s="71" cm="1">
        <f t="array" ref="AN28">IF(AN$5="","",-INDEX(OPEX!$F$30:$BM$30,1,AN$5))</f>
        <v>-3304.5833333333335</v>
      </c>
      <c r="AO28" s="71" cm="1">
        <f t="array" ref="AO28">IF(AO$5="","",-INDEX(OPEX!$F$30:$BM$30,1,AO$5))</f>
        <v>-3304.5833333333335</v>
      </c>
      <c r="AP28" s="71" cm="1">
        <f t="array" ref="AP28">IF(AP$5="","",-INDEX(OPEX!$F$30:$BM$30,1,AP$5))</f>
        <v>-3304.5833333333335</v>
      </c>
      <c r="AQ28" s="71" cm="1">
        <f t="array" ref="AQ28">IF(AQ$5="","",-INDEX(OPEX!$F$30:$BM$30,1,AQ$5))</f>
        <v>-3403.7208333333333</v>
      </c>
      <c r="AR28" s="71" cm="1">
        <f t="array" ref="AR28">IF(AR$5="","",-INDEX(OPEX!$F$30:$BM$30,1,AR$5))</f>
        <v>-3403.7208333333333</v>
      </c>
      <c r="AS28" s="71" cm="1">
        <f t="array" ref="AS28">IF(AS$5="","",-INDEX(OPEX!$F$30:$BM$30,1,AS$5))</f>
        <v>-3403.7208333333333</v>
      </c>
      <c r="AT28" s="71" cm="1">
        <f t="array" ref="AT28">IF(AT$5="","",-INDEX(OPEX!$F$30:$BM$30,1,AT$5))</f>
        <v>-3403.7208333333333</v>
      </c>
      <c r="AU28" s="71" cm="1">
        <f t="array" ref="AU28">IF(AU$5="","",-INDEX(OPEX!$F$30:$BM$30,1,AU$5))</f>
        <v>-3403.7208333333333</v>
      </c>
      <c r="AV28" s="71" cm="1">
        <f t="array" ref="AV28">IF(AV$5="","",-INDEX(OPEX!$F$30:$BM$30,1,AV$5))</f>
        <v>-3403.7208333333333</v>
      </c>
      <c r="AW28" s="71" cm="1">
        <f t="array" ref="AW28">IF(AW$5="","",-INDEX(OPEX!$F$30:$BM$30,1,AW$5))</f>
        <v>-3403.7208333333333</v>
      </c>
      <c r="AX28" s="71" cm="1">
        <f t="array" ref="AX28">IF(AX$5="","",-INDEX(OPEX!$F$30:$BM$30,1,AX$5))</f>
        <v>-3403.7208333333333</v>
      </c>
      <c r="AY28" s="71" cm="1">
        <f t="array" ref="AY28">IF(AY$5="","",-INDEX(OPEX!$F$30:$BM$30,1,AY$5))</f>
        <v>-3403.7208333333333</v>
      </c>
      <c r="AZ28" s="71" cm="1">
        <f t="array" ref="AZ28">IF(AZ$5="","",-INDEX(OPEX!$F$30:$BM$30,1,AZ$5))</f>
        <v>-3403.7208333333333</v>
      </c>
      <c r="BA28" s="71" cm="1">
        <f t="array" ref="BA28">IF(BA$5="","",-INDEX(OPEX!$F$30:$BM$30,1,BA$5))</f>
        <v>-3403.7208333333333</v>
      </c>
      <c r="BB28" s="71" cm="1">
        <f t="array" ref="BB28">IF(BB$5="","",-INDEX(OPEX!$F$30:$BM$30,1,BB$5))</f>
        <v>-3403.7208333333333</v>
      </c>
      <c r="BC28" s="71" cm="1">
        <f t="array" ref="BC28">IF(BC$5="","",-INDEX(OPEX!$F$30:$BM$30,1,BC$5))</f>
        <v>-3505.8324583333333</v>
      </c>
      <c r="BD28" s="71" cm="1">
        <f t="array" ref="BD28">IF(BD$5="","",-INDEX(OPEX!$F$30:$BM$30,1,BD$5))</f>
        <v>-3505.8324583333333</v>
      </c>
      <c r="BE28" s="71" cm="1">
        <f t="array" ref="BE28">IF(BE$5="","",-INDEX(OPEX!$F$30:$BM$30,1,BE$5))</f>
        <v>-3505.8324583333333</v>
      </c>
      <c r="BF28" s="71" cm="1">
        <f t="array" ref="BF28">IF(BF$5="","",-INDEX(OPEX!$F$30:$BM$30,1,BF$5))</f>
        <v>-3505.8324583333333</v>
      </c>
      <c r="BG28" s="71" cm="1">
        <f t="array" ref="BG28">IF(BG$5="","",-INDEX(OPEX!$F$30:$BM$30,1,BG$5))</f>
        <v>-3505.8324583333333</v>
      </c>
      <c r="BH28" s="71" cm="1">
        <f t="array" ref="BH28">IF(BH$5="","",-INDEX(OPEX!$F$30:$BM$30,1,BH$5))</f>
        <v>-3505.8324583333333</v>
      </c>
      <c r="BI28" s="71" cm="1">
        <f t="array" ref="BI28">IF(BI$5="","",-INDEX(OPEX!$F$30:$BM$30,1,BI$5))</f>
        <v>-3505.8324583333333</v>
      </c>
      <c r="BJ28" s="71" cm="1">
        <f t="array" ref="BJ28">IF(BJ$5="","",-INDEX(OPEX!$F$30:$BM$30,1,BJ$5))</f>
        <v>-3505.8324583333333</v>
      </c>
      <c r="BK28" s="71" cm="1">
        <f t="array" ref="BK28">IF(BK$5="","",-INDEX(OPEX!$F$30:$BM$30,1,BK$5))</f>
        <v>-3505.8324583333333</v>
      </c>
      <c r="BL28" s="71" cm="1">
        <f t="array" ref="BL28">IF(BL$5="","",-INDEX(OPEX!$F$30:$BM$30,1,BL$5))</f>
        <v>-3505.8324583333333</v>
      </c>
      <c r="BM28" s="71" cm="1">
        <f t="array" ref="BM28">IF(BM$5="","",-INDEX(OPEX!$F$30:$BM$30,1,BM$5))</f>
        <v>-3505.8324583333333</v>
      </c>
      <c r="BN28" s="71" cm="1">
        <f t="array" ref="BN28">IF(BN$5="","",-INDEX(OPEX!$F$30:$BM$30,1,BN$5))</f>
        <v>-3505.8324583333333</v>
      </c>
      <c r="BO28" s="71" cm="1">
        <f t="array" ref="BO28">IF(BO$5="","",-INDEX(OPEX!$F$30:$BY$30,1,BO$5))</f>
        <v>-3611.0074320833332</v>
      </c>
      <c r="BP28" s="71" cm="1">
        <f t="array" ref="BP28">IF(BP$5="","",-INDEX(OPEX!$F$30:$BY$30,1,BP$5))</f>
        <v>-3611.0074320833332</v>
      </c>
      <c r="BQ28" s="71" cm="1">
        <f t="array" ref="BQ28">IF(BQ$5="","",-INDEX(OPEX!$F$30:$BY$30,1,BQ$5))</f>
        <v>-3611.0074320833332</v>
      </c>
      <c r="BR28" s="71" cm="1">
        <f t="array" ref="BR28">IF(BR$5="","",-INDEX(OPEX!$F$30:$BY$30,1,BR$5))</f>
        <v>-3611.0074320833332</v>
      </c>
      <c r="BS28" s="71" cm="1">
        <f t="array" ref="BS28">IF(BS$5="","",-INDEX(OPEX!$F$30:$BY$30,1,BS$5))</f>
        <v>-3611.0074320833332</v>
      </c>
      <c r="BT28" s="71" cm="1">
        <f t="array" ref="BT28">IF(BT$5="","",-INDEX(OPEX!$F$30:$BY$30,1,BT$5))</f>
        <v>-3611.0074320833332</v>
      </c>
      <c r="BU28" s="71" cm="1">
        <f t="array" ref="BU28">IF(BU$5="","",-INDEX(OPEX!$F$30:$BY$30,1,BU$5))</f>
        <v>-3611.0074320833332</v>
      </c>
      <c r="BV28" s="71" cm="1">
        <f t="array" ref="BV28">IF(BV$5="","",-INDEX(OPEX!$F$30:$BY$30,1,BV$5))</f>
        <v>-3611.0074320833332</v>
      </c>
      <c r="BW28" s="71" cm="1">
        <f t="array" ref="BW28">IF(BW$5="","",-INDEX(OPEX!$F$30:$BY$30,1,BW$5))</f>
        <v>-3611.0074320833332</v>
      </c>
      <c r="BX28" s="71" cm="1">
        <f t="array" ref="BX28">IF(BX$5="","",-INDEX(OPEX!$F$30:$BY$30,1,BX$5))</f>
        <v>-3611.0074320833332</v>
      </c>
      <c r="BY28" s="71" cm="1">
        <f t="array" ref="BY28">IF(BY$5="","",-INDEX(OPEX!$F$30:$BY$30,1,BY$5))</f>
        <v>-3611.0074320833332</v>
      </c>
      <c r="BZ28" s="71" cm="1">
        <f t="array" ref="BZ28">IF(BZ$5="","",-INDEX(OPEX!$F$30:$BY$30,1,BZ$5))</f>
        <v>-3611.0074320833332</v>
      </c>
    </row>
    <row r="29" spans="3:93" x14ac:dyDescent="0.2">
      <c r="C29" s="65" t="s">
        <v>284</v>
      </c>
      <c r="D29" s="65"/>
      <c r="E29" s="65"/>
      <c r="F29" s="71"/>
      <c r="G29" s="71">
        <f>-'2021 T12'!D139</f>
        <v>-2926</v>
      </c>
      <c r="H29" s="71">
        <f>-'2021 T12'!E139</f>
        <v>0</v>
      </c>
      <c r="I29" s="71">
        <f>-'2021 T12'!F139</f>
        <v>0</v>
      </c>
      <c r="J29" s="71">
        <f>-'2021 T12'!G139</f>
        <v>-2926</v>
      </c>
      <c r="K29" s="71">
        <f>-'2021 T12'!H139</f>
        <v>0</v>
      </c>
      <c r="L29" s="71">
        <f>-'2021 T12'!I139</f>
        <v>-1463</v>
      </c>
      <c r="M29" s="71">
        <f>-'2021 T12'!J139</f>
        <v>0</v>
      </c>
      <c r="N29" s="71">
        <f>-'2021 T12'!K139</f>
        <v>0</v>
      </c>
      <c r="O29" s="71">
        <f>-'2021 T12'!L139</f>
        <v>0</v>
      </c>
      <c r="P29" s="71">
        <f>-'2021 T12'!M139</f>
        <v>0</v>
      </c>
      <c r="Q29" s="71" cm="1">
        <f t="array" ref="Q29">IF(Q$5="","",-INDEX(OPEX!$F$31:$BM$31,1,Q$5))</f>
        <v>0</v>
      </c>
      <c r="R29" s="71" cm="1">
        <f t="array" ref="R29">IF(R$5="","",-INDEX(OPEX!$F$31:$BM$31,1,R$5))</f>
        <v>0</v>
      </c>
      <c r="S29" s="71" cm="1">
        <f t="array" ref="S29">IF(S$5="","",-INDEX(OPEX!$F$31:$BM$31,1,S$5))</f>
        <v>0</v>
      </c>
      <c r="T29" s="71" cm="1">
        <f t="array" ref="T29">IF(T$5="","",-INDEX(OPEX!$F$31:$BM$31,1,T$5))</f>
        <v>0</v>
      </c>
      <c r="U29" s="71" cm="1">
        <f t="array" ref="U29">IF(U$5="","",-INDEX(OPEX!$F$31:$BM$31,1,U$5))</f>
        <v>0</v>
      </c>
      <c r="V29" s="71" cm="1">
        <f t="array" ref="V29">IF(V$5="","",-INDEX(OPEX!$F$31:$BM$31,1,V$5))</f>
        <v>0</v>
      </c>
      <c r="W29" s="71" cm="1">
        <f t="array" ref="W29">IF(W$5="","",-INDEX(OPEX!$F$31:$BM$31,1,W$5))</f>
        <v>0</v>
      </c>
      <c r="X29" s="71" cm="1">
        <f t="array" ref="X29">IF(X$5="","",-INDEX(OPEX!$F$31:$BM$31,1,X$5))</f>
        <v>0</v>
      </c>
      <c r="Y29" s="71" cm="1">
        <f t="array" ref="Y29">IF(Y$5="","",-INDEX(OPEX!$F$31:$BM$31,1,Y$5))</f>
        <v>0</v>
      </c>
      <c r="Z29" s="71" cm="1">
        <f t="array" ref="Z29">IF(Z$5="","",-INDEX(OPEX!$F$31:$BM$31,1,Z$5))</f>
        <v>0</v>
      </c>
      <c r="AA29" s="71" cm="1">
        <f t="array" ref="AA29">IF(AA$5="","",-INDEX(OPEX!$F$31:$BM$31,1,AA$5))</f>
        <v>0</v>
      </c>
      <c r="AB29" s="71" cm="1">
        <f t="array" ref="AB29">IF(AB$5="","",-INDEX(OPEX!$F$31:$BM$31,1,AB$5))</f>
        <v>0</v>
      </c>
      <c r="AC29" s="71" cm="1">
        <f t="array" ref="AC29">IF(AC$5="","",-INDEX(OPEX!$F$31:$BM$31,1,AC$5))</f>
        <v>0</v>
      </c>
      <c r="AD29" s="71" cm="1">
        <f t="array" ref="AD29">IF(AD$5="","",-INDEX(OPEX!$F$31:$BM$31,1,AD$5))</f>
        <v>0</v>
      </c>
      <c r="AE29" s="71" cm="1">
        <f t="array" ref="AE29">IF(AE$5="","",-INDEX(OPEX!$F$31:$BM$31,1,AE$5))</f>
        <v>0</v>
      </c>
      <c r="AF29" s="71" cm="1">
        <f t="array" ref="AF29">IF(AF$5="","",-INDEX(OPEX!$F$31:$BM$31,1,AF$5))</f>
        <v>0</v>
      </c>
      <c r="AG29" s="71" cm="1">
        <f t="array" ref="AG29">IF(AG$5="","",-INDEX(OPEX!$F$31:$BM$31,1,AG$5))</f>
        <v>0</v>
      </c>
      <c r="AH29" s="71" cm="1">
        <f t="array" ref="AH29">IF(AH$5="","",-INDEX(OPEX!$F$31:$BM$31,1,AH$5))</f>
        <v>0</v>
      </c>
      <c r="AI29" s="71" cm="1">
        <f t="array" ref="AI29">IF(AI$5="","",-INDEX(OPEX!$F$31:$BM$31,1,AI$5))</f>
        <v>0</v>
      </c>
      <c r="AJ29" s="71" cm="1">
        <f t="array" ref="AJ29">IF(AJ$5="","",-INDEX(OPEX!$F$31:$BM$31,1,AJ$5))</f>
        <v>0</v>
      </c>
      <c r="AK29" s="71" cm="1">
        <f t="array" ref="AK29">IF(AK$5="","",-INDEX(OPEX!$F$31:$BM$31,1,AK$5))</f>
        <v>0</v>
      </c>
      <c r="AL29" s="71" cm="1">
        <f t="array" ref="AL29">IF(AL$5="","",-INDEX(OPEX!$F$31:$BM$31,1,AL$5))</f>
        <v>0</v>
      </c>
      <c r="AM29" s="71" cm="1">
        <f t="array" ref="AM29">IF(AM$5="","",-INDEX(OPEX!$F$31:$BM$31,1,AM$5))</f>
        <v>0</v>
      </c>
      <c r="AN29" s="71" cm="1">
        <f t="array" ref="AN29">IF(AN$5="","",-INDEX(OPEX!$F$31:$BM$31,1,AN$5))</f>
        <v>0</v>
      </c>
      <c r="AO29" s="71" cm="1">
        <f t="array" ref="AO29">IF(AO$5="","",-INDEX(OPEX!$F$31:$BM$31,1,AO$5))</f>
        <v>0</v>
      </c>
      <c r="AP29" s="71" cm="1">
        <f t="array" ref="AP29">IF(AP$5="","",-INDEX(OPEX!$F$31:$BM$31,1,AP$5))</f>
        <v>0</v>
      </c>
      <c r="AQ29" s="71" cm="1">
        <f t="array" ref="AQ29">IF(AQ$5="","",-INDEX(OPEX!$F$31:$BM$31,1,AQ$5))</f>
        <v>0</v>
      </c>
      <c r="AR29" s="71" cm="1">
        <f t="array" ref="AR29">IF(AR$5="","",-INDEX(OPEX!$F$31:$BM$31,1,AR$5))</f>
        <v>0</v>
      </c>
      <c r="AS29" s="71" cm="1">
        <f t="array" ref="AS29">IF(AS$5="","",-INDEX(OPEX!$F$31:$BM$31,1,AS$5))</f>
        <v>0</v>
      </c>
      <c r="AT29" s="71" cm="1">
        <f t="array" ref="AT29">IF(AT$5="","",-INDEX(OPEX!$F$31:$BM$31,1,AT$5))</f>
        <v>0</v>
      </c>
      <c r="AU29" s="71" cm="1">
        <f t="array" ref="AU29">IF(AU$5="","",-INDEX(OPEX!$F$31:$BM$31,1,AU$5))</f>
        <v>0</v>
      </c>
      <c r="AV29" s="71" cm="1">
        <f t="array" ref="AV29">IF(AV$5="","",-INDEX(OPEX!$F$31:$BM$31,1,AV$5))</f>
        <v>0</v>
      </c>
      <c r="AW29" s="71" cm="1">
        <f t="array" ref="AW29">IF(AW$5="","",-INDEX(OPEX!$F$31:$BM$31,1,AW$5))</f>
        <v>0</v>
      </c>
      <c r="AX29" s="71" cm="1">
        <f t="array" ref="AX29">IF(AX$5="","",-INDEX(OPEX!$F$31:$BM$31,1,AX$5))</f>
        <v>0</v>
      </c>
      <c r="AY29" s="71" cm="1">
        <f t="array" ref="AY29">IF(AY$5="","",-INDEX(OPEX!$F$31:$BM$31,1,AY$5))</f>
        <v>0</v>
      </c>
      <c r="AZ29" s="71" cm="1">
        <f t="array" ref="AZ29">IF(AZ$5="","",-INDEX(OPEX!$F$31:$BM$31,1,AZ$5))</f>
        <v>0</v>
      </c>
      <c r="BA29" s="71" cm="1">
        <f t="array" ref="BA29">IF(BA$5="","",-INDEX(OPEX!$F$31:$BM$31,1,BA$5))</f>
        <v>0</v>
      </c>
      <c r="BB29" s="71" cm="1">
        <f t="array" ref="BB29">IF(BB$5="","",-INDEX(OPEX!$F$31:$BM$31,1,BB$5))</f>
        <v>0</v>
      </c>
      <c r="BC29" s="71" cm="1">
        <f t="array" ref="BC29">IF(BC$5="","",-INDEX(OPEX!$F$31:$BM$31,1,BC$5))</f>
        <v>0</v>
      </c>
      <c r="BD29" s="71" cm="1">
        <f t="array" ref="BD29">IF(BD$5="","",-INDEX(OPEX!$F$31:$BM$31,1,BD$5))</f>
        <v>0</v>
      </c>
      <c r="BE29" s="71" cm="1">
        <f t="array" ref="BE29">IF(BE$5="","",-INDEX(OPEX!$F$31:$BM$31,1,BE$5))</f>
        <v>0</v>
      </c>
      <c r="BF29" s="71" cm="1">
        <f t="array" ref="BF29">IF(BF$5="","",-INDEX(OPEX!$F$31:$BM$31,1,BF$5))</f>
        <v>0</v>
      </c>
      <c r="BG29" s="71" cm="1">
        <f t="array" ref="BG29">IF(BG$5="","",-INDEX(OPEX!$F$31:$BM$31,1,BG$5))</f>
        <v>0</v>
      </c>
      <c r="BH29" s="71" cm="1">
        <f t="array" ref="BH29">IF(BH$5="","",-INDEX(OPEX!$F$31:$BM$31,1,BH$5))</f>
        <v>0</v>
      </c>
      <c r="BI29" s="71" cm="1">
        <f t="array" ref="BI29">IF(BI$5="","",-INDEX(OPEX!$F$31:$BM$31,1,BI$5))</f>
        <v>0</v>
      </c>
      <c r="BJ29" s="71" cm="1">
        <f t="array" ref="BJ29">IF(BJ$5="","",-INDEX(OPEX!$F$31:$BM$31,1,BJ$5))</f>
        <v>0</v>
      </c>
      <c r="BK29" s="71" cm="1">
        <f t="array" ref="BK29">IF(BK$5="","",-INDEX(OPEX!$F$31:$BM$31,1,BK$5))</f>
        <v>0</v>
      </c>
      <c r="BL29" s="71" cm="1">
        <f t="array" ref="BL29">IF(BL$5="","",-INDEX(OPEX!$F$31:$BM$31,1,BL$5))</f>
        <v>0</v>
      </c>
      <c r="BM29" s="71" cm="1">
        <f t="array" ref="BM29">IF(BM$5="","",-INDEX(OPEX!$F$31:$BM$31,1,BM$5))</f>
        <v>0</v>
      </c>
      <c r="BN29" s="71" cm="1">
        <f t="array" ref="BN29">IF(BN$5="","",-INDEX(OPEX!$F$31:$BM$31,1,BN$5))</f>
        <v>0</v>
      </c>
      <c r="BO29" s="71" cm="1">
        <f t="array" ref="BO29">IF(BO$5="","",-INDEX(OPEX!$F$31:$BY$31,1,BO$5))</f>
        <v>0</v>
      </c>
      <c r="BP29" s="71" cm="1">
        <f t="array" ref="BP29">IF(BP$5="","",-INDEX(OPEX!$F$31:$BY$31,1,BP$5))</f>
        <v>0</v>
      </c>
      <c r="BQ29" s="71" cm="1">
        <f t="array" ref="BQ29">IF(BQ$5="","",-INDEX(OPEX!$F$31:$BY$31,1,BQ$5))</f>
        <v>0</v>
      </c>
      <c r="BR29" s="71" cm="1">
        <f t="array" ref="BR29">IF(BR$5="","",-INDEX(OPEX!$F$31:$BY$31,1,BR$5))</f>
        <v>0</v>
      </c>
      <c r="BS29" s="71" cm="1">
        <f t="array" ref="BS29">IF(BS$5="","",-INDEX(OPEX!$F$31:$BY$31,1,BS$5))</f>
        <v>0</v>
      </c>
      <c r="BT29" s="71" cm="1">
        <f t="array" ref="BT29">IF(BT$5="","",-INDEX(OPEX!$F$31:$BY$31,1,BT$5))</f>
        <v>0</v>
      </c>
      <c r="BU29" s="71" cm="1">
        <f t="array" ref="BU29">IF(BU$5="","",-INDEX(OPEX!$F$31:$BY$31,1,BU$5))</f>
        <v>0</v>
      </c>
      <c r="BV29" s="71" cm="1">
        <f t="array" ref="BV29">IF(BV$5="","",-INDEX(OPEX!$F$31:$BY$31,1,BV$5))</f>
        <v>0</v>
      </c>
      <c r="BW29" s="71" cm="1">
        <f t="array" ref="BW29">IF(BW$5="","",-INDEX(OPEX!$F$31:$BY$31,1,BW$5))</f>
        <v>0</v>
      </c>
      <c r="BX29" s="71" cm="1">
        <f t="array" ref="BX29">IF(BX$5="","",-INDEX(OPEX!$F$31:$BY$31,1,BX$5))</f>
        <v>0</v>
      </c>
      <c r="BY29" s="71" cm="1">
        <f t="array" ref="BY29">IF(BY$5="","",-INDEX(OPEX!$F$31:$BY$31,1,BY$5))</f>
        <v>0</v>
      </c>
      <c r="BZ29" s="71" cm="1">
        <f t="array" ref="BZ29">IF(BZ$5="","",-INDEX(OPEX!$F$31:$BY$31,1,BZ$5))</f>
        <v>0</v>
      </c>
    </row>
    <row r="30" spans="3:93" x14ac:dyDescent="0.2">
      <c r="C30" s="65" t="s">
        <v>285</v>
      </c>
      <c r="D30" s="65"/>
      <c r="E30" s="65"/>
      <c r="F30" s="71"/>
      <c r="G30" s="71">
        <f>-'2021 T12'!D147</f>
        <v>0</v>
      </c>
      <c r="H30" s="71">
        <f>-'2021 T12'!E147</f>
        <v>0</v>
      </c>
      <c r="I30" s="71">
        <f>-'2021 T12'!F147</f>
        <v>0</v>
      </c>
      <c r="J30" s="71">
        <f>-'2021 T12'!G147</f>
        <v>0</v>
      </c>
      <c r="K30" s="71">
        <f>-'2021 T12'!H147</f>
        <v>0</v>
      </c>
      <c r="L30" s="71">
        <f>-'2021 T12'!I147</f>
        <v>-566.57000000000005</v>
      </c>
      <c r="M30" s="71">
        <f>-'2021 T12'!J147</f>
        <v>0</v>
      </c>
      <c r="N30" s="71">
        <f>-'2021 T12'!K147</f>
        <v>0</v>
      </c>
      <c r="O30" s="71">
        <f>-'2021 T12'!L147</f>
        <v>0</v>
      </c>
      <c r="P30" s="71">
        <f>-'2021 T12'!M147</f>
        <v>0</v>
      </c>
      <c r="Q30" s="71" cm="1">
        <f t="array" ref="Q30">IF(Q$5="","",-INDEX(OPEX!$F$32:$BM$32,1,Q$5))</f>
        <v>-209.25</v>
      </c>
      <c r="R30" s="71" cm="1">
        <f t="array" ref="R30">IF(R$5="","",-INDEX(OPEX!$F$32:$BM$32,1,R$5))</f>
        <v>-209.25</v>
      </c>
      <c r="S30" s="71" cm="1">
        <f t="array" ref="S30">IF(S$5="","",-INDEX(OPEX!$F$32:$BM$32,1,S$5))</f>
        <v>-209.25</v>
      </c>
      <c r="T30" s="71" cm="1">
        <f t="array" ref="T30">IF(T$5="","",-INDEX(OPEX!$F$32:$BM$32,1,T$5))</f>
        <v>-209.25</v>
      </c>
      <c r="U30" s="71" cm="1">
        <f t="array" ref="U30">IF(U$5="","",-INDEX(OPEX!$F$32:$BM$32,1,U$5))</f>
        <v>-209.25</v>
      </c>
      <c r="V30" s="71" cm="1">
        <f t="array" ref="V30">IF(V$5="","",-INDEX(OPEX!$F$32:$BM$32,1,V$5))</f>
        <v>-209.25</v>
      </c>
      <c r="W30" s="71" cm="1">
        <f t="array" ref="W30">IF(W$5="","",-INDEX(OPEX!$F$32:$BM$32,1,W$5))</f>
        <v>-209.25</v>
      </c>
      <c r="X30" s="71" cm="1">
        <f t="array" ref="X30">IF(X$5="","",-INDEX(OPEX!$F$32:$BM$32,1,X$5))</f>
        <v>-209.25</v>
      </c>
      <c r="Y30" s="71" cm="1">
        <f t="array" ref="Y30">IF(Y$5="","",-INDEX(OPEX!$F$32:$BM$32,1,Y$5))</f>
        <v>-209.25</v>
      </c>
      <c r="Z30" s="71" cm="1">
        <f t="array" ref="Z30">IF(Z$5="","",-INDEX(OPEX!$F$32:$BM$32,1,Z$5))</f>
        <v>-209.25</v>
      </c>
      <c r="AA30" s="71" cm="1">
        <f t="array" ref="AA30">IF(AA$5="","",-INDEX(OPEX!$F$32:$BM$32,1,AA$5))</f>
        <v>-209.25</v>
      </c>
      <c r="AB30" s="71" cm="1">
        <f t="array" ref="AB30">IF(AB$5="","",-INDEX(OPEX!$F$32:$BM$32,1,AB$5))</f>
        <v>-209.25</v>
      </c>
      <c r="AC30" s="71" cm="1">
        <f t="array" ref="AC30">IF(AC$5="","",-INDEX(OPEX!$F$32:$BM$32,1,AC$5))</f>
        <v>-209.25</v>
      </c>
      <c r="AD30" s="71" cm="1">
        <f t="array" ref="AD30">IF(AD$5="","",-INDEX(OPEX!$F$32:$BM$32,1,AD$5))</f>
        <v>-209.25</v>
      </c>
      <c r="AE30" s="71" cm="1">
        <f t="array" ref="AE30">IF(AE$5="","",-INDEX(OPEX!$F$32:$BM$32,1,AE$5))</f>
        <v>-215.5275</v>
      </c>
      <c r="AF30" s="71" cm="1">
        <f t="array" ref="AF30">IF(AF$5="","",-INDEX(OPEX!$F$32:$BM$32,1,AF$5))</f>
        <v>-215.5275</v>
      </c>
      <c r="AG30" s="71" cm="1">
        <f t="array" ref="AG30">IF(AG$5="","",-INDEX(OPEX!$F$32:$BM$32,1,AG$5))</f>
        <v>-215.5275</v>
      </c>
      <c r="AH30" s="71" cm="1">
        <f t="array" ref="AH30">IF(AH$5="","",-INDEX(OPEX!$F$32:$BM$32,1,AH$5))</f>
        <v>-215.5275</v>
      </c>
      <c r="AI30" s="71" cm="1">
        <f t="array" ref="AI30">IF(AI$5="","",-INDEX(OPEX!$F$32:$BM$32,1,AI$5))</f>
        <v>-215.5275</v>
      </c>
      <c r="AJ30" s="71" cm="1">
        <f t="array" ref="AJ30">IF(AJ$5="","",-INDEX(OPEX!$F$32:$BM$32,1,AJ$5))</f>
        <v>-215.5275</v>
      </c>
      <c r="AK30" s="71" cm="1">
        <f t="array" ref="AK30">IF(AK$5="","",-INDEX(OPEX!$F$32:$BM$32,1,AK$5))</f>
        <v>-215.5275</v>
      </c>
      <c r="AL30" s="71" cm="1">
        <f t="array" ref="AL30">IF(AL$5="","",-INDEX(OPEX!$F$32:$BM$32,1,AL$5))</f>
        <v>-215.5275</v>
      </c>
      <c r="AM30" s="71" cm="1">
        <f t="array" ref="AM30">IF(AM$5="","",-INDEX(OPEX!$F$32:$BM$32,1,AM$5))</f>
        <v>-215.5275</v>
      </c>
      <c r="AN30" s="71" cm="1">
        <f t="array" ref="AN30">IF(AN$5="","",-INDEX(OPEX!$F$32:$BM$32,1,AN$5))</f>
        <v>-215.5275</v>
      </c>
      <c r="AO30" s="71" cm="1">
        <f t="array" ref="AO30">IF(AO$5="","",-INDEX(OPEX!$F$32:$BM$32,1,AO$5))</f>
        <v>-215.5275</v>
      </c>
      <c r="AP30" s="71" cm="1">
        <f t="array" ref="AP30">IF(AP$5="","",-INDEX(OPEX!$F$32:$BM$32,1,AP$5))</f>
        <v>-215.5275</v>
      </c>
      <c r="AQ30" s="71" cm="1">
        <f t="array" ref="AQ30">IF(AQ$5="","",-INDEX(OPEX!$F$32:$BM$32,1,AQ$5))</f>
        <v>-221.993325</v>
      </c>
      <c r="AR30" s="71" cm="1">
        <f t="array" ref="AR30">IF(AR$5="","",-INDEX(OPEX!$F$32:$BM$32,1,AR$5))</f>
        <v>-221.993325</v>
      </c>
      <c r="AS30" s="71" cm="1">
        <f t="array" ref="AS30">IF(AS$5="","",-INDEX(OPEX!$F$32:$BM$32,1,AS$5))</f>
        <v>-221.993325</v>
      </c>
      <c r="AT30" s="71" cm="1">
        <f t="array" ref="AT30">IF(AT$5="","",-INDEX(OPEX!$F$32:$BM$32,1,AT$5))</f>
        <v>-221.993325</v>
      </c>
      <c r="AU30" s="71" cm="1">
        <f t="array" ref="AU30">IF(AU$5="","",-INDEX(OPEX!$F$32:$BM$32,1,AU$5))</f>
        <v>-221.993325</v>
      </c>
      <c r="AV30" s="71" cm="1">
        <f t="array" ref="AV30">IF(AV$5="","",-INDEX(OPEX!$F$32:$BM$32,1,AV$5))</f>
        <v>-221.993325</v>
      </c>
      <c r="AW30" s="71" cm="1">
        <f t="array" ref="AW30">IF(AW$5="","",-INDEX(OPEX!$F$32:$BM$32,1,AW$5))</f>
        <v>-221.993325</v>
      </c>
      <c r="AX30" s="71" cm="1">
        <f t="array" ref="AX30">IF(AX$5="","",-INDEX(OPEX!$F$32:$BM$32,1,AX$5))</f>
        <v>-221.993325</v>
      </c>
      <c r="AY30" s="71" cm="1">
        <f t="array" ref="AY30">IF(AY$5="","",-INDEX(OPEX!$F$32:$BM$32,1,AY$5))</f>
        <v>-221.993325</v>
      </c>
      <c r="AZ30" s="71" cm="1">
        <f t="array" ref="AZ30">IF(AZ$5="","",-INDEX(OPEX!$F$32:$BM$32,1,AZ$5))</f>
        <v>-221.993325</v>
      </c>
      <c r="BA30" s="71" cm="1">
        <f t="array" ref="BA30">IF(BA$5="","",-INDEX(OPEX!$F$32:$BM$32,1,BA$5))</f>
        <v>-221.993325</v>
      </c>
      <c r="BB30" s="71" cm="1">
        <f t="array" ref="BB30">IF(BB$5="","",-INDEX(OPEX!$F$32:$BM$32,1,BB$5))</f>
        <v>-221.993325</v>
      </c>
      <c r="BC30" s="71" cm="1">
        <f t="array" ref="BC30">IF(BC$5="","",-INDEX(OPEX!$F$32:$BM$32,1,BC$5))</f>
        <v>-228.65312474999999</v>
      </c>
      <c r="BD30" s="71" cm="1">
        <f t="array" ref="BD30">IF(BD$5="","",-INDEX(OPEX!$F$32:$BM$32,1,BD$5))</f>
        <v>-228.65312474999999</v>
      </c>
      <c r="BE30" s="71" cm="1">
        <f t="array" ref="BE30">IF(BE$5="","",-INDEX(OPEX!$F$32:$BM$32,1,BE$5))</f>
        <v>-228.65312474999999</v>
      </c>
      <c r="BF30" s="71" cm="1">
        <f t="array" ref="BF30">IF(BF$5="","",-INDEX(OPEX!$F$32:$BM$32,1,BF$5))</f>
        <v>-228.65312474999999</v>
      </c>
      <c r="BG30" s="71" cm="1">
        <f t="array" ref="BG30">IF(BG$5="","",-INDEX(OPEX!$F$32:$BM$32,1,BG$5))</f>
        <v>-228.65312474999999</v>
      </c>
      <c r="BH30" s="71" cm="1">
        <f t="array" ref="BH30">IF(BH$5="","",-INDEX(OPEX!$F$32:$BM$32,1,BH$5))</f>
        <v>-228.65312474999999</v>
      </c>
      <c r="BI30" s="71" cm="1">
        <f t="array" ref="BI30">IF(BI$5="","",-INDEX(OPEX!$F$32:$BM$32,1,BI$5))</f>
        <v>-228.65312474999999</v>
      </c>
      <c r="BJ30" s="71" cm="1">
        <f t="array" ref="BJ30">IF(BJ$5="","",-INDEX(OPEX!$F$32:$BM$32,1,BJ$5))</f>
        <v>-228.65312474999999</v>
      </c>
      <c r="BK30" s="71" cm="1">
        <f t="array" ref="BK30">IF(BK$5="","",-INDEX(OPEX!$F$32:$BM$32,1,BK$5))</f>
        <v>-228.65312474999999</v>
      </c>
      <c r="BL30" s="71" cm="1">
        <f t="array" ref="BL30">IF(BL$5="","",-INDEX(OPEX!$F$32:$BM$32,1,BL$5))</f>
        <v>-228.65312474999999</v>
      </c>
      <c r="BM30" s="71" cm="1">
        <f t="array" ref="BM30">IF(BM$5="","",-INDEX(OPEX!$F$32:$BM$32,1,BM$5))</f>
        <v>-228.65312474999999</v>
      </c>
      <c r="BN30" s="71" cm="1">
        <f t="array" ref="BN30">IF(BN$5="","",-INDEX(OPEX!$F$32:$BM$32,1,BN$5))</f>
        <v>-228.65312474999999</v>
      </c>
      <c r="BO30" s="71" cm="1">
        <f t="array" ref="BO30">IF(BO$5="","",-INDEX(OPEX!$F$32:$BY$32,1,BO$5))</f>
        <v>-235.51271849249997</v>
      </c>
      <c r="BP30" s="71" cm="1">
        <f t="array" ref="BP30">IF(BP$5="","",-INDEX(OPEX!$F$32:$BY$32,1,BP$5))</f>
        <v>-235.51271849249997</v>
      </c>
      <c r="BQ30" s="71" cm="1">
        <f t="array" ref="BQ30">IF(BQ$5="","",-INDEX(OPEX!$F$32:$BY$32,1,BQ$5))</f>
        <v>-235.51271849249997</v>
      </c>
      <c r="BR30" s="71" cm="1">
        <f t="array" ref="BR30">IF(BR$5="","",-INDEX(OPEX!$F$32:$BY$32,1,BR$5))</f>
        <v>-235.51271849249997</v>
      </c>
      <c r="BS30" s="71" cm="1">
        <f t="array" ref="BS30">IF(BS$5="","",-INDEX(OPEX!$F$32:$BY$32,1,BS$5))</f>
        <v>-235.51271849249997</v>
      </c>
      <c r="BT30" s="71" cm="1">
        <f t="array" ref="BT30">IF(BT$5="","",-INDEX(OPEX!$F$32:$BY$32,1,BT$5))</f>
        <v>-235.51271849249997</v>
      </c>
      <c r="BU30" s="71" cm="1">
        <f t="array" ref="BU30">IF(BU$5="","",-INDEX(OPEX!$F$32:$BY$32,1,BU$5))</f>
        <v>-235.51271849249997</v>
      </c>
      <c r="BV30" s="71" cm="1">
        <f t="array" ref="BV30">IF(BV$5="","",-INDEX(OPEX!$F$32:$BY$32,1,BV$5))</f>
        <v>-235.51271849249997</v>
      </c>
      <c r="BW30" s="71" cm="1">
        <f t="array" ref="BW30">IF(BW$5="","",-INDEX(OPEX!$F$32:$BY$32,1,BW$5))</f>
        <v>-235.51271849249997</v>
      </c>
      <c r="BX30" s="71" cm="1">
        <f t="array" ref="BX30">IF(BX$5="","",-INDEX(OPEX!$F$32:$BY$32,1,BX$5))</f>
        <v>-235.51271849249997</v>
      </c>
      <c r="BY30" s="71" cm="1">
        <f t="array" ref="BY30">IF(BY$5="","",-INDEX(OPEX!$F$32:$BY$32,1,BY$5))</f>
        <v>-235.51271849249997</v>
      </c>
      <c r="BZ30" s="71" cm="1">
        <f t="array" ref="BZ30">IF(BZ$5="","",-INDEX(OPEX!$F$32:$BY$32,1,BZ$5))</f>
        <v>-235.51271849249997</v>
      </c>
    </row>
    <row r="31" spans="3:93" x14ac:dyDescent="0.2">
      <c r="C31" s="69" t="s">
        <v>286</v>
      </c>
      <c r="D31" s="69"/>
      <c r="E31" s="69"/>
      <c r="F31" s="72"/>
      <c r="G31" s="72">
        <f t="shared" ref="G31:AL31" si="21">SUM(G21:G30)</f>
        <v>-108783.55999999998</v>
      </c>
      <c r="H31" s="72">
        <f t="shared" si="21"/>
        <v>-115321.95</v>
      </c>
      <c r="I31" s="72">
        <f t="shared" si="21"/>
        <v>-159768.64000000001</v>
      </c>
      <c r="J31" s="72">
        <f t="shared" si="21"/>
        <v>-65522.720000000008</v>
      </c>
      <c r="K31" s="72">
        <f t="shared" si="21"/>
        <v>-151531.92000000001</v>
      </c>
      <c r="L31" s="72">
        <f t="shared" si="21"/>
        <v>-175142.66000000003</v>
      </c>
      <c r="M31" s="72">
        <f t="shared" si="21"/>
        <v>-131083.81</v>
      </c>
      <c r="N31" s="72">
        <f t="shared" si="21"/>
        <v>-84586.67</v>
      </c>
      <c r="O31" s="72">
        <f t="shared" si="21"/>
        <v>-176705.53000000003</v>
      </c>
      <c r="P31" s="72">
        <f t="shared" si="21"/>
        <v>-110850.15</v>
      </c>
      <c r="Q31" s="72">
        <f t="shared" si="21"/>
        <v>-109529.08293333332</v>
      </c>
      <c r="R31" s="72">
        <f t="shared" si="21"/>
        <v>-109529.08293333332</v>
      </c>
      <c r="S31" s="72">
        <f t="shared" si="21"/>
        <v>-109529.08293333332</v>
      </c>
      <c r="T31" s="72">
        <f t="shared" si="21"/>
        <v>-109529.08293333332</v>
      </c>
      <c r="U31" s="72">
        <f t="shared" si="21"/>
        <v>-109529.08293333332</v>
      </c>
      <c r="V31" s="72">
        <f t="shared" si="21"/>
        <v>-109529.08293333332</v>
      </c>
      <c r="W31" s="72">
        <f t="shared" si="21"/>
        <v>-109529.08293333332</v>
      </c>
      <c r="X31" s="72">
        <f t="shared" si="21"/>
        <v>-109529.08293333332</v>
      </c>
      <c r="Y31" s="72">
        <f t="shared" si="21"/>
        <v>-109529.08293333332</v>
      </c>
      <c r="Z31" s="72">
        <f t="shared" si="21"/>
        <v>-109529.08293333332</v>
      </c>
      <c r="AA31" s="72">
        <f t="shared" si="21"/>
        <v>-109529.08293333332</v>
      </c>
      <c r="AB31" s="72">
        <f t="shared" si="21"/>
        <v>-109529.08293333332</v>
      </c>
      <c r="AC31" s="72">
        <f t="shared" si="21"/>
        <v>-109529.08293333332</v>
      </c>
      <c r="AD31" s="72">
        <f t="shared" si="21"/>
        <v>-109529.08293333332</v>
      </c>
      <c r="AE31" s="72">
        <f t="shared" si="21"/>
        <v>-112814.9554213333</v>
      </c>
      <c r="AF31" s="72">
        <f t="shared" si="21"/>
        <v>-112814.9554213333</v>
      </c>
      <c r="AG31" s="72">
        <f t="shared" si="21"/>
        <v>-112814.9554213333</v>
      </c>
      <c r="AH31" s="72">
        <f t="shared" si="21"/>
        <v>-112814.9554213333</v>
      </c>
      <c r="AI31" s="72">
        <f t="shared" si="21"/>
        <v>-112814.9554213333</v>
      </c>
      <c r="AJ31" s="72">
        <f t="shared" si="21"/>
        <v>-112814.9554213333</v>
      </c>
      <c r="AK31" s="72">
        <f t="shared" si="21"/>
        <v>-112814.9554213333</v>
      </c>
      <c r="AL31" s="72">
        <f t="shared" si="21"/>
        <v>-112814.9554213333</v>
      </c>
      <c r="AM31" s="72">
        <f t="shared" ref="AM31:BR31" si="22">SUM(AM21:AM30)</f>
        <v>-112814.9554213333</v>
      </c>
      <c r="AN31" s="72">
        <f t="shared" si="22"/>
        <v>-112814.9554213333</v>
      </c>
      <c r="AO31" s="72">
        <f t="shared" si="22"/>
        <v>-112814.9554213333</v>
      </c>
      <c r="AP31" s="72">
        <f t="shared" si="22"/>
        <v>-112814.9554213333</v>
      </c>
      <c r="AQ31" s="72">
        <f t="shared" si="22"/>
        <v>-116199.40408397334</v>
      </c>
      <c r="AR31" s="72">
        <f t="shared" si="22"/>
        <v>-116199.40408397334</v>
      </c>
      <c r="AS31" s="72">
        <f t="shared" si="22"/>
        <v>-116199.40408397334</v>
      </c>
      <c r="AT31" s="72">
        <f t="shared" si="22"/>
        <v>-116199.40408397334</v>
      </c>
      <c r="AU31" s="72">
        <f t="shared" si="22"/>
        <v>-116199.40408397334</v>
      </c>
      <c r="AV31" s="72">
        <f t="shared" si="22"/>
        <v>-116199.40408397334</v>
      </c>
      <c r="AW31" s="72">
        <f t="shared" si="22"/>
        <v>-116199.40408397334</v>
      </c>
      <c r="AX31" s="72">
        <f t="shared" si="22"/>
        <v>-116199.40408397334</v>
      </c>
      <c r="AY31" s="72">
        <f t="shared" si="22"/>
        <v>-116199.40408397334</v>
      </c>
      <c r="AZ31" s="72">
        <f t="shared" si="22"/>
        <v>-116199.40408397334</v>
      </c>
      <c r="BA31" s="72">
        <f t="shared" si="22"/>
        <v>-116199.40408397334</v>
      </c>
      <c r="BB31" s="72">
        <f t="shared" si="22"/>
        <v>-116199.40408397334</v>
      </c>
      <c r="BC31" s="72">
        <f t="shared" si="22"/>
        <v>-119685.38620649252</v>
      </c>
      <c r="BD31" s="72">
        <f t="shared" si="22"/>
        <v>-119685.38620649252</v>
      </c>
      <c r="BE31" s="72">
        <f t="shared" si="22"/>
        <v>-119685.38620649252</v>
      </c>
      <c r="BF31" s="72">
        <f t="shared" si="22"/>
        <v>-119685.38620649252</v>
      </c>
      <c r="BG31" s="72">
        <f t="shared" si="22"/>
        <v>-119685.38620649252</v>
      </c>
      <c r="BH31" s="72">
        <f t="shared" si="22"/>
        <v>-119685.38620649252</v>
      </c>
      <c r="BI31" s="72">
        <f t="shared" si="22"/>
        <v>-119685.38620649252</v>
      </c>
      <c r="BJ31" s="72">
        <f t="shared" si="22"/>
        <v>-119685.38620649252</v>
      </c>
      <c r="BK31" s="72">
        <f t="shared" si="22"/>
        <v>-119685.38620649252</v>
      </c>
      <c r="BL31" s="72">
        <f t="shared" si="22"/>
        <v>-119685.38620649252</v>
      </c>
      <c r="BM31" s="72">
        <f t="shared" si="22"/>
        <v>-119685.38620649252</v>
      </c>
      <c r="BN31" s="72">
        <f t="shared" si="22"/>
        <v>-119685.38620649252</v>
      </c>
      <c r="BO31" s="72">
        <f t="shared" si="22"/>
        <v>-123275.94779268731</v>
      </c>
      <c r="BP31" s="72">
        <f t="shared" si="22"/>
        <v>-123275.94779268731</v>
      </c>
      <c r="BQ31" s="72">
        <f t="shared" si="22"/>
        <v>-123275.94779268731</v>
      </c>
      <c r="BR31" s="72">
        <f t="shared" si="22"/>
        <v>-123275.94779268731</v>
      </c>
      <c r="BS31" s="72">
        <f t="shared" ref="BS31:BZ31" si="23">SUM(BS21:BS30)</f>
        <v>-123275.94779268731</v>
      </c>
      <c r="BT31" s="72">
        <f t="shared" si="23"/>
        <v>-123275.94779268731</v>
      </c>
      <c r="BU31" s="72">
        <f t="shared" si="23"/>
        <v>-123275.94779268731</v>
      </c>
      <c r="BV31" s="72">
        <f t="shared" si="23"/>
        <v>-123275.94779268731</v>
      </c>
      <c r="BW31" s="72">
        <f t="shared" si="23"/>
        <v>-123275.94779268731</v>
      </c>
      <c r="BX31" s="72">
        <f t="shared" si="23"/>
        <v>-123275.94779268731</v>
      </c>
      <c r="BY31" s="72">
        <f t="shared" si="23"/>
        <v>-123275.94779268731</v>
      </c>
      <c r="BZ31" s="72">
        <f t="shared" si="23"/>
        <v>-123275.94779268731</v>
      </c>
    </row>
    <row r="32" spans="3:93" ht="17" thickBot="1" x14ac:dyDescent="0.25">
      <c r="C32" s="65"/>
      <c r="D32" s="65"/>
      <c r="E32" s="65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</row>
    <row r="33" spans="3:78" ht="17" thickTop="1" x14ac:dyDescent="0.2">
      <c r="C33" s="70" t="s">
        <v>296</v>
      </c>
      <c r="D33" s="70"/>
      <c r="E33" s="70"/>
      <c r="F33" s="74"/>
      <c r="G33" s="74">
        <f t="shared" ref="G33:AL33" si="24">SUM(G18,G31)</f>
        <v>128683.08750000004</v>
      </c>
      <c r="H33" s="74">
        <f t="shared" si="24"/>
        <v>122144.69750000002</v>
      </c>
      <c r="I33" s="74">
        <f t="shared" si="24"/>
        <v>77878.907499999972</v>
      </c>
      <c r="J33" s="74">
        <f t="shared" si="24"/>
        <v>172827.87749999997</v>
      </c>
      <c r="K33" s="74">
        <f t="shared" si="24"/>
        <v>87078.237499999959</v>
      </c>
      <c r="L33" s="74">
        <f t="shared" si="24"/>
        <v>64315.027499999967</v>
      </c>
      <c r="M33" s="74">
        <f t="shared" si="24"/>
        <v>108373.8775</v>
      </c>
      <c r="N33" s="74">
        <f t="shared" si="24"/>
        <v>155237.46750000003</v>
      </c>
      <c r="O33" s="74">
        <f t="shared" si="24"/>
        <v>50926.607499999984</v>
      </c>
      <c r="P33" s="74">
        <f t="shared" si="24"/>
        <v>128426.98750000002</v>
      </c>
      <c r="Q33" s="74">
        <f t="shared" si="24"/>
        <v>130548.60456666668</v>
      </c>
      <c r="R33" s="74">
        <f t="shared" si="24"/>
        <v>145673.60456666668</v>
      </c>
      <c r="S33" s="74">
        <f t="shared" si="24"/>
        <v>149045.32399166669</v>
      </c>
      <c r="T33" s="74">
        <f t="shared" si="24"/>
        <v>149045.32399166669</v>
      </c>
      <c r="U33" s="74">
        <f t="shared" si="24"/>
        <v>145214.4239916667</v>
      </c>
      <c r="V33" s="74">
        <f t="shared" si="24"/>
        <v>145938.56549166667</v>
      </c>
      <c r="W33" s="74">
        <f t="shared" si="24"/>
        <v>146205.91229166667</v>
      </c>
      <c r="X33" s="74">
        <f t="shared" si="24"/>
        <v>158502.8681916667</v>
      </c>
      <c r="Y33" s="74">
        <f t="shared" si="24"/>
        <v>190037.8681916667</v>
      </c>
      <c r="Z33" s="74">
        <f t="shared" si="24"/>
        <v>181621.41819166669</v>
      </c>
      <c r="AA33" s="74">
        <f t="shared" si="24"/>
        <v>194978.19913541674</v>
      </c>
      <c r="AB33" s="74">
        <f t="shared" si="24"/>
        <v>195164.73163541671</v>
      </c>
      <c r="AC33" s="74">
        <f t="shared" si="24"/>
        <v>195948.06981041664</v>
      </c>
      <c r="AD33" s="74">
        <f t="shared" si="24"/>
        <v>199770.63231041664</v>
      </c>
      <c r="AE33" s="74">
        <f t="shared" si="24"/>
        <v>190066.69852977915</v>
      </c>
      <c r="AF33" s="74">
        <f t="shared" si="24"/>
        <v>190066.69852977915</v>
      </c>
      <c r="AG33" s="74">
        <f t="shared" si="24"/>
        <v>190134.52852977917</v>
      </c>
      <c r="AH33" s="74">
        <f t="shared" si="24"/>
        <v>190843.10098752921</v>
      </c>
      <c r="AI33" s="74">
        <f t="shared" si="24"/>
        <v>194389.06452752923</v>
      </c>
      <c r="AJ33" s="74">
        <f t="shared" si="24"/>
        <v>175964.03692252922</v>
      </c>
      <c r="AK33" s="74">
        <f t="shared" si="24"/>
        <v>176862.78442252922</v>
      </c>
      <c r="AL33" s="74">
        <f t="shared" si="24"/>
        <v>176981.48692252918</v>
      </c>
      <c r="AM33" s="74">
        <f t="shared" ref="AM33:BR33" si="25">SUM(AM18,AM31)</f>
        <v>178035.97210252919</v>
      </c>
      <c r="AN33" s="74">
        <f t="shared" si="25"/>
        <v>186852.20057752921</v>
      </c>
      <c r="AO33" s="74">
        <f t="shared" si="25"/>
        <v>176005.54895377916</v>
      </c>
      <c r="AP33" s="74">
        <f t="shared" si="25"/>
        <v>176551.28832877916</v>
      </c>
      <c r="AQ33" s="74">
        <f t="shared" si="25"/>
        <v>176273.52528472256</v>
      </c>
      <c r="AR33" s="74">
        <f t="shared" si="25"/>
        <v>185769.72528472258</v>
      </c>
      <c r="AS33" s="74">
        <f t="shared" si="25"/>
        <v>200423.04018472251</v>
      </c>
      <c r="AT33" s="74">
        <f t="shared" si="25"/>
        <v>201152.86981620506</v>
      </c>
      <c r="AU33" s="74">
        <f t="shared" si="25"/>
        <v>201520.84756620502</v>
      </c>
      <c r="AV33" s="74">
        <f t="shared" si="25"/>
        <v>202147.86808620504</v>
      </c>
      <c r="AW33" s="74">
        <f t="shared" si="25"/>
        <v>203073.57801120507</v>
      </c>
      <c r="AX33" s="74">
        <f t="shared" si="25"/>
        <v>213370.341586205</v>
      </c>
      <c r="AY33" s="74">
        <f t="shared" si="25"/>
        <v>214456.46132160502</v>
      </c>
      <c r="AZ33" s="74">
        <f t="shared" si="25"/>
        <v>215058.42665085499</v>
      </c>
      <c r="BA33" s="74">
        <f t="shared" si="25"/>
        <v>215539.86542239256</v>
      </c>
      <c r="BB33" s="74">
        <f t="shared" si="25"/>
        <v>216101.97697864257</v>
      </c>
      <c r="BC33" s="74">
        <f t="shared" si="25"/>
        <v>215815.88104326421</v>
      </c>
      <c r="BD33" s="74">
        <f t="shared" si="25"/>
        <v>216100.7670432642</v>
      </c>
      <c r="BE33" s="74">
        <f t="shared" si="25"/>
        <v>216610.23139026415</v>
      </c>
      <c r="BF33" s="74">
        <f t="shared" si="25"/>
        <v>217361.95591069115</v>
      </c>
      <c r="BG33" s="74">
        <f t="shared" si="25"/>
        <v>217740.97299319113</v>
      </c>
      <c r="BH33" s="74">
        <f t="shared" si="25"/>
        <v>218386.80412879118</v>
      </c>
      <c r="BI33" s="74">
        <f t="shared" si="25"/>
        <v>219340.28535154116</v>
      </c>
      <c r="BJ33" s="74">
        <f t="shared" si="25"/>
        <v>219771.45183379119</v>
      </c>
      <c r="BK33" s="74">
        <f t="shared" si="25"/>
        <v>220890.15516125315</v>
      </c>
      <c r="BL33" s="74">
        <f t="shared" si="25"/>
        <v>221510.17945038064</v>
      </c>
      <c r="BM33" s="74">
        <f t="shared" si="25"/>
        <v>222006.0613850643</v>
      </c>
      <c r="BN33" s="74">
        <f t="shared" si="25"/>
        <v>222585.03628800178</v>
      </c>
      <c r="BO33" s="74">
        <f t="shared" si="25"/>
        <v>222290.3574745621</v>
      </c>
      <c r="BP33" s="74">
        <f t="shared" si="25"/>
        <v>222583.79005456207</v>
      </c>
      <c r="BQ33" s="74">
        <f t="shared" si="25"/>
        <v>223108.53833197206</v>
      </c>
      <c r="BR33" s="74">
        <f t="shared" si="25"/>
        <v>223882.81458801185</v>
      </c>
      <c r="BS33" s="74">
        <f t="shared" ref="BS33:BZ33" si="26">SUM(BS18,BS31)</f>
        <v>224273.20218298692</v>
      </c>
      <c r="BT33" s="74">
        <f t="shared" si="26"/>
        <v>224938.40825265492</v>
      </c>
      <c r="BU33" s="74">
        <f t="shared" si="26"/>
        <v>225920.49391208743</v>
      </c>
      <c r="BV33" s="74">
        <f t="shared" si="26"/>
        <v>226364.59538880494</v>
      </c>
      <c r="BW33" s="74">
        <f t="shared" si="26"/>
        <v>219129.28003371545</v>
      </c>
      <c r="BX33" s="74">
        <f t="shared" si="26"/>
        <v>226518.30092760242</v>
      </c>
      <c r="BY33" s="74">
        <f t="shared" si="26"/>
        <v>227055.94134099621</v>
      </c>
      <c r="BZ33" s="74">
        <f t="shared" si="26"/>
        <v>216694.65165144621</v>
      </c>
    </row>
    <row r="34" spans="3:78" x14ac:dyDescent="0.2">
      <c r="C34" s="65"/>
      <c r="D34" s="65"/>
      <c r="E34" s="65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</row>
    <row r="35" spans="3:78" x14ac:dyDescent="0.2">
      <c r="C35" s="67" t="s">
        <v>297</v>
      </c>
      <c r="D35" s="67"/>
      <c r="E35" s="67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</row>
    <row r="36" spans="3:78" x14ac:dyDescent="0.2">
      <c r="C36" s="65" t="s">
        <v>13</v>
      </c>
      <c r="D36" s="65"/>
      <c r="E36" s="65"/>
      <c r="F36" s="71"/>
      <c r="G36" s="71" cm="1">
        <f t="array" ref="G36">IF(G$5="","",INDEX('Lease Roll Over'!$N$63:$CK$63,1,G$5))</f>
        <v>0</v>
      </c>
      <c r="H36" s="71" cm="1">
        <f t="array" ref="H36">IF(H$5="","",INDEX('Lease Roll Over'!$N$63:$CK$63,1,H$5))</f>
        <v>0</v>
      </c>
      <c r="I36" s="71" cm="1">
        <f t="array" ref="I36">IF(I$5="","",INDEX('Lease Roll Over'!$N$63:$CK$63,1,I$5))</f>
        <v>0</v>
      </c>
      <c r="J36" s="71" cm="1">
        <f t="array" ref="J36">IF(J$5="","",INDEX('Lease Roll Over'!$N$63:$CK$63,1,J$5))</f>
        <v>0</v>
      </c>
      <c r="K36" s="71" cm="1">
        <f t="array" ref="K36">IF(K$5="","",INDEX('Lease Roll Over'!$N$63:$CK$63,1,K$5))</f>
        <v>0</v>
      </c>
      <c r="L36" s="71" cm="1">
        <f t="array" ref="L36">IF(L$5="","",INDEX('Lease Roll Over'!$N$63:$CK$63,1,L$5))</f>
        <v>0</v>
      </c>
      <c r="M36" s="71" cm="1">
        <f t="array" ref="M36">IF(M$5="","",INDEX('Lease Roll Over'!$N$63:$CK$63,1,M$5))</f>
        <v>0</v>
      </c>
      <c r="N36" s="71" cm="1">
        <f t="array" ref="N36">IF(N$5="","",INDEX('Lease Roll Over'!$N$63:$CK$63,1,N$5))</f>
        <v>0</v>
      </c>
      <c r="O36" s="71" cm="1">
        <f t="array" ref="O36">IF(O$5="","",INDEX('Lease Roll Over'!$N$63:$CK$63,1,O$5))</f>
        <v>-192000</v>
      </c>
      <c r="P36" s="71" cm="1">
        <f t="array" ref="P36">IF(P$5="","",INDEX('Lease Roll Over'!$N$63:$CK$63,1,P$5))</f>
        <v>-241500</v>
      </c>
      <c r="Q36" s="71" cm="1">
        <f t="array" ref="Q36">IF(Q$5="","",INDEX('Lease Roll Over'!$N$63:$CK$63,1,Q$5))</f>
        <v>0</v>
      </c>
      <c r="R36" s="71" cm="1">
        <f t="array" ref="R36">IF(R$5="","",INDEX('Lease Roll Over'!$N$63:$CK$63,1,R$5))</f>
        <v>-247500</v>
      </c>
      <c r="S36" s="71" cm="1">
        <f t="array" ref="S36">IF(S$5="","",INDEX('Lease Roll Over'!$N$63:$CK$63,1,S$5))</f>
        <v>0</v>
      </c>
      <c r="T36" s="71" cm="1">
        <f t="array" ref="T36">IF(T$5="","",INDEX('Lease Roll Over'!$N$63:$CK$63,1,T$5))</f>
        <v>0</v>
      </c>
      <c r="U36" s="71" cm="1">
        <f t="array" ref="U36">IF(U$5="","",INDEX('Lease Roll Over'!$N$63:$CK$63,1,U$5))</f>
        <v>-60000</v>
      </c>
      <c r="V36" s="71" cm="1">
        <f t="array" ref="V36">IF(V$5="","",INDEX('Lease Roll Over'!$N$63:$CK$63,1,V$5))</f>
        <v>0</v>
      </c>
      <c r="W36" s="71" cm="1">
        <f t="array" ref="W36">IF(W$5="","",INDEX('Lease Roll Over'!$N$63:$CK$63,1,W$5))</f>
        <v>0</v>
      </c>
      <c r="X36" s="71" cm="1">
        <f t="array" ref="X36">IF(X$5="","",INDEX('Lease Roll Over'!$N$63:$CK$63,1,X$5))</f>
        <v>-288000</v>
      </c>
      <c r="Y36" s="71" cm="1">
        <f t="array" ref="Y36">IF(Y$5="","",INDEX('Lease Roll Over'!$N$63:$CK$63,1,Y$5))</f>
        <v>-795000</v>
      </c>
      <c r="Z36" s="71" cm="1">
        <f t="array" ref="Z36">IF(Z$5="","",INDEX('Lease Roll Over'!$N$63:$CK$63,1,Z$5))</f>
        <v>-105000</v>
      </c>
      <c r="AA36" s="71" cm="1">
        <f t="array" ref="AA36">IF(AA$5="","",INDEX('Lease Roll Over'!$N$63:$CK$63,1,AA$5))</f>
        <v>-735000</v>
      </c>
      <c r="AB36" s="71" cm="1">
        <f t="array" ref="AB36">IF(AB$5="","",INDEX('Lease Roll Over'!$N$63:$CK$63,1,AB$5))</f>
        <v>0</v>
      </c>
      <c r="AC36" s="71" cm="1">
        <f t="array" ref="AC36">IF(AC$5="","",INDEX('Lease Roll Over'!$N$63:$CK$63,1,AC$5))</f>
        <v>0</v>
      </c>
      <c r="AD36" s="71" cm="1">
        <f t="array" ref="AD36">IF(AD$5="","",INDEX('Lease Roll Over'!$N$63:$CK$63,1,AD$5))</f>
        <v>-90000</v>
      </c>
      <c r="AE36" s="71" cm="1">
        <f t="array" ref="AE36">IF(AE$5="","",INDEX('Lease Roll Over'!$N$63:$CK$63,1,AE$5))</f>
        <v>-150000</v>
      </c>
      <c r="AF36" s="71" cm="1">
        <f t="array" ref="AF36">IF(AF$5="","",INDEX('Lease Roll Over'!$N$63:$CK$63,1,AF$5))</f>
        <v>0</v>
      </c>
      <c r="AG36" s="71" cm="1">
        <f t="array" ref="AG36">IF(AG$5="","",INDEX('Lease Roll Over'!$N$63:$CK$63,1,AG$5))</f>
        <v>0</v>
      </c>
      <c r="AH36" s="71" cm="1">
        <f t="array" ref="AH36">IF(AH$5="","",INDEX('Lease Roll Over'!$N$63:$CK$63,1,AH$5))</f>
        <v>0</v>
      </c>
      <c r="AI36" s="71" cm="1">
        <f t="array" ref="AI36">IF(AI$5="","",INDEX('Lease Roll Over'!$N$63:$CK$63,1,AI$5))</f>
        <v>-325500</v>
      </c>
      <c r="AJ36" s="71" cm="1">
        <f t="array" ref="AJ36">IF(AJ$5="","",INDEX('Lease Roll Over'!$N$63:$CK$63,1,AJ$5))</f>
        <v>-258000</v>
      </c>
      <c r="AK36" s="71" cm="1">
        <f t="array" ref="AK36">IF(AK$5="","",INDEX('Lease Roll Over'!$N$63:$CK$63,1,AK$5))</f>
        <v>0</v>
      </c>
      <c r="AL36" s="71" cm="1">
        <f t="array" ref="AL36">IF(AL$5="","",INDEX('Lease Roll Over'!$N$63:$CK$63,1,AL$5))</f>
        <v>0</v>
      </c>
      <c r="AM36" s="71" cm="1">
        <f t="array" ref="AM36">IF(AM$5="","",INDEX('Lease Roll Over'!$N$63:$CK$63,1,AM$5))</f>
        <v>0</v>
      </c>
      <c r="AN36" s="71" cm="1">
        <f t="array" ref="AN36">IF(AN$5="","",INDEX('Lease Roll Over'!$N$63:$CK$63,1,AN$5))</f>
        <v>-225000</v>
      </c>
      <c r="AO36" s="71" cm="1">
        <f t="array" ref="AO36">IF(AO$5="","",INDEX('Lease Roll Over'!$N$63:$CK$63,1,AO$5))</f>
        <v>-180000</v>
      </c>
      <c r="AP36" s="71" cm="1">
        <f t="array" ref="AP36">IF(AP$5="","",INDEX('Lease Roll Over'!$N$63:$CK$63,1,AP$5))</f>
        <v>0</v>
      </c>
      <c r="AQ36" s="71" cm="1">
        <f t="array" ref="AQ36">IF(AQ$5="","",INDEX('Lease Roll Over'!$N$63:$CK$63,1,AQ$5))</f>
        <v>0</v>
      </c>
      <c r="AR36" s="71" cm="1">
        <f t="array" ref="AR36">IF(AR$5="","",INDEX('Lease Roll Over'!$N$63:$CK$63,1,AR$5))</f>
        <v>-252000</v>
      </c>
      <c r="AS36" s="71" cm="1">
        <f t="array" ref="AS36">IF(AS$5="","",INDEX('Lease Roll Over'!$N$63:$CK$63,1,AS$5))</f>
        <v>-387000</v>
      </c>
      <c r="AT36" s="71" cm="1">
        <f t="array" ref="AT36">IF(AT$5="","",INDEX('Lease Roll Over'!$N$63:$CK$63,1,AT$5))</f>
        <v>0</v>
      </c>
      <c r="AU36" s="71" cm="1">
        <f t="array" ref="AU36">IF(AU$5="","",INDEX('Lease Roll Over'!$N$63:$CK$63,1,AU$5))</f>
        <v>0</v>
      </c>
      <c r="AV36" s="71" cm="1">
        <f t="array" ref="AV36">IF(AV$5="","",INDEX('Lease Roll Over'!$N$63:$CK$63,1,AV$5))</f>
        <v>0</v>
      </c>
      <c r="AW36" s="71" cm="1">
        <f t="array" ref="AW36">IF(AW$5="","",INDEX('Lease Roll Over'!$N$63:$CK$63,1,AW$5))</f>
        <v>0</v>
      </c>
      <c r="AX36" s="71" cm="1">
        <f t="array" ref="AX36">IF(AX$5="","",INDEX('Lease Roll Over'!$N$63:$CK$63,1,AX$5))</f>
        <v>-270000</v>
      </c>
      <c r="AY36" s="71" cm="1">
        <f t="array" ref="AY36">IF(AY$5="","",INDEX('Lease Roll Over'!$N$63:$CK$63,1,AY$5))</f>
        <v>0</v>
      </c>
      <c r="AZ36" s="71" cm="1">
        <f t="array" ref="AZ36">IF(AZ$5="","",INDEX('Lease Roll Over'!$N$63:$CK$63,1,AZ$5))</f>
        <v>0</v>
      </c>
      <c r="BA36" s="71" cm="1">
        <f t="array" ref="BA36">IF(BA$5="","",INDEX('Lease Roll Over'!$N$63:$CK$63,1,BA$5))</f>
        <v>0</v>
      </c>
      <c r="BB36" s="71" cm="1">
        <f t="array" ref="BB36">IF(BB$5="","",INDEX('Lease Roll Over'!$N$63:$CK$63,1,BB$5))</f>
        <v>0</v>
      </c>
      <c r="BC36" s="71" cm="1">
        <f t="array" ref="BC36">IF(BC$5="","",INDEX('Lease Roll Over'!$N$63:$CK$63,1,BC$5))</f>
        <v>0</v>
      </c>
      <c r="BD36" s="71" cm="1">
        <f t="array" ref="BD36">IF(BD$5="","",INDEX('Lease Roll Over'!$N$63:$CK$63,1,BD$5))</f>
        <v>0</v>
      </c>
      <c r="BE36" s="71" cm="1">
        <f t="array" ref="BE36">IF(BE$5="","",INDEX('Lease Roll Over'!$N$63:$CK$63,1,BE$5))</f>
        <v>0</v>
      </c>
      <c r="BF36" s="71" cm="1">
        <f t="array" ref="BF36">IF(BF$5="","",INDEX('Lease Roll Over'!$N$63:$CK$63,1,BF$5))</f>
        <v>0</v>
      </c>
      <c r="BG36" s="71" cm="1">
        <f t="array" ref="BG36">IF(BG$5="","",INDEX('Lease Roll Over'!$N$63:$CK$63,1,BG$5))</f>
        <v>0</v>
      </c>
      <c r="BH36" s="71" cm="1">
        <f t="array" ref="BH36">IF(BH$5="","",INDEX('Lease Roll Over'!$N$63:$CK$63,1,BH$5))</f>
        <v>0</v>
      </c>
      <c r="BI36" s="71" cm="1">
        <f t="array" ref="BI36">IF(BI$5="","",INDEX('Lease Roll Over'!$N$63:$CK$63,1,BI$5))</f>
        <v>0</v>
      </c>
      <c r="BJ36" s="71" cm="1">
        <f t="array" ref="BJ36">IF(BJ$5="","",INDEX('Lease Roll Over'!$N$63:$CK$63,1,BJ$5))</f>
        <v>0</v>
      </c>
      <c r="BK36" s="71" cm="1">
        <f t="array" ref="BK36">IF(BK$5="","",INDEX('Lease Roll Over'!$N$63:$CK$63,1,BK$5))</f>
        <v>0</v>
      </c>
      <c r="BL36" s="71" cm="1">
        <f t="array" ref="BL36">IF(BL$5="","",INDEX('Lease Roll Over'!$N$63:$CK$63,1,BL$5))</f>
        <v>0</v>
      </c>
      <c r="BM36" s="71" cm="1">
        <f t="array" ref="BM36">IF(BM$5="","",INDEX('Lease Roll Over'!$N$63:$CK$63,1,BM$5))</f>
        <v>0</v>
      </c>
      <c r="BN36" s="71" cm="1">
        <f t="array" ref="BN36">IF(BN$5="","",INDEX('Lease Roll Over'!$N$63:$CK$63,1,BN$5))</f>
        <v>0</v>
      </c>
      <c r="BO36" s="71" cm="1">
        <f t="array" ref="BO36">IF(BO$5="","",INDEX('Lease Roll Over'!$N$63:$CK$63,1,BO$5))</f>
        <v>0</v>
      </c>
      <c r="BP36" s="71" cm="1">
        <f t="array" ref="BP36">IF(BP$5="","",INDEX('Lease Roll Over'!$N$63:$CK$63,1,BP$5))</f>
        <v>0</v>
      </c>
      <c r="BQ36" s="71" cm="1">
        <f t="array" ref="BQ36">IF(BQ$5="","",INDEX('Lease Roll Over'!$N$63:$CK$63,1,BQ$5))</f>
        <v>0</v>
      </c>
      <c r="BR36" s="71" cm="1">
        <f t="array" ref="BR36">IF(BR$5="","",INDEX('Lease Roll Over'!$N$63:$CK$63,1,BR$5))</f>
        <v>0</v>
      </c>
      <c r="BS36" s="71" cm="1">
        <f t="array" ref="BS36">IF(BS$5="","",INDEX('Lease Roll Over'!$N$63:$CK$63,1,BS$5))</f>
        <v>0</v>
      </c>
      <c r="BT36" s="71" cm="1">
        <f t="array" ref="BT36">IF(BT$5="","",INDEX('Lease Roll Over'!$N$63:$CK$63,1,BT$5))</f>
        <v>0</v>
      </c>
      <c r="BU36" s="71" cm="1">
        <f t="array" ref="BU36">IF(BU$5="","",INDEX('Lease Roll Over'!$N$63:$CK$63,1,BU$5))</f>
        <v>0</v>
      </c>
      <c r="BV36" s="71" cm="1">
        <f t="array" ref="BV36">IF(BV$5="","",INDEX('Lease Roll Over'!$N$63:$CK$63,1,BV$5))</f>
        <v>0</v>
      </c>
      <c r="BW36" s="71" cm="1">
        <f t="array" ref="BW36">IF(BW$5="","",INDEX('Lease Roll Over'!$N$63:$CK$63,1,BW$5))</f>
        <v>0</v>
      </c>
      <c r="BX36" s="71" cm="1">
        <f t="array" ref="BX36">IF(BX$5="","",INDEX('Lease Roll Over'!$N$63:$CK$63,1,BX$5))</f>
        <v>-51000</v>
      </c>
      <c r="BY36" s="71" cm="1">
        <f t="array" ref="BY36">IF(BY$5="","",INDEX('Lease Roll Over'!$N$63:$CK$63,1,BY$5))</f>
        <v>0</v>
      </c>
      <c r="BZ36" s="71" cm="1">
        <f t="array" ref="BZ36">IF(BZ$5="","",INDEX('Lease Roll Over'!$N$63:$CK$63,1,BZ$5))</f>
        <v>-165000</v>
      </c>
    </row>
    <row r="37" spans="3:78" x14ac:dyDescent="0.2">
      <c r="C37" s="65" t="s">
        <v>14</v>
      </c>
      <c r="D37" s="65"/>
      <c r="E37" s="65"/>
      <c r="F37" s="71"/>
      <c r="G37" s="71" cm="1">
        <f t="array" ref="G37">IF(G$5="","",INDEX('Lease Roll Over'!$N$64:$CK$64,1,G$5))</f>
        <v>0</v>
      </c>
      <c r="H37" s="71" cm="1">
        <f t="array" ref="H37">IF(H$5="","",INDEX('Lease Roll Over'!$N$64:$CK$64,1,H$5))</f>
        <v>0</v>
      </c>
      <c r="I37" s="71" cm="1">
        <f t="array" ref="I37">IF(I$5="","",INDEX('Lease Roll Over'!$N$64:$CK$64,1,I$5))</f>
        <v>0</v>
      </c>
      <c r="J37" s="71" cm="1">
        <f t="array" ref="J37">IF(J$5="","",INDEX('Lease Roll Over'!$N$64:$CK$64,1,J$5))</f>
        <v>0</v>
      </c>
      <c r="K37" s="71" cm="1">
        <f t="array" ref="K37">IF(K$5="","",INDEX('Lease Roll Over'!$N$64:$CK$64,1,K$5))</f>
        <v>0</v>
      </c>
      <c r="L37" s="71" cm="1">
        <f t="array" ref="L37">IF(L$5="","",INDEX('Lease Roll Over'!$N$64:$CK$64,1,L$5))</f>
        <v>0</v>
      </c>
      <c r="M37" s="71" cm="1">
        <f t="array" ref="M37">IF(M$5="","",INDEX('Lease Roll Over'!$N$64:$CK$64,1,M$5))</f>
        <v>0</v>
      </c>
      <c r="N37" s="71" cm="1">
        <f t="array" ref="N37">IF(N$5="","",INDEX('Lease Roll Over'!$N$64:$CK$64,1,N$5))</f>
        <v>0</v>
      </c>
      <c r="O37" s="71" cm="1">
        <f t="array" ref="O37">IF(O$5="","",INDEX('Lease Roll Over'!$N$64:$CK$64,1,O$5))</f>
        <v>-29112.752396851211</v>
      </c>
      <c r="P37" s="71" cm="1">
        <f t="array" ref="P37">IF(P$5="","",INDEX('Lease Roll Over'!$N$64:$CK$64,1,P$5))</f>
        <v>-36618.383874164414</v>
      </c>
      <c r="Q37" s="71" cm="1">
        <f t="array" ref="Q37">IF(Q$5="","",INDEX('Lease Roll Over'!$N$64:$CK$64,1,Q$5))</f>
        <v>0</v>
      </c>
      <c r="R37" s="71" cm="1">
        <f t="array" ref="R37">IF(R$5="","",INDEX('Lease Roll Over'!$N$64:$CK$64,1,R$5))</f>
        <v>-37528.15738656601</v>
      </c>
      <c r="S37" s="71" cm="1">
        <f t="array" ref="S37">IF(S$5="","",INDEX('Lease Roll Over'!$N$64:$CK$64,1,S$5))</f>
        <v>0</v>
      </c>
      <c r="T37" s="71" cm="1">
        <f t="array" ref="T37">IF(T$5="","",INDEX('Lease Roll Over'!$N$64:$CK$64,1,T$5))</f>
        <v>0</v>
      </c>
      <c r="U37" s="71" cm="1">
        <f t="array" ref="U37">IF(U$5="","",INDEX('Lease Roll Over'!$N$64:$CK$64,1,U$5))</f>
        <v>-9097.7351240160042</v>
      </c>
      <c r="V37" s="71" cm="1">
        <f t="array" ref="V37">IF(V$5="","",INDEX('Lease Roll Over'!$N$64:$CK$64,1,V$5))</f>
        <v>0</v>
      </c>
      <c r="W37" s="71" cm="1">
        <f t="array" ref="W37">IF(W$5="","",INDEX('Lease Roll Over'!$N$64:$CK$64,1,W$5))</f>
        <v>0</v>
      </c>
      <c r="X37" s="71" cm="1">
        <f t="array" ref="X37">IF(X$5="","",INDEX('Lease Roll Over'!$N$64:$CK$64,1,X$5))</f>
        <v>-43669.128595276808</v>
      </c>
      <c r="Y37" s="71" cm="1">
        <f t="array" ref="Y37">IF(Y$5="","",INDEX('Lease Roll Over'!$N$64:$CK$64,1,Y$5))</f>
        <v>-120544.99039321205</v>
      </c>
      <c r="Z37" s="71" cm="1">
        <f t="array" ref="Z37">IF(Z$5="","",INDEX('Lease Roll Over'!$N$64:$CK$64,1,Z$5))</f>
        <v>-15921.036467028005</v>
      </c>
      <c r="AA37" s="71" cm="1">
        <f t="array" ref="AA37">IF(AA$5="","",INDEX('Lease Roll Over'!$N$64:$CK$64,1,AA$5))</f>
        <v>-111447.25526919604</v>
      </c>
      <c r="AB37" s="71" cm="1">
        <f t="array" ref="AB37">IF(AB$5="","",INDEX('Lease Roll Over'!$N$64:$CK$64,1,AB$5))</f>
        <v>0</v>
      </c>
      <c r="AC37" s="71" cm="1">
        <f t="array" ref="AC37">IF(AC$5="","",INDEX('Lease Roll Over'!$N$64:$CK$64,1,AC$5))</f>
        <v>0</v>
      </c>
      <c r="AD37" s="71" cm="1">
        <f t="array" ref="AD37">IF(AD$5="","",INDEX('Lease Roll Over'!$N$64:$CK$64,1,AD$5))</f>
        <v>-13646.602686024004</v>
      </c>
      <c r="AE37" s="71" cm="1">
        <f t="array" ref="AE37">IF(AE$5="","",INDEX('Lease Roll Over'!$N$64:$CK$64,1,AE$5))</f>
        <v>-22744.337810040011</v>
      </c>
      <c r="AF37" s="71" cm="1">
        <f t="array" ref="AF37">IF(AF$5="","",INDEX('Lease Roll Over'!$N$64:$CK$64,1,AF$5))</f>
        <v>0</v>
      </c>
      <c r="AG37" s="71" cm="1">
        <f t="array" ref="AG37">IF(AG$5="","",INDEX('Lease Roll Over'!$N$64:$CK$64,1,AG$5))</f>
        <v>0</v>
      </c>
      <c r="AH37" s="71" cm="1">
        <f t="array" ref="AH37">IF(AH$5="","",INDEX('Lease Roll Over'!$N$64:$CK$64,1,AH$5))</f>
        <v>0</v>
      </c>
      <c r="AI37" s="71" cm="1">
        <f t="array" ref="AI37">IF(AI$5="","",INDEX('Lease Roll Over'!$N$64:$CK$64,1,AI$5))</f>
        <v>-49355.21304778682</v>
      </c>
      <c r="AJ37" s="71" cm="1">
        <f t="array" ref="AJ37">IF(AJ$5="","",INDEX('Lease Roll Over'!$N$64:$CK$64,1,AJ$5))</f>
        <v>-39120.261033268813</v>
      </c>
      <c r="AK37" s="71" cm="1">
        <f t="array" ref="AK37">IF(AK$5="","",INDEX('Lease Roll Over'!$N$64:$CK$64,1,AK$5))</f>
        <v>0</v>
      </c>
      <c r="AL37" s="71" cm="1">
        <f t="array" ref="AL37">IF(AL$5="","",INDEX('Lease Roll Over'!$N$64:$CK$64,1,AL$5))</f>
        <v>0</v>
      </c>
      <c r="AM37" s="71" cm="1">
        <f t="array" ref="AM37">IF(AM$5="","",INDEX('Lease Roll Over'!$N$64:$CK$64,1,AM$5))</f>
        <v>0</v>
      </c>
      <c r="AN37" s="71" cm="1">
        <f t="array" ref="AN37">IF(AN$5="","",INDEX('Lease Roll Over'!$N$64:$CK$64,1,AN$5))</f>
        <v>-34116.506715060015</v>
      </c>
      <c r="AO37" s="71" cm="1">
        <f t="array" ref="AO37">IF(AO$5="","",INDEX('Lease Roll Over'!$N$64:$CK$64,1,AO$5))</f>
        <v>-27293.205372048014</v>
      </c>
      <c r="AP37" s="71" cm="1">
        <f t="array" ref="AP37">IF(AP$5="","",INDEX('Lease Roll Over'!$N$64:$CK$64,1,AP$5))</f>
        <v>0</v>
      </c>
      <c r="AQ37" s="71" cm="1">
        <f t="array" ref="AQ37">IF(AQ$5="","",INDEX('Lease Roll Over'!$N$64:$CK$64,1,AQ$5))</f>
        <v>0</v>
      </c>
      <c r="AR37" s="71" cm="1">
        <f t="array" ref="AR37">IF(AR$5="","",INDEX('Lease Roll Over'!$N$64:$CK$64,1,AR$5))</f>
        <v>-38210.487520867209</v>
      </c>
      <c r="AS37" s="71" cm="1">
        <f t="array" ref="AS37">IF(AS$5="","",INDEX('Lease Roll Over'!$N$64:$CK$64,1,AS$5))</f>
        <v>-58680.391549903223</v>
      </c>
      <c r="AT37" s="71" cm="1">
        <f t="array" ref="AT37">IF(AT$5="","",INDEX('Lease Roll Over'!$N$64:$CK$64,1,AT$5))</f>
        <v>0</v>
      </c>
      <c r="AU37" s="71" cm="1">
        <f t="array" ref="AU37">IF(AU$5="","",INDEX('Lease Roll Over'!$N$64:$CK$64,1,AU$5))</f>
        <v>0</v>
      </c>
      <c r="AV37" s="71" cm="1">
        <f t="array" ref="AV37">IF(AV$5="","",INDEX('Lease Roll Over'!$N$64:$CK$64,1,AV$5))</f>
        <v>0</v>
      </c>
      <c r="AW37" s="71" cm="1">
        <f t="array" ref="AW37">IF(AW$5="","",INDEX('Lease Roll Over'!$N$64:$CK$64,1,AW$5))</f>
        <v>0</v>
      </c>
      <c r="AX37" s="71" cm="1">
        <f t="array" ref="AX37">IF(AX$5="","",INDEX('Lease Roll Over'!$N$64:$CK$64,1,AX$5))</f>
        <v>-40939.80805807202</v>
      </c>
      <c r="AY37" s="71" cm="1">
        <f t="array" ref="AY37">IF(AY$5="","",INDEX('Lease Roll Over'!$N$64:$CK$64,1,AY$5))</f>
        <v>0</v>
      </c>
      <c r="AZ37" s="71" cm="1">
        <f t="array" ref="AZ37">IF(AZ$5="","",INDEX('Lease Roll Over'!$N$64:$CK$64,1,AZ$5))</f>
        <v>0</v>
      </c>
      <c r="BA37" s="71" cm="1">
        <f t="array" ref="BA37">IF(BA$5="","",INDEX('Lease Roll Over'!$N$64:$CK$64,1,BA$5))</f>
        <v>0</v>
      </c>
      <c r="BB37" s="71" cm="1">
        <f t="array" ref="BB37">IF(BB$5="","",INDEX('Lease Roll Over'!$N$64:$CK$64,1,BB$5))</f>
        <v>0</v>
      </c>
      <c r="BC37" s="71" cm="1">
        <f t="array" ref="BC37">IF(BC$5="","",INDEX('Lease Roll Over'!$N$64:$CK$64,1,BC$5))</f>
        <v>0</v>
      </c>
      <c r="BD37" s="71" cm="1">
        <f t="array" ref="BD37">IF(BD$5="","",INDEX('Lease Roll Over'!$N$64:$CK$64,1,BD$5))</f>
        <v>0</v>
      </c>
      <c r="BE37" s="71" cm="1">
        <f t="array" ref="BE37">IF(BE$5="","",INDEX('Lease Roll Over'!$N$64:$CK$64,1,BE$5))</f>
        <v>0</v>
      </c>
      <c r="BF37" s="71" cm="1">
        <f t="array" ref="BF37">IF(BF$5="","",INDEX('Lease Roll Over'!$N$64:$CK$64,1,BF$5))</f>
        <v>0</v>
      </c>
      <c r="BG37" s="71" cm="1">
        <f t="array" ref="BG37">IF(BG$5="","",INDEX('Lease Roll Over'!$N$64:$CK$64,1,BG$5))</f>
        <v>0</v>
      </c>
      <c r="BH37" s="71" cm="1">
        <f t="array" ref="BH37">IF(BH$5="","",INDEX('Lease Roll Over'!$N$64:$CK$64,1,BH$5))</f>
        <v>0</v>
      </c>
      <c r="BI37" s="71" cm="1">
        <f t="array" ref="BI37">IF(BI$5="","",INDEX('Lease Roll Over'!$N$64:$CK$64,1,BI$5))</f>
        <v>0</v>
      </c>
      <c r="BJ37" s="71" cm="1">
        <f t="array" ref="BJ37">IF(BJ$5="","",INDEX('Lease Roll Over'!$N$64:$CK$64,1,BJ$5))</f>
        <v>0</v>
      </c>
      <c r="BK37" s="71" cm="1">
        <f t="array" ref="BK37">IF(BK$5="","",INDEX('Lease Roll Over'!$N$64:$CK$64,1,BK$5))</f>
        <v>0</v>
      </c>
      <c r="BL37" s="71" cm="1">
        <f t="array" ref="BL37">IF(BL$5="","",INDEX('Lease Roll Over'!$N$64:$CK$64,1,BL$5))</f>
        <v>0</v>
      </c>
      <c r="BM37" s="71" cm="1">
        <f t="array" ref="BM37">IF(BM$5="","",INDEX('Lease Roll Over'!$N$64:$CK$64,1,BM$5))</f>
        <v>0</v>
      </c>
      <c r="BN37" s="71" cm="1">
        <f t="array" ref="BN37">IF(BN$5="","",INDEX('Lease Roll Over'!$N$64:$CK$64,1,BN$5))</f>
        <v>0</v>
      </c>
      <c r="BO37" s="71" cm="1">
        <f t="array" ref="BO37">IF(BO$5="","",INDEX('Lease Roll Over'!$N$64:$CK$64,1,BO$5))</f>
        <v>0</v>
      </c>
      <c r="BP37" s="71" cm="1">
        <f t="array" ref="BP37">IF(BP$5="","",INDEX('Lease Roll Over'!$N$64:$CK$64,1,BP$5))</f>
        <v>0</v>
      </c>
      <c r="BQ37" s="71" cm="1">
        <f t="array" ref="BQ37">IF(BQ$5="","",INDEX('Lease Roll Over'!$N$64:$CK$64,1,BQ$5))</f>
        <v>0</v>
      </c>
      <c r="BR37" s="71" cm="1">
        <f t="array" ref="BR37">IF(BR$5="","",INDEX('Lease Roll Over'!$N$64:$CK$64,1,BR$5))</f>
        <v>0</v>
      </c>
      <c r="BS37" s="71" cm="1">
        <f t="array" ref="BS37">IF(BS$5="","",INDEX('Lease Roll Over'!$N$64:$CK$64,1,BS$5))</f>
        <v>0</v>
      </c>
      <c r="BT37" s="71" cm="1">
        <f t="array" ref="BT37">IF(BT$5="","",INDEX('Lease Roll Over'!$N$64:$CK$64,1,BT$5))</f>
        <v>0</v>
      </c>
      <c r="BU37" s="71" cm="1">
        <f t="array" ref="BU37">IF(BU$5="","",INDEX('Lease Roll Over'!$N$64:$CK$64,1,BU$5))</f>
        <v>0</v>
      </c>
      <c r="BV37" s="71" cm="1">
        <f t="array" ref="BV37">IF(BV$5="","",INDEX('Lease Roll Over'!$N$64:$CK$64,1,BV$5))</f>
        <v>0</v>
      </c>
      <c r="BW37" s="71" cm="1">
        <f t="array" ref="BW37">IF(BW$5="","",INDEX('Lease Roll Over'!$N$64:$CK$64,1,BW$5))</f>
        <v>0</v>
      </c>
      <c r="BX37" s="71" cm="1">
        <f t="array" ref="BX37">IF(BX$5="","",INDEX('Lease Roll Over'!$N$64:$CK$64,1,BX$5))</f>
        <v>-7733.0748554136026</v>
      </c>
      <c r="BY37" s="71" cm="1">
        <f t="array" ref="BY37">IF(BY$5="","",INDEX('Lease Roll Over'!$N$64:$CK$64,1,BY$5))</f>
        <v>0</v>
      </c>
      <c r="BZ37" s="71" cm="1">
        <f t="array" ref="BZ37">IF(BZ$5="","",INDEX('Lease Roll Over'!$N$64:$CK$64,1,BZ$5))</f>
        <v>-25018.771591044009</v>
      </c>
    </row>
    <row r="38" spans="3:78" x14ac:dyDescent="0.2">
      <c r="C38" s="69" t="s">
        <v>298</v>
      </c>
      <c r="D38" s="69"/>
      <c r="E38" s="69"/>
      <c r="F38" s="72"/>
      <c r="G38" s="72">
        <f t="shared" ref="G38:AL38" si="27">SUM(G36:G37)</f>
        <v>0</v>
      </c>
      <c r="H38" s="72">
        <f t="shared" si="27"/>
        <v>0</v>
      </c>
      <c r="I38" s="72">
        <f t="shared" si="27"/>
        <v>0</v>
      </c>
      <c r="J38" s="72">
        <f t="shared" si="27"/>
        <v>0</v>
      </c>
      <c r="K38" s="72">
        <f t="shared" si="27"/>
        <v>0</v>
      </c>
      <c r="L38" s="72">
        <f t="shared" si="27"/>
        <v>0</v>
      </c>
      <c r="M38" s="72">
        <f t="shared" si="27"/>
        <v>0</v>
      </c>
      <c r="N38" s="72">
        <f t="shared" si="27"/>
        <v>0</v>
      </c>
      <c r="O38" s="72">
        <f t="shared" si="27"/>
        <v>-221112.7523968512</v>
      </c>
      <c r="P38" s="72">
        <f t="shared" si="27"/>
        <v>-278118.38387416443</v>
      </c>
      <c r="Q38" s="72">
        <f t="shared" si="27"/>
        <v>0</v>
      </c>
      <c r="R38" s="72">
        <f t="shared" si="27"/>
        <v>-285028.15738656599</v>
      </c>
      <c r="S38" s="72">
        <f t="shared" si="27"/>
        <v>0</v>
      </c>
      <c r="T38" s="72">
        <f t="shared" si="27"/>
        <v>0</v>
      </c>
      <c r="U38" s="72">
        <f t="shared" si="27"/>
        <v>-69097.735124016006</v>
      </c>
      <c r="V38" s="72">
        <f t="shared" si="27"/>
        <v>0</v>
      </c>
      <c r="W38" s="72">
        <f t="shared" si="27"/>
        <v>0</v>
      </c>
      <c r="X38" s="72">
        <f t="shared" si="27"/>
        <v>-331669.12859527679</v>
      </c>
      <c r="Y38" s="72">
        <f t="shared" si="27"/>
        <v>-915544.99039321207</v>
      </c>
      <c r="Z38" s="72">
        <f t="shared" si="27"/>
        <v>-120921.03646702801</v>
      </c>
      <c r="AA38" s="72">
        <f t="shared" si="27"/>
        <v>-846447.255269196</v>
      </c>
      <c r="AB38" s="72">
        <f t="shared" si="27"/>
        <v>0</v>
      </c>
      <c r="AC38" s="72">
        <f t="shared" si="27"/>
        <v>0</v>
      </c>
      <c r="AD38" s="72">
        <f t="shared" si="27"/>
        <v>-103646.60268602401</v>
      </c>
      <c r="AE38" s="72">
        <f t="shared" si="27"/>
        <v>-172744.33781004002</v>
      </c>
      <c r="AF38" s="72">
        <f t="shared" si="27"/>
        <v>0</v>
      </c>
      <c r="AG38" s="72">
        <f t="shared" si="27"/>
        <v>0</v>
      </c>
      <c r="AH38" s="72">
        <f t="shared" si="27"/>
        <v>0</v>
      </c>
      <c r="AI38" s="72">
        <f t="shared" si="27"/>
        <v>-374855.21304778685</v>
      </c>
      <c r="AJ38" s="72">
        <f t="shared" si="27"/>
        <v>-297120.26103326882</v>
      </c>
      <c r="AK38" s="72">
        <f t="shared" si="27"/>
        <v>0</v>
      </c>
      <c r="AL38" s="72">
        <f t="shared" si="27"/>
        <v>0</v>
      </c>
      <c r="AM38" s="72">
        <f t="shared" ref="AM38:BR38" si="28">SUM(AM36:AM37)</f>
        <v>0</v>
      </c>
      <c r="AN38" s="72">
        <f t="shared" si="28"/>
        <v>-259116.50671506001</v>
      </c>
      <c r="AO38" s="72">
        <f t="shared" si="28"/>
        <v>-207293.20537204802</v>
      </c>
      <c r="AP38" s="72">
        <f t="shared" si="28"/>
        <v>0</v>
      </c>
      <c r="AQ38" s="72">
        <f t="shared" si="28"/>
        <v>0</v>
      </c>
      <c r="AR38" s="72">
        <f t="shared" si="28"/>
        <v>-290210.4875208672</v>
      </c>
      <c r="AS38" s="72">
        <f t="shared" si="28"/>
        <v>-445680.3915499032</v>
      </c>
      <c r="AT38" s="72">
        <f t="shared" si="28"/>
        <v>0</v>
      </c>
      <c r="AU38" s="72">
        <f t="shared" si="28"/>
        <v>0</v>
      </c>
      <c r="AV38" s="72">
        <f t="shared" si="28"/>
        <v>0</v>
      </c>
      <c r="AW38" s="72">
        <f t="shared" si="28"/>
        <v>0</v>
      </c>
      <c r="AX38" s="72">
        <f t="shared" si="28"/>
        <v>-310939.808058072</v>
      </c>
      <c r="AY38" s="72">
        <f t="shared" si="28"/>
        <v>0</v>
      </c>
      <c r="AZ38" s="72">
        <f t="shared" si="28"/>
        <v>0</v>
      </c>
      <c r="BA38" s="72">
        <f t="shared" si="28"/>
        <v>0</v>
      </c>
      <c r="BB38" s="72">
        <f t="shared" si="28"/>
        <v>0</v>
      </c>
      <c r="BC38" s="72">
        <f t="shared" si="28"/>
        <v>0</v>
      </c>
      <c r="BD38" s="72">
        <f t="shared" si="28"/>
        <v>0</v>
      </c>
      <c r="BE38" s="72">
        <f t="shared" si="28"/>
        <v>0</v>
      </c>
      <c r="BF38" s="72">
        <f t="shared" si="28"/>
        <v>0</v>
      </c>
      <c r="BG38" s="72">
        <f t="shared" si="28"/>
        <v>0</v>
      </c>
      <c r="BH38" s="72">
        <f t="shared" si="28"/>
        <v>0</v>
      </c>
      <c r="BI38" s="72">
        <f t="shared" si="28"/>
        <v>0</v>
      </c>
      <c r="BJ38" s="72">
        <f t="shared" si="28"/>
        <v>0</v>
      </c>
      <c r="BK38" s="72">
        <f t="shared" si="28"/>
        <v>0</v>
      </c>
      <c r="BL38" s="72">
        <f t="shared" si="28"/>
        <v>0</v>
      </c>
      <c r="BM38" s="72">
        <f t="shared" si="28"/>
        <v>0</v>
      </c>
      <c r="BN38" s="72">
        <f t="shared" si="28"/>
        <v>0</v>
      </c>
      <c r="BO38" s="72">
        <f t="shared" si="28"/>
        <v>0</v>
      </c>
      <c r="BP38" s="72">
        <f t="shared" si="28"/>
        <v>0</v>
      </c>
      <c r="BQ38" s="72">
        <f t="shared" si="28"/>
        <v>0</v>
      </c>
      <c r="BR38" s="72">
        <f t="shared" si="28"/>
        <v>0</v>
      </c>
      <c r="BS38" s="72">
        <f t="shared" ref="BS38:BZ38" si="29">SUM(BS36:BS37)</f>
        <v>0</v>
      </c>
      <c r="BT38" s="72">
        <f t="shared" si="29"/>
        <v>0</v>
      </c>
      <c r="BU38" s="72">
        <f t="shared" si="29"/>
        <v>0</v>
      </c>
      <c r="BV38" s="72">
        <f t="shared" si="29"/>
        <v>0</v>
      </c>
      <c r="BW38" s="72">
        <f t="shared" si="29"/>
        <v>0</v>
      </c>
      <c r="BX38" s="72">
        <f t="shared" si="29"/>
        <v>-58733.074855413601</v>
      </c>
      <c r="BY38" s="72">
        <f t="shared" si="29"/>
        <v>0</v>
      </c>
      <c r="BZ38" s="72">
        <f t="shared" si="29"/>
        <v>-190018.771591044</v>
      </c>
    </row>
    <row r="39" spans="3:78" ht="17" thickBot="1" x14ac:dyDescent="0.25">
      <c r="C39" s="65"/>
      <c r="D39" s="65"/>
      <c r="E39" s="65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</row>
    <row r="40" spans="3:78" ht="17" thickTop="1" x14ac:dyDescent="0.2">
      <c r="C40" s="70" t="s">
        <v>309</v>
      </c>
      <c r="D40" s="70"/>
      <c r="E40" s="70"/>
      <c r="F40" s="74"/>
      <c r="G40" s="74">
        <f t="shared" ref="G40:AL40" si="30">SUM(G33,G38)</f>
        <v>128683.08750000004</v>
      </c>
      <c r="H40" s="74">
        <f t="shared" si="30"/>
        <v>122144.69750000002</v>
      </c>
      <c r="I40" s="74">
        <f t="shared" si="30"/>
        <v>77878.907499999972</v>
      </c>
      <c r="J40" s="74">
        <f t="shared" si="30"/>
        <v>172827.87749999997</v>
      </c>
      <c r="K40" s="74">
        <f t="shared" si="30"/>
        <v>87078.237499999959</v>
      </c>
      <c r="L40" s="74">
        <f t="shared" si="30"/>
        <v>64315.027499999967</v>
      </c>
      <c r="M40" s="74">
        <f t="shared" si="30"/>
        <v>108373.8775</v>
      </c>
      <c r="N40" s="74">
        <f t="shared" si="30"/>
        <v>155237.46750000003</v>
      </c>
      <c r="O40" s="74">
        <f t="shared" si="30"/>
        <v>-170186.14489685121</v>
      </c>
      <c r="P40" s="74">
        <f t="shared" si="30"/>
        <v>-149691.39637416441</v>
      </c>
      <c r="Q40" s="74">
        <f t="shared" si="30"/>
        <v>130548.60456666668</v>
      </c>
      <c r="R40" s="74">
        <f t="shared" si="30"/>
        <v>-139354.55281989931</v>
      </c>
      <c r="S40" s="74">
        <f t="shared" si="30"/>
        <v>149045.32399166669</v>
      </c>
      <c r="T40" s="74">
        <f t="shared" si="30"/>
        <v>149045.32399166669</v>
      </c>
      <c r="U40" s="74">
        <f t="shared" si="30"/>
        <v>76116.688867650693</v>
      </c>
      <c r="V40" s="74">
        <f t="shared" si="30"/>
        <v>145938.56549166667</v>
      </c>
      <c r="W40" s="74">
        <f t="shared" si="30"/>
        <v>146205.91229166667</v>
      </c>
      <c r="X40" s="74">
        <f t="shared" si="30"/>
        <v>-173166.2604036101</v>
      </c>
      <c r="Y40" s="74">
        <f t="shared" si="30"/>
        <v>-725507.1222015454</v>
      </c>
      <c r="Z40" s="74">
        <f t="shared" si="30"/>
        <v>60700.381724638675</v>
      </c>
      <c r="AA40" s="74">
        <f t="shared" si="30"/>
        <v>-651469.05613377923</v>
      </c>
      <c r="AB40" s="74">
        <f t="shared" si="30"/>
        <v>195164.73163541671</v>
      </c>
      <c r="AC40" s="74">
        <f t="shared" si="30"/>
        <v>195948.06981041664</v>
      </c>
      <c r="AD40" s="74">
        <f t="shared" si="30"/>
        <v>96124.029624392628</v>
      </c>
      <c r="AE40" s="74">
        <f t="shared" si="30"/>
        <v>17322.360719739139</v>
      </c>
      <c r="AF40" s="74">
        <f t="shared" si="30"/>
        <v>190066.69852977915</v>
      </c>
      <c r="AG40" s="74">
        <f t="shared" si="30"/>
        <v>190134.52852977917</v>
      </c>
      <c r="AH40" s="74">
        <f t="shared" si="30"/>
        <v>190843.10098752921</v>
      </c>
      <c r="AI40" s="74">
        <f t="shared" si="30"/>
        <v>-180466.14852025762</v>
      </c>
      <c r="AJ40" s="74">
        <f t="shared" si="30"/>
        <v>-121156.2241107396</v>
      </c>
      <c r="AK40" s="74">
        <f t="shared" si="30"/>
        <v>176862.78442252922</v>
      </c>
      <c r="AL40" s="74">
        <f t="shared" si="30"/>
        <v>176981.48692252918</v>
      </c>
      <c r="AM40" s="74">
        <f t="shared" ref="AM40:BR40" si="31">SUM(AM33,AM38)</f>
        <v>178035.97210252919</v>
      </c>
      <c r="AN40" s="74">
        <f t="shared" si="31"/>
        <v>-72264.306137530803</v>
      </c>
      <c r="AO40" s="74">
        <f t="shared" si="31"/>
        <v>-31287.65641826886</v>
      </c>
      <c r="AP40" s="74">
        <f t="shared" si="31"/>
        <v>176551.28832877916</v>
      </c>
      <c r="AQ40" s="74">
        <f t="shared" si="31"/>
        <v>176273.52528472256</v>
      </c>
      <c r="AR40" s="74">
        <f t="shared" si="31"/>
        <v>-104440.76223614463</v>
      </c>
      <c r="AS40" s="74">
        <f t="shared" si="31"/>
        <v>-245257.35136518069</v>
      </c>
      <c r="AT40" s="74">
        <f t="shared" si="31"/>
        <v>201152.86981620506</v>
      </c>
      <c r="AU40" s="74">
        <f t="shared" si="31"/>
        <v>201520.84756620502</v>
      </c>
      <c r="AV40" s="74">
        <f t="shared" si="31"/>
        <v>202147.86808620504</v>
      </c>
      <c r="AW40" s="74">
        <f t="shared" si="31"/>
        <v>203073.57801120507</v>
      </c>
      <c r="AX40" s="74">
        <f t="shared" si="31"/>
        <v>-97569.466471866996</v>
      </c>
      <c r="AY40" s="74">
        <f t="shared" si="31"/>
        <v>214456.46132160502</v>
      </c>
      <c r="AZ40" s="74">
        <f t="shared" si="31"/>
        <v>215058.42665085499</v>
      </c>
      <c r="BA40" s="74">
        <f t="shared" si="31"/>
        <v>215539.86542239256</v>
      </c>
      <c r="BB40" s="74">
        <f t="shared" si="31"/>
        <v>216101.97697864257</v>
      </c>
      <c r="BC40" s="74">
        <f t="shared" si="31"/>
        <v>215815.88104326421</v>
      </c>
      <c r="BD40" s="74">
        <f t="shared" si="31"/>
        <v>216100.7670432642</v>
      </c>
      <c r="BE40" s="74">
        <f t="shared" si="31"/>
        <v>216610.23139026415</v>
      </c>
      <c r="BF40" s="74">
        <f t="shared" si="31"/>
        <v>217361.95591069115</v>
      </c>
      <c r="BG40" s="74">
        <f t="shared" si="31"/>
        <v>217740.97299319113</v>
      </c>
      <c r="BH40" s="74">
        <f t="shared" si="31"/>
        <v>218386.80412879118</v>
      </c>
      <c r="BI40" s="74">
        <f t="shared" si="31"/>
        <v>219340.28535154116</v>
      </c>
      <c r="BJ40" s="74">
        <f t="shared" si="31"/>
        <v>219771.45183379119</v>
      </c>
      <c r="BK40" s="74">
        <f t="shared" si="31"/>
        <v>220890.15516125315</v>
      </c>
      <c r="BL40" s="74">
        <f t="shared" si="31"/>
        <v>221510.17945038064</v>
      </c>
      <c r="BM40" s="74">
        <f t="shared" si="31"/>
        <v>222006.0613850643</v>
      </c>
      <c r="BN40" s="74">
        <f t="shared" si="31"/>
        <v>222585.03628800178</v>
      </c>
      <c r="BO40" s="74">
        <f t="shared" si="31"/>
        <v>222290.3574745621</v>
      </c>
      <c r="BP40" s="74">
        <f t="shared" si="31"/>
        <v>222583.79005456207</v>
      </c>
      <c r="BQ40" s="74">
        <f t="shared" si="31"/>
        <v>223108.53833197206</v>
      </c>
      <c r="BR40" s="74">
        <f t="shared" si="31"/>
        <v>223882.81458801185</v>
      </c>
      <c r="BS40" s="74">
        <f t="shared" ref="BS40:BZ40" si="32">SUM(BS33,BS38)</f>
        <v>224273.20218298692</v>
      </c>
      <c r="BT40" s="74">
        <f t="shared" si="32"/>
        <v>224938.40825265492</v>
      </c>
      <c r="BU40" s="74">
        <f t="shared" si="32"/>
        <v>225920.49391208743</v>
      </c>
      <c r="BV40" s="74">
        <f t="shared" si="32"/>
        <v>226364.59538880494</v>
      </c>
      <c r="BW40" s="74">
        <f t="shared" si="32"/>
        <v>219129.28003371545</v>
      </c>
      <c r="BX40" s="74">
        <f t="shared" si="32"/>
        <v>167785.22607218882</v>
      </c>
      <c r="BY40" s="74">
        <f t="shared" si="32"/>
        <v>227055.94134099621</v>
      </c>
      <c r="BZ40" s="74">
        <f t="shared" si="32"/>
        <v>26675.880060402211</v>
      </c>
    </row>
    <row r="41" spans="3:78" x14ac:dyDescent="0.2">
      <c r="C41" s="65"/>
      <c r="D41" s="65"/>
      <c r="E41" s="65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</row>
    <row r="42" spans="3:78" x14ac:dyDescent="0.2">
      <c r="C42" s="67" t="s">
        <v>299</v>
      </c>
      <c r="D42" s="67"/>
      <c r="E42" s="67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</row>
    <row r="43" spans="3:78" x14ac:dyDescent="0.2">
      <c r="C43" s="65" t="s">
        <v>300</v>
      </c>
      <c r="D43" s="65"/>
      <c r="E43" s="65"/>
      <c r="F43" s="71"/>
      <c r="G43" s="71" cm="1">
        <f t="array" ref="G43">G11-INDEX('Lease Roll Over'!$N$62:$CK$62,1,G$5)</f>
        <v>88655</v>
      </c>
      <c r="H43" s="71" cm="1">
        <f t="array" ref="H43">H11-INDEX('Lease Roll Over'!$N$62:$CK$62,1,H$5)</f>
        <v>88655</v>
      </c>
      <c r="I43" s="71" cm="1">
        <f t="array" ref="I43">I11-INDEX('Lease Roll Over'!$N$62:$CK$62,1,I$5)</f>
        <v>88655</v>
      </c>
      <c r="J43" s="71" cm="1">
        <f t="array" ref="J43">J11-INDEX('Lease Roll Over'!$N$62:$CK$62,1,J$5)</f>
        <v>88655</v>
      </c>
      <c r="K43" s="71" cm="1">
        <f t="array" ref="K43">K11-INDEX('Lease Roll Over'!$N$62:$CK$62,1,K$5)</f>
        <v>88655</v>
      </c>
      <c r="L43" s="71" cm="1">
        <f t="array" ref="L43">L11-INDEX('Lease Roll Over'!$N$62:$CK$62,1,L$5)</f>
        <v>88655</v>
      </c>
      <c r="M43" s="71" cm="1">
        <f t="array" ref="M43">M11-INDEX('Lease Roll Over'!$N$62:$CK$62,1,M$5)</f>
        <v>88655</v>
      </c>
      <c r="N43" s="71" cm="1">
        <f t="array" ref="N43">N11-INDEX('Lease Roll Over'!$N$62:$CK$62,1,N$5)</f>
        <v>88655</v>
      </c>
      <c r="O43" s="71" cm="1">
        <f t="array" ref="O43">O11-INDEX('Lease Roll Over'!$N$62:$CK$62,1,O$5)</f>
        <v>100078.99999999999</v>
      </c>
      <c r="P43" s="71" cm="1">
        <f t="array" ref="P43">P11-INDEX('Lease Roll Over'!$N$62:$CK$62,1,P$5)</f>
        <v>88476.5</v>
      </c>
      <c r="Q43" s="71" cm="1">
        <f t="array" ref="Q43">Q11-INDEX('Lease Roll Over'!$N$62:$CK$62,1,Q$5)</f>
        <v>88476.5</v>
      </c>
      <c r="R43" s="71" cm="1">
        <f t="array" ref="R43">R11-INDEX('Lease Roll Over'!$N$62:$CK$62,1,R$5)</f>
        <v>72114</v>
      </c>
      <c r="S43" s="71" cm="1">
        <f t="array" ref="S43">S11-INDEX('Lease Roll Over'!$N$62:$CK$62,1,S$5)</f>
        <v>73934.699999999983</v>
      </c>
      <c r="T43" s="71" cm="1">
        <f t="array" ref="T43">T11-INDEX('Lease Roll Over'!$N$62:$CK$62,1,T$5)</f>
        <v>73934.699999999983</v>
      </c>
      <c r="U43" s="71" cm="1">
        <f t="array" ref="U43">U11-INDEX('Lease Roll Over'!$N$62:$CK$62,1,U$5)</f>
        <v>77504.699999999983</v>
      </c>
      <c r="V43" s="71" cm="1">
        <f t="array" ref="V43">V11-INDEX('Lease Roll Over'!$N$62:$CK$62,1,V$5)</f>
        <v>77504.699999999983</v>
      </c>
      <c r="W43" s="71" cm="1">
        <f t="array" ref="W43">W11-INDEX('Lease Roll Over'!$N$62:$CK$62,1,W$5)</f>
        <v>77504.699999999983</v>
      </c>
      <c r="X43" s="71" cm="1">
        <f t="array" ref="X43">X11-INDEX('Lease Roll Over'!$N$62:$CK$62,1,X$5)</f>
        <v>66080.699999999983</v>
      </c>
      <c r="Y43" s="71" cm="1">
        <f t="array" ref="Y43">Y11-INDEX('Lease Roll Over'!$N$62:$CK$62,1,Y$5)</f>
        <v>33599.649999999994</v>
      </c>
      <c r="Z43" s="71" cm="1">
        <f t="array" ref="Z43">Z11-INDEX('Lease Roll Over'!$N$62:$CK$62,1,Z$5)</f>
        <v>39847.149999999994</v>
      </c>
      <c r="AA43" s="71" cm="1">
        <f t="array" ref="AA43">AA11-INDEX('Lease Roll Over'!$N$62:$CK$62,1,AA$5)</f>
        <v>9817.5</v>
      </c>
      <c r="AB43" s="71" cm="1">
        <f t="array" ref="AB43">AB11-INDEX('Lease Roll Over'!$N$62:$CK$62,1,AB$5)</f>
        <v>9817.5</v>
      </c>
      <c r="AC43" s="71" cm="1">
        <f t="array" ref="AC43">AC11-INDEX('Lease Roll Over'!$N$62:$CK$62,1,AC$5)</f>
        <v>9817.5</v>
      </c>
      <c r="AD43" s="71" cm="1">
        <f t="array" ref="AD43">AD11-INDEX('Lease Roll Over'!$N$62:$CK$62,1,AD$5)</f>
        <v>6247.5</v>
      </c>
      <c r="AE43" s="71" cm="1">
        <f t="array" ref="AE43">AE11-INDEX('Lease Roll Over'!$N$62:$CK$62,1,AE$5)</f>
        <v>15172.5</v>
      </c>
      <c r="AF43" s="71" cm="1">
        <f t="array" ref="AF43">AF11-INDEX('Lease Roll Over'!$N$62:$CK$62,1,AF$5)</f>
        <v>15172.5</v>
      </c>
      <c r="AG43" s="71" cm="1">
        <f t="array" ref="AG43">AG11-INDEX('Lease Roll Over'!$N$62:$CK$62,1,AG$5)</f>
        <v>15172.5</v>
      </c>
      <c r="AH43" s="71" cm="1">
        <f t="array" ref="AH43">AH11-INDEX('Lease Roll Over'!$N$62:$CK$62,1,AH$5)</f>
        <v>15172.5</v>
      </c>
      <c r="AI43" s="71" cm="1">
        <f t="array" ref="AI43">AI11-INDEX('Lease Roll Over'!$N$62:$CK$62,1,AI$5)</f>
        <v>18921</v>
      </c>
      <c r="AJ43" s="71" cm="1">
        <f t="array" ref="AJ43">AJ11-INDEX('Lease Roll Over'!$N$62:$CK$62,1,AJ$5)</f>
        <v>34272</v>
      </c>
      <c r="AK43" s="71" cm="1">
        <f t="array" ref="AK43">AK11-INDEX('Lease Roll Over'!$N$62:$CK$62,1,AK$5)</f>
        <v>34272</v>
      </c>
      <c r="AL43" s="71" cm="1">
        <f t="array" ref="AL43">AL11-INDEX('Lease Roll Over'!$N$62:$CK$62,1,AL$5)</f>
        <v>34272</v>
      </c>
      <c r="AM43" s="71" cm="1">
        <f t="array" ref="AM43">AM11-INDEX('Lease Roll Over'!$N$62:$CK$62,1,AM$5)</f>
        <v>34272</v>
      </c>
      <c r="AN43" s="71" cm="1">
        <f t="array" ref="AN43">AN11-INDEX('Lease Roll Over'!$N$62:$CK$62,1,AN$5)</f>
        <v>25347</v>
      </c>
      <c r="AO43" s="71" cm="1">
        <f t="array" ref="AO43">AO11-INDEX('Lease Roll Over'!$N$62:$CK$62,1,AO$5)</f>
        <v>36057</v>
      </c>
      <c r="AP43" s="71" cm="1">
        <f t="array" ref="AP43">AP11-INDEX('Lease Roll Over'!$N$62:$CK$62,1,AP$5)</f>
        <v>36057</v>
      </c>
      <c r="AQ43" s="71" cm="1">
        <f t="array" ref="AQ43">AQ11-INDEX('Lease Roll Over'!$N$62:$CK$62,1,AQ$5)</f>
        <v>36057</v>
      </c>
      <c r="AR43" s="71" cm="1">
        <f t="array" ref="AR43">AR11-INDEX('Lease Roll Over'!$N$62:$CK$62,1,AR$5)</f>
        <v>26061</v>
      </c>
      <c r="AS43" s="71" cm="1">
        <f t="array" ref="AS43">AS11-INDEX('Lease Roll Over'!$N$62:$CK$62,1,AS$5)</f>
        <v>10710</v>
      </c>
      <c r="AT43" s="71" cm="1">
        <f t="array" ref="AT43">AT11-INDEX('Lease Roll Over'!$N$62:$CK$62,1,AT$5)</f>
        <v>10710</v>
      </c>
      <c r="AU43" s="71" cm="1">
        <f t="array" ref="AU43">AU11-INDEX('Lease Roll Over'!$N$62:$CK$62,1,AU$5)</f>
        <v>10710</v>
      </c>
      <c r="AV43" s="71" cm="1">
        <f t="array" ref="AV43">AV11-INDEX('Lease Roll Over'!$N$62:$CK$62,1,AV$5)</f>
        <v>10710</v>
      </c>
      <c r="AW43" s="71" cm="1">
        <f t="array" ref="AW43">AW11-INDEX('Lease Roll Over'!$N$62:$CK$62,1,AW$5)</f>
        <v>10710</v>
      </c>
      <c r="AX43" s="71" cm="1">
        <f t="array" ref="AX43">AX11-INDEX('Lease Roll Over'!$N$62:$CK$62,1,AX$5)</f>
        <v>0</v>
      </c>
      <c r="AY43" s="71" cm="1">
        <f t="array" ref="AY43">AY11-INDEX('Lease Roll Over'!$N$62:$CK$62,1,AY$5)</f>
        <v>0</v>
      </c>
      <c r="AZ43" s="71" cm="1">
        <f t="array" ref="AZ43">AZ11-INDEX('Lease Roll Over'!$N$62:$CK$62,1,AZ$5)</f>
        <v>0</v>
      </c>
      <c r="BA43" s="71" cm="1">
        <f t="array" ref="BA43">BA11-INDEX('Lease Roll Over'!$N$62:$CK$62,1,BA$5)</f>
        <v>0</v>
      </c>
      <c r="BB43" s="71" cm="1">
        <f t="array" ref="BB43">BB11-INDEX('Lease Roll Over'!$N$62:$CK$62,1,BB$5)</f>
        <v>0</v>
      </c>
      <c r="BC43" s="71" cm="1">
        <f t="array" ref="BC43">BC11-INDEX('Lease Roll Over'!$N$62:$CK$62,1,BC$5)</f>
        <v>0</v>
      </c>
      <c r="BD43" s="71" cm="1">
        <f t="array" ref="BD43">BD11-INDEX('Lease Roll Over'!$N$62:$CK$62,1,BD$5)</f>
        <v>0</v>
      </c>
      <c r="BE43" s="71" cm="1">
        <f t="array" ref="BE43">BE11-INDEX('Lease Roll Over'!$N$62:$CK$62,1,BE$5)</f>
        <v>0</v>
      </c>
      <c r="BF43" s="71" cm="1">
        <f t="array" ref="BF43">BF11-INDEX('Lease Roll Over'!$N$62:$CK$62,1,BF$5)</f>
        <v>0</v>
      </c>
      <c r="BG43" s="71" cm="1">
        <f t="array" ref="BG43">BG11-INDEX('Lease Roll Over'!$N$62:$CK$62,1,BG$5)</f>
        <v>0</v>
      </c>
      <c r="BH43" s="71" cm="1">
        <f t="array" ref="BH43">BH11-INDEX('Lease Roll Over'!$N$62:$CK$62,1,BH$5)</f>
        <v>0</v>
      </c>
      <c r="BI43" s="71" cm="1">
        <f t="array" ref="BI43">BI11-INDEX('Lease Roll Over'!$N$62:$CK$62,1,BI$5)</f>
        <v>0</v>
      </c>
      <c r="BJ43" s="71" cm="1">
        <f t="array" ref="BJ43">BJ11-INDEX('Lease Roll Over'!$N$62:$CK$62,1,BJ$5)</f>
        <v>0</v>
      </c>
      <c r="BK43" s="71" cm="1">
        <f t="array" ref="BK43">BK11-INDEX('Lease Roll Over'!$N$62:$CK$62,1,BK$5)</f>
        <v>0</v>
      </c>
      <c r="BL43" s="71" cm="1">
        <f t="array" ref="BL43">BL11-INDEX('Lease Roll Over'!$N$62:$CK$62,1,BL$5)</f>
        <v>0</v>
      </c>
      <c r="BM43" s="71" cm="1">
        <f t="array" ref="BM43">BM11-INDEX('Lease Roll Over'!$N$62:$CK$62,1,BM$5)</f>
        <v>0</v>
      </c>
      <c r="BN43" s="71" cm="1">
        <f t="array" ref="BN43">BN11-INDEX('Lease Roll Over'!$N$62:$CK$62,1,BN$5)</f>
        <v>0</v>
      </c>
      <c r="BO43" s="71" cm="1">
        <f t="array" ref="BO43">BO11-INDEX('Lease Roll Over'!$N$62:$CK$62,1,BO$5)</f>
        <v>0</v>
      </c>
      <c r="BP43" s="71" cm="1">
        <f t="array" ref="BP43">BP11-INDEX('Lease Roll Over'!$N$62:$CK$62,1,BP$5)</f>
        <v>0</v>
      </c>
      <c r="BQ43" s="71" cm="1">
        <f t="array" ref="BQ43">BQ11-INDEX('Lease Roll Over'!$N$62:$CK$62,1,BQ$5)</f>
        <v>0</v>
      </c>
      <c r="BR43" s="71" cm="1">
        <f t="array" ref="BR43">BR11-INDEX('Lease Roll Over'!$N$62:$CK$62,1,BR$5)</f>
        <v>0</v>
      </c>
      <c r="BS43" s="71" cm="1">
        <f t="array" ref="BS43">BS11-INDEX('Lease Roll Over'!$N$62:$CK$62,1,BS$5)</f>
        <v>0</v>
      </c>
      <c r="BT43" s="71" cm="1">
        <f t="array" ref="BT43">BT11-INDEX('Lease Roll Over'!$N$62:$CK$62,1,BT$5)</f>
        <v>0</v>
      </c>
      <c r="BU43" s="71" cm="1">
        <f t="array" ref="BU43">BU11-INDEX('Lease Roll Over'!$N$62:$CK$62,1,BU$5)</f>
        <v>0</v>
      </c>
      <c r="BV43" s="71" cm="1">
        <f t="array" ref="BV43">BV11-INDEX('Lease Roll Over'!$N$62:$CK$62,1,BV$5)</f>
        <v>0</v>
      </c>
      <c r="BW43" s="71" cm="1">
        <f t="array" ref="BW43">BW11-INDEX('Lease Roll Over'!$N$62:$CK$62,1,BW$5)</f>
        <v>0</v>
      </c>
      <c r="BX43" s="71" cm="1">
        <f t="array" ref="BX43">BX11-INDEX('Lease Roll Over'!$N$62:$CK$62,1,BX$5)</f>
        <v>10621.948816293501</v>
      </c>
      <c r="BY43" s="71" cm="1">
        <f t="array" ref="BY43">BY11-INDEX('Lease Roll Over'!$N$62:$CK$62,1,BY$5)</f>
        <v>10621.948816293501</v>
      </c>
      <c r="BZ43" s="71" cm="1">
        <f t="array" ref="BZ43">BZ11-INDEX('Lease Roll Over'!$N$62:$CK$62,1,BZ$5)</f>
        <v>20439.448816293501</v>
      </c>
    </row>
    <row r="44" spans="3:78" x14ac:dyDescent="0.2">
      <c r="C44" s="65" t="s">
        <v>301</v>
      </c>
      <c r="D44" s="65"/>
      <c r="E44" s="65"/>
      <c r="F44" s="71"/>
      <c r="G44" s="71" cm="1">
        <f t="array" ref="G44">G31+INDEX(OPEX!$F$33:$BM$33,1,G$5)</f>
        <v>-587.68707703521068</v>
      </c>
      <c r="H44" s="71" cm="1">
        <f t="array" ref="H44">H31+INDEX(OPEX!$F$33:$BM$33,1,H$5)</f>
        <v>-7126.0770770352246</v>
      </c>
      <c r="I44" s="71" cm="1">
        <f t="array" ref="I44">I31+INDEX(OPEX!$F$33:$BM$33,1,I$5)</f>
        <v>-51572.767077035242</v>
      </c>
      <c r="J44" s="71" cm="1">
        <f t="array" ref="J44">J31+INDEX(OPEX!$F$33:$BM$33,1,J$5)</f>
        <v>42673.152922964764</v>
      </c>
      <c r="K44" s="71" cm="1">
        <f t="array" ref="K44">K31+INDEX(OPEX!$F$33:$BM$33,1,K$5)</f>
        <v>-43336.04707703524</v>
      </c>
      <c r="L44" s="71" cm="1">
        <f t="array" ref="L44">L31+INDEX(OPEX!$F$33:$BM$33,1,L$5)</f>
        <v>-66946.78707703526</v>
      </c>
      <c r="M44" s="71" cm="1">
        <f t="array" ref="M44">M31+INDEX(OPEX!$F$33:$BM$33,1,M$5)</f>
        <v>-22887.937077035225</v>
      </c>
      <c r="N44" s="71" cm="1">
        <f t="array" ref="N44">N31+INDEX(OPEX!$F$33:$BM$33,1,N$5)</f>
        <v>23609.202922964774</v>
      </c>
      <c r="O44" s="71" cm="1">
        <f t="array" ref="O44">O31+INDEX(OPEX!$F$33:$BM$33,1,O$5)</f>
        <v>-68509.657077035255</v>
      </c>
      <c r="P44" s="71" cm="1">
        <f t="array" ref="P44">P31+INDEX(OPEX!$F$33:$BM$33,1,P$5)</f>
        <v>-2654.2770770352217</v>
      </c>
      <c r="Q44" s="71" cm="1">
        <f t="array" ref="Q44">Q31+INDEX(OPEX!$F$33:$BM$33,1,Q$5)</f>
        <v>0</v>
      </c>
      <c r="R44" s="71" cm="1">
        <f t="array" ref="R44">R31+INDEX(OPEX!$F$33:$BM$33,1,R$5)</f>
        <v>0</v>
      </c>
      <c r="S44" s="71" cm="1">
        <f t="array" ref="S44">S31+INDEX(OPEX!$F$33:$BM$33,1,S$5)</f>
        <v>0</v>
      </c>
      <c r="T44" s="71" cm="1">
        <f t="array" ref="T44">T31+INDEX(OPEX!$F$33:$BM$33,1,T$5)</f>
        <v>0</v>
      </c>
      <c r="U44" s="71" cm="1">
        <f t="array" ref="U44">U31+INDEX(OPEX!$F$33:$BM$33,1,U$5)</f>
        <v>0</v>
      </c>
      <c r="V44" s="71" cm="1">
        <f t="array" ref="V44">V31+INDEX(OPEX!$F$33:$BM$33,1,V$5)</f>
        <v>0</v>
      </c>
      <c r="W44" s="71" cm="1">
        <f t="array" ref="W44">W31+INDEX(OPEX!$F$33:$BM$33,1,W$5)</f>
        <v>0</v>
      </c>
      <c r="X44" s="71" cm="1">
        <f t="array" ref="X44">X31+INDEX(OPEX!$F$33:$BM$33,1,X$5)</f>
        <v>0</v>
      </c>
      <c r="Y44" s="71" cm="1">
        <f t="array" ref="Y44">Y31+INDEX(OPEX!$F$33:$BM$33,1,Y$5)</f>
        <v>0</v>
      </c>
      <c r="Z44" s="71" cm="1">
        <f t="array" ref="Z44">Z31+INDEX(OPEX!$F$33:$BM$33,1,Z$5)</f>
        <v>0</v>
      </c>
      <c r="AA44" s="71" cm="1">
        <f t="array" ref="AA44">AA31+INDEX(OPEX!$F$33:$BM$33,1,AA$5)</f>
        <v>0</v>
      </c>
      <c r="AB44" s="71" cm="1">
        <f t="array" ref="AB44">AB31+INDEX(OPEX!$F$33:$BM$33,1,AB$5)</f>
        <v>0</v>
      </c>
      <c r="AC44" s="71" cm="1">
        <f t="array" ref="AC44">AC31+INDEX(OPEX!$F$33:$BM$33,1,AC$5)</f>
        <v>0</v>
      </c>
      <c r="AD44" s="71" cm="1">
        <f t="array" ref="AD44">AD31+INDEX(OPEX!$F$33:$BM$33,1,AD$5)</f>
        <v>0</v>
      </c>
      <c r="AE44" s="71" cm="1">
        <f t="array" ref="AE44">AE31+INDEX(OPEX!$F$33:$BM$33,1,AE$5)</f>
        <v>-3285.8724879999791</v>
      </c>
      <c r="AF44" s="71" cm="1">
        <f t="array" ref="AF44">AF31+INDEX(OPEX!$F$33:$BM$33,1,AF$5)</f>
        <v>-3285.8724879999791</v>
      </c>
      <c r="AG44" s="71" cm="1">
        <f t="array" ref="AG44">AG31+INDEX(OPEX!$F$33:$BM$33,1,AG$5)</f>
        <v>-3285.8724879999791</v>
      </c>
      <c r="AH44" s="71" cm="1">
        <f t="array" ref="AH44">AH31+INDEX(OPEX!$F$33:$BM$33,1,AH$5)</f>
        <v>-3285.8724879999791</v>
      </c>
      <c r="AI44" s="71" cm="1">
        <f t="array" ref="AI44">AI31+INDEX(OPEX!$F$33:$BM$33,1,AI$5)</f>
        <v>-3285.8724879999791</v>
      </c>
      <c r="AJ44" s="71" cm="1">
        <f t="array" ref="AJ44">AJ31+INDEX(OPEX!$F$33:$BM$33,1,AJ$5)</f>
        <v>-3285.8724879999791</v>
      </c>
      <c r="AK44" s="71" cm="1">
        <f t="array" ref="AK44">AK31+INDEX(OPEX!$F$33:$BM$33,1,AK$5)</f>
        <v>-3285.8724879999791</v>
      </c>
      <c r="AL44" s="71" cm="1">
        <f t="array" ref="AL44">AL31+INDEX(OPEX!$F$33:$BM$33,1,AL$5)</f>
        <v>-3285.8724879999791</v>
      </c>
      <c r="AM44" s="71" cm="1">
        <f t="array" ref="AM44">AM31+INDEX(OPEX!$F$33:$BM$33,1,AM$5)</f>
        <v>-3285.8724879999791</v>
      </c>
      <c r="AN44" s="71" cm="1">
        <f t="array" ref="AN44">AN31+INDEX(OPEX!$F$33:$BM$33,1,AN$5)</f>
        <v>-3285.8724879999791</v>
      </c>
      <c r="AO44" s="71" cm="1">
        <f t="array" ref="AO44">AO31+INDEX(OPEX!$F$33:$BM$33,1,AO$5)</f>
        <v>-3285.8724879999791</v>
      </c>
      <c r="AP44" s="71" cm="1">
        <f t="array" ref="AP44">AP31+INDEX(OPEX!$F$33:$BM$33,1,AP$5)</f>
        <v>-3285.8724879999791</v>
      </c>
      <c r="AQ44" s="71" cm="1">
        <f t="array" ref="AQ44">AQ31+INDEX(OPEX!$F$33:$BM$33,1,AQ$5)</f>
        <v>-6670.3211506400112</v>
      </c>
      <c r="AR44" s="71" cm="1">
        <f t="array" ref="AR44">AR31+INDEX(OPEX!$F$33:$BM$33,1,AR$5)</f>
        <v>-6670.3211506400112</v>
      </c>
      <c r="AS44" s="71" cm="1">
        <f t="array" ref="AS44">AS31+INDEX(OPEX!$F$33:$BM$33,1,AS$5)</f>
        <v>-6670.3211506400112</v>
      </c>
      <c r="AT44" s="71" cm="1">
        <f t="array" ref="AT44">AT31+INDEX(OPEX!$F$33:$BM$33,1,AT$5)</f>
        <v>-6670.3211506400112</v>
      </c>
      <c r="AU44" s="71" cm="1">
        <f t="array" ref="AU44">AU31+INDEX(OPEX!$F$33:$BM$33,1,AU$5)</f>
        <v>-6670.3211506400112</v>
      </c>
      <c r="AV44" s="71" cm="1">
        <f t="array" ref="AV44">AV31+INDEX(OPEX!$F$33:$BM$33,1,AV$5)</f>
        <v>-6670.3211506400112</v>
      </c>
      <c r="AW44" s="71" cm="1">
        <f t="array" ref="AW44">AW31+INDEX(OPEX!$F$33:$BM$33,1,AW$5)</f>
        <v>-6670.3211506400112</v>
      </c>
      <c r="AX44" s="71" cm="1">
        <f t="array" ref="AX44">AX31+INDEX(OPEX!$F$33:$BM$33,1,AX$5)</f>
        <v>-6670.3211506400112</v>
      </c>
      <c r="AY44" s="71" cm="1">
        <f t="array" ref="AY44">AY31+INDEX(OPEX!$F$33:$BM$33,1,AY$5)</f>
        <v>-6670.3211506400112</v>
      </c>
      <c r="AZ44" s="71" cm="1">
        <f t="array" ref="AZ44">AZ31+INDEX(OPEX!$F$33:$BM$33,1,AZ$5)</f>
        <v>-6670.3211506400112</v>
      </c>
      <c r="BA44" s="71" cm="1">
        <f t="array" ref="BA44">BA31+INDEX(OPEX!$F$33:$BM$33,1,BA$5)</f>
        <v>-6670.3211506400112</v>
      </c>
      <c r="BB44" s="71" cm="1">
        <f t="array" ref="BB44">BB31+INDEX(OPEX!$F$33:$BM$33,1,BB$5)</f>
        <v>-6670.3211506400112</v>
      </c>
      <c r="BC44" s="71" cm="1">
        <f t="array" ref="BC44">BC31+INDEX(OPEX!$F$33:$BM$33,1,BC$5)</f>
        <v>-10156.303273159196</v>
      </c>
      <c r="BD44" s="71" cm="1">
        <f t="array" ref="BD44">BD31+INDEX(OPEX!$F$33:$BM$33,1,BD$5)</f>
        <v>-10156.303273159196</v>
      </c>
      <c r="BE44" s="71" cm="1">
        <f t="array" ref="BE44">BE31+INDEX(OPEX!$F$33:$BM$33,1,BE$5)</f>
        <v>-10156.303273159196</v>
      </c>
      <c r="BF44" s="71" cm="1">
        <f t="array" ref="BF44">BF31+INDEX(OPEX!$F$33:$BM$33,1,BF$5)</f>
        <v>-10156.303273159196</v>
      </c>
      <c r="BG44" s="71" cm="1">
        <f t="array" ref="BG44">BG31+INDEX(OPEX!$F$33:$BM$33,1,BG$5)</f>
        <v>-10156.303273159196</v>
      </c>
      <c r="BH44" s="71" cm="1">
        <f t="array" ref="BH44">BH31+INDEX(OPEX!$F$33:$BM$33,1,BH$5)</f>
        <v>-10156.303273159196</v>
      </c>
      <c r="BI44" s="71" cm="1">
        <f t="array" ref="BI44">BI31+INDEX(OPEX!$F$33:$BM$33,1,BI$5)</f>
        <v>-10156.303273159196</v>
      </c>
      <c r="BJ44" s="71" cm="1">
        <f t="array" ref="BJ44">BJ31+INDEX(OPEX!$F$33:$BM$33,1,BJ$5)</f>
        <v>-10156.303273159196</v>
      </c>
      <c r="BK44" s="71" cm="1">
        <f t="array" ref="BK44">BK31+INDEX(OPEX!$F$33:$BM$33,1,BK$5)</f>
        <v>-10156.303273159196</v>
      </c>
      <c r="BL44" s="71" cm="1">
        <f t="array" ref="BL44">BL31+INDEX(OPEX!$F$33:$BM$33,1,BL$5)</f>
        <v>-10156.303273159196</v>
      </c>
      <c r="BM44" s="71" cm="1">
        <f t="array" ref="BM44">BM31+INDEX(OPEX!$F$33:$BM$33,1,BM$5)</f>
        <v>-10156.303273159196</v>
      </c>
      <c r="BN44" s="71" cm="1">
        <f t="array" ref="BN44">BN31+INDEX(OPEX!$F$33:$BM$33,1,BN$5)</f>
        <v>-10156.303273159196</v>
      </c>
      <c r="BO44" s="71" cm="1">
        <f t="array" ref="BO44">BO31+INDEX(OPEX!$F$33:$BY$33,1,BO$5)</f>
        <v>-13746.864859353984</v>
      </c>
      <c r="BP44" s="71" cm="1">
        <f t="array" ref="BP44">BP31+INDEX(OPEX!$F$33:$BY$33,1,BP$5)</f>
        <v>-13746.864859353984</v>
      </c>
      <c r="BQ44" s="71" cm="1">
        <f t="array" ref="BQ44">BQ31+INDEX(OPEX!$F$33:$BY$33,1,BQ$5)</f>
        <v>-13746.864859353984</v>
      </c>
      <c r="BR44" s="71" cm="1">
        <f t="array" ref="BR44">BR31+INDEX(OPEX!$F$33:$BY$33,1,BR$5)</f>
        <v>-13746.864859353984</v>
      </c>
      <c r="BS44" s="71" cm="1">
        <f t="array" ref="BS44">BS31+INDEX(OPEX!$F$33:$BY$33,1,BS$5)</f>
        <v>-13746.864859353984</v>
      </c>
      <c r="BT44" s="71" cm="1">
        <f t="array" ref="BT44">BT31+INDEX(OPEX!$F$33:$BY$33,1,BT$5)</f>
        <v>-13746.864859353984</v>
      </c>
      <c r="BU44" s="71" cm="1">
        <f t="array" ref="BU44">BU31+INDEX(OPEX!$F$33:$BY$33,1,BU$5)</f>
        <v>-13746.864859353984</v>
      </c>
      <c r="BV44" s="71" cm="1">
        <f t="array" ref="BV44">BV31+INDEX(OPEX!$F$33:$BY$33,1,BV$5)</f>
        <v>-13746.864859353984</v>
      </c>
      <c r="BW44" s="71" cm="1">
        <f t="array" ref="BW44">BW31+INDEX(OPEX!$F$33:$BY$33,1,BW$5)</f>
        <v>-13746.864859353984</v>
      </c>
      <c r="BX44" s="71" cm="1">
        <f t="array" ref="BX44">BX31+INDEX(OPEX!$F$33:$BY$33,1,BX$5)</f>
        <v>-13746.864859353984</v>
      </c>
      <c r="BY44" s="71" cm="1">
        <f t="array" ref="BY44">BY31+INDEX(OPEX!$F$33:$BY$33,1,BY$5)</f>
        <v>-13746.864859353984</v>
      </c>
      <c r="BZ44" s="71" cm="1">
        <f t="array" ref="BZ44">BZ31+INDEX(OPEX!$F$33:$BY$33,1,BZ$5)</f>
        <v>-13746.864859353984</v>
      </c>
    </row>
    <row r="45" spans="3:78" x14ac:dyDescent="0.2">
      <c r="C45" s="65" t="s">
        <v>302</v>
      </c>
      <c r="D45" s="65"/>
      <c r="E45" s="65"/>
      <c r="F45" s="71"/>
      <c r="G45" s="71" cm="1">
        <f t="array" ref="G45">G36-INDEX('Lease Roll Over'!$N$63:$CK$63,1,G$5)</f>
        <v>0</v>
      </c>
      <c r="H45" s="71" cm="1">
        <f t="array" ref="H45">H36-INDEX('Lease Roll Over'!$N$63:$CK$63,1,H$5)</f>
        <v>0</v>
      </c>
      <c r="I45" s="71" cm="1">
        <f t="array" ref="I45">I36-INDEX('Lease Roll Over'!$N$63:$CK$63,1,I$5)</f>
        <v>0</v>
      </c>
      <c r="J45" s="71" cm="1">
        <f t="array" ref="J45">J36-INDEX('Lease Roll Over'!$N$63:$CK$63,1,J$5)</f>
        <v>0</v>
      </c>
      <c r="K45" s="71" cm="1">
        <f t="array" ref="K45">K36-INDEX('Lease Roll Over'!$N$63:$CK$63,1,K$5)</f>
        <v>0</v>
      </c>
      <c r="L45" s="71" cm="1">
        <f t="array" ref="L45">L36-INDEX('Lease Roll Over'!$N$63:$CK$63,1,L$5)</f>
        <v>0</v>
      </c>
      <c r="M45" s="71" cm="1">
        <f t="array" ref="M45">M36-INDEX('Lease Roll Over'!$N$63:$CK$63,1,M$5)</f>
        <v>0</v>
      </c>
      <c r="N45" s="71" cm="1">
        <f t="array" ref="N45">N36-INDEX('Lease Roll Over'!$N$63:$CK$63,1,N$5)</f>
        <v>0</v>
      </c>
      <c r="O45" s="71" cm="1">
        <f t="array" ref="O45">O36-INDEX('Lease Roll Over'!$N$63:$CK$63,1,O$5)</f>
        <v>0</v>
      </c>
      <c r="P45" s="71" cm="1">
        <f t="array" ref="P45">P36-INDEX('Lease Roll Over'!$N$63:$CK$63,1,P$5)</f>
        <v>0</v>
      </c>
      <c r="Q45" s="71" cm="1">
        <f t="array" ref="Q45">Q36-INDEX('Lease Roll Over'!$N$63:$CK$63,1,Q$5)</f>
        <v>0</v>
      </c>
      <c r="R45" s="71" cm="1">
        <f t="array" ref="R45">R36-INDEX('Lease Roll Over'!$N$63:$CK$63,1,R$5)</f>
        <v>0</v>
      </c>
      <c r="S45" s="71" cm="1">
        <f t="array" ref="S45">S36-INDEX('Lease Roll Over'!$N$63:$CK$63,1,S$5)</f>
        <v>0</v>
      </c>
      <c r="T45" s="71" cm="1">
        <f t="array" ref="T45">T36-INDEX('Lease Roll Over'!$N$63:$CK$63,1,T$5)</f>
        <v>0</v>
      </c>
      <c r="U45" s="71" cm="1">
        <f t="array" ref="U45">U36-INDEX('Lease Roll Over'!$N$63:$CK$63,1,U$5)</f>
        <v>0</v>
      </c>
      <c r="V45" s="71" cm="1">
        <f t="array" ref="V45">V36-INDEX('Lease Roll Over'!$N$63:$CK$63,1,V$5)</f>
        <v>0</v>
      </c>
      <c r="W45" s="71" cm="1">
        <f t="array" ref="W45">W36-INDEX('Lease Roll Over'!$N$63:$CK$63,1,W$5)</f>
        <v>0</v>
      </c>
      <c r="X45" s="71" cm="1">
        <f t="array" ref="X45">X36-INDEX('Lease Roll Over'!$N$63:$CK$63,1,X$5)</f>
        <v>0</v>
      </c>
      <c r="Y45" s="71" cm="1">
        <f t="array" ref="Y45">Y36-INDEX('Lease Roll Over'!$N$63:$CK$63,1,Y$5)</f>
        <v>0</v>
      </c>
      <c r="Z45" s="71" cm="1">
        <f t="array" ref="Z45">Z36-INDEX('Lease Roll Over'!$N$63:$CK$63,1,Z$5)</f>
        <v>0</v>
      </c>
      <c r="AA45" s="71" cm="1">
        <f t="array" ref="AA45">AA36-INDEX('Lease Roll Over'!$N$63:$CK$63,1,AA$5)</f>
        <v>0</v>
      </c>
      <c r="AB45" s="71" cm="1">
        <f t="array" ref="AB45">AB36-INDEX('Lease Roll Over'!$N$63:$CK$63,1,AB$5)</f>
        <v>0</v>
      </c>
      <c r="AC45" s="71" cm="1">
        <f t="array" ref="AC45">AC36-INDEX('Lease Roll Over'!$N$63:$CK$63,1,AC$5)</f>
        <v>0</v>
      </c>
      <c r="AD45" s="71" cm="1">
        <f t="array" ref="AD45">AD36-INDEX('Lease Roll Over'!$N$63:$CK$63,1,AD$5)</f>
        <v>0</v>
      </c>
      <c r="AE45" s="71" cm="1">
        <f t="array" ref="AE45">AE36-INDEX('Lease Roll Over'!$N$63:$CK$63,1,AE$5)</f>
        <v>0</v>
      </c>
      <c r="AF45" s="71" cm="1">
        <f t="array" ref="AF45">AF36-INDEX('Lease Roll Over'!$N$63:$CK$63,1,AF$5)</f>
        <v>0</v>
      </c>
      <c r="AG45" s="71" cm="1">
        <f t="array" ref="AG45">AG36-INDEX('Lease Roll Over'!$N$63:$CK$63,1,AG$5)</f>
        <v>0</v>
      </c>
      <c r="AH45" s="71" cm="1">
        <f t="array" ref="AH45">AH36-INDEX('Lease Roll Over'!$N$63:$CK$63,1,AH$5)</f>
        <v>0</v>
      </c>
      <c r="AI45" s="71" cm="1">
        <f t="array" ref="AI45">AI36-INDEX('Lease Roll Over'!$N$63:$CK$63,1,AI$5)</f>
        <v>0</v>
      </c>
      <c r="AJ45" s="71" cm="1">
        <f t="array" ref="AJ45">AJ36-INDEX('Lease Roll Over'!$N$63:$CK$63,1,AJ$5)</f>
        <v>0</v>
      </c>
      <c r="AK45" s="71" cm="1">
        <f t="array" ref="AK45">AK36-INDEX('Lease Roll Over'!$N$63:$CK$63,1,AK$5)</f>
        <v>0</v>
      </c>
      <c r="AL45" s="71" cm="1">
        <f t="array" ref="AL45">AL36-INDEX('Lease Roll Over'!$N$63:$CK$63,1,AL$5)</f>
        <v>0</v>
      </c>
      <c r="AM45" s="71" cm="1">
        <f t="array" ref="AM45">AM36-INDEX('Lease Roll Over'!$N$63:$CK$63,1,AM$5)</f>
        <v>0</v>
      </c>
      <c r="AN45" s="71" cm="1">
        <f t="array" ref="AN45">AN36-INDEX('Lease Roll Over'!$N$63:$CK$63,1,AN$5)</f>
        <v>0</v>
      </c>
      <c r="AO45" s="71" cm="1">
        <f t="array" ref="AO45">AO36-INDEX('Lease Roll Over'!$N$63:$CK$63,1,AO$5)</f>
        <v>0</v>
      </c>
      <c r="AP45" s="71" cm="1">
        <f t="array" ref="AP45">AP36-INDEX('Lease Roll Over'!$N$63:$CK$63,1,AP$5)</f>
        <v>0</v>
      </c>
      <c r="AQ45" s="71" cm="1">
        <f t="array" ref="AQ45">AQ36-INDEX('Lease Roll Over'!$N$63:$CK$63,1,AQ$5)</f>
        <v>0</v>
      </c>
      <c r="AR45" s="71" cm="1">
        <f t="array" ref="AR45">AR36-INDEX('Lease Roll Over'!$N$63:$CK$63,1,AR$5)</f>
        <v>0</v>
      </c>
      <c r="AS45" s="71" cm="1">
        <f t="array" ref="AS45">AS36-INDEX('Lease Roll Over'!$N$63:$CK$63,1,AS$5)</f>
        <v>0</v>
      </c>
      <c r="AT45" s="71" cm="1">
        <f t="array" ref="AT45">AT36-INDEX('Lease Roll Over'!$N$63:$CK$63,1,AT$5)</f>
        <v>0</v>
      </c>
      <c r="AU45" s="71" cm="1">
        <f t="array" ref="AU45">AU36-INDEX('Lease Roll Over'!$N$63:$CK$63,1,AU$5)</f>
        <v>0</v>
      </c>
      <c r="AV45" s="71" cm="1">
        <f t="array" ref="AV45">AV36-INDEX('Lease Roll Over'!$N$63:$CK$63,1,AV$5)</f>
        <v>0</v>
      </c>
      <c r="AW45" s="71" cm="1">
        <f t="array" ref="AW45">AW36-INDEX('Lease Roll Over'!$N$63:$CK$63,1,AW$5)</f>
        <v>0</v>
      </c>
      <c r="AX45" s="71" cm="1">
        <f t="array" ref="AX45">AX36-INDEX('Lease Roll Over'!$N$63:$CK$63,1,AX$5)</f>
        <v>0</v>
      </c>
      <c r="AY45" s="71" cm="1">
        <f t="array" ref="AY45">AY36-INDEX('Lease Roll Over'!$N$63:$CK$63,1,AY$5)</f>
        <v>0</v>
      </c>
      <c r="AZ45" s="71" cm="1">
        <f t="array" ref="AZ45">AZ36-INDEX('Lease Roll Over'!$N$63:$CK$63,1,AZ$5)</f>
        <v>0</v>
      </c>
      <c r="BA45" s="71" cm="1">
        <f t="array" ref="BA45">BA36-INDEX('Lease Roll Over'!$N$63:$CK$63,1,BA$5)</f>
        <v>0</v>
      </c>
      <c r="BB45" s="71" cm="1">
        <f t="array" ref="BB45">BB36-INDEX('Lease Roll Over'!$N$63:$CK$63,1,BB$5)</f>
        <v>0</v>
      </c>
      <c r="BC45" s="71" cm="1">
        <f t="array" ref="BC45">BC36-INDEX('Lease Roll Over'!$N$63:$CK$63,1,BC$5)</f>
        <v>0</v>
      </c>
      <c r="BD45" s="71" cm="1">
        <f t="array" ref="BD45">BD36-INDEX('Lease Roll Over'!$N$63:$CK$63,1,BD$5)</f>
        <v>0</v>
      </c>
      <c r="BE45" s="71" cm="1">
        <f t="array" ref="BE45">BE36-INDEX('Lease Roll Over'!$N$63:$CK$63,1,BE$5)</f>
        <v>0</v>
      </c>
      <c r="BF45" s="71" cm="1">
        <f t="array" ref="BF45">BF36-INDEX('Lease Roll Over'!$N$63:$CK$63,1,BF$5)</f>
        <v>0</v>
      </c>
      <c r="BG45" s="71" cm="1">
        <f t="array" ref="BG45">BG36-INDEX('Lease Roll Over'!$N$63:$CK$63,1,BG$5)</f>
        <v>0</v>
      </c>
      <c r="BH45" s="71" cm="1">
        <f t="array" ref="BH45">BH36-INDEX('Lease Roll Over'!$N$63:$CK$63,1,BH$5)</f>
        <v>0</v>
      </c>
      <c r="BI45" s="71" cm="1">
        <f t="array" ref="BI45">BI36-INDEX('Lease Roll Over'!$N$63:$CK$63,1,BI$5)</f>
        <v>0</v>
      </c>
      <c r="BJ45" s="71" cm="1">
        <f t="array" ref="BJ45">BJ36-INDEX('Lease Roll Over'!$N$63:$CK$63,1,BJ$5)</f>
        <v>0</v>
      </c>
      <c r="BK45" s="71" cm="1">
        <f t="array" ref="BK45">BK36-INDEX('Lease Roll Over'!$N$63:$CK$63,1,BK$5)</f>
        <v>0</v>
      </c>
      <c r="BL45" s="71" cm="1">
        <f t="array" ref="BL45">BL36-INDEX('Lease Roll Over'!$N$63:$CK$63,1,BL$5)</f>
        <v>0</v>
      </c>
      <c r="BM45" s="71" cm="1">
        <f t="array" ref="BM45">BM36-INDEX('Lease Roll Over'!$N$63:$CK$63,1,BM$5)</f>
        <v>0</v>
      </c>
      <c r="BN45" s="71" cm="1">
        <f t="array" ref="BN45">BN36-INDEX('Lease Roll Over'!$N$63:$CK$63,1,BN$5)</f>
        <v>0</v>
      </c>
      <c r="BO45" s="71" cm="1">
        <f t="array" ref="BO45">BO36-INDEX('Lease Roll Over'!$N$63:$CK$63,1,BO$5)</f>
        <v>0</v>
      </c>
      <c r="BP45" s="71" cm="1">
        <f t="array" ref="BP45">BP36-INDEX('Lease Roll Over'!$N$63:$CK$63,1,BP$5)</f>
        <v>0</v>
      </c>
      <c r="BQ45" s="71" cm="1">
        <f t="array" ref="BQ45">BQ36-INDEX('Lease Roll Over'!$N$63:$CK$63,1,BQ$5)</f>
        <v>0</v>
      </c>
      <c r="BR45" s="71" cm="1">
        <f t="array" ref="BR45">BR36-INDEX('Lease Roll Over'!$N$63:$CK$63,1,BR$5)</f>
        <v>0</v>
      </c>
      <c r="BS45" s="71" cm="1">
        <f t="array" ref="BS45">BS36-INDEX('Lease Roll Over'!$N$63:$CK$63,1,BS$5)</f>
        <v>0</v>
      </c>
      <c r="BT45" s="71" cm="1">
        <f t="array" ref="BT45">BT36-INDEX('Lease Roll Over'!$N$63:$CK$63,1,BT$5)</f>
        <v>0</v>
      </c>
      <c r="BU45" s="71" cm="1">
        <f t="array" ref="BU45">BU36-INDEX('Lease Roll Over'!$N$63:$CK$63,1,BU$5)</f>
        <v>0</v>
      </c>
      <c r="BV45" s="71" cm="1">
        <f t="array" ref="BV45">BV36-INDEX('Lease Roll Over'!$N$63:$CK$63,1,BV$5)</f>
        <v>0</v>
      </c>
      <c r="BW45" s="71" cm="1">
        <f t="array" ref="BW45">BW36-INDEX('Lease Roll Over'!$N$63:$CK$63,1,BW$5)</f>
        <v>0</v>
      </c>
      <c r="BX45" s="71" cm="1">
        <f t="array" ref="BX45">BX36-INDEX('Lease Roll Over'!$N$63:$CK$63,1,BX$5)</f>
        <v>0</v>
      </c>
      <c r="BY45" s="71" cm="1">
        <f t="array" ref="BY45">BY36-INDEX('Lease Roll Over'!$N$63:$CK$63,1,BY$5)</f>
        <v>0</v>
      </c>
      <c r="BZ45" s="71" cm="1">
        <f t="array" ref="BZ45">BZ36-INDEX('Lease Roll Over'!$N$63:$CK$63,1,BZ$5)</f>
        <v>0</v>
      </c>
    </row>
    <row r="46" spans="3:78" x14ac:dyDescent="0.2">
      <c r="C46" s="65" t="s">
        <v>303</v>
      </c>
      <c r="D46" s="65"/>
      <c r="E46" s="65"/>
      <c r="F46" s="71"/>
      <c r="G46" s="71" cm="1">
        <f t="array" ref="G46">G37-INDEX('Lease Roll Over'!$N$64:$CK$64,1,G$5)</f>
        <v>0</v>
      </c>
      <c r="H46" s="71" cm="1">
        <f t="array" ref="H46">H37-INDEX('Lease Roll Over'!$N$64:$CK$64,1,H$5)</f>
        <v>0</v>
      </c>
      <c r="I46" s="71" cm="1">
        <f t="array" ref="I46">I37-INDEX('Lease Roll Over'!$N$64:$CK$64,1,I$5)</f>
        <v>0</v>
      </c>
      <c r="J46" s="71" cm="1">
        <f t="array" ref="J46">J37-INDEX('Lease Roll Over'!$N$64:$CK$64,1,J$5)</f>
        <v>0</v>
      </c>
      <c r="K46" s="71" cm="1">
        <f t="array" ref="K46">K37-INDEX('Lease Roll Over'!$N$64:$CK$64,1,K$5)</f>
        <v>0</v>
      </c>
      <c r="L46" s="71" cm="1">
        <f t="array" ref="L46">L37-INDEX('Lease Roll Over'!$N$64:$CK$64,1,L$5)</f>
        <v>0</v>
      </c>
      <c r="M46" s="71" cm="1">
        <f t="array" ref="M46">M37-INDEX('Lease Roll Over'!$N$64:$CK$64,1,M$5)</f>
        <v>0</v>
      </c>
      <c r="N46" s="71" cm="1">
        <f t="array" ref="N46">N37-INDEX('Lease Roll Over'!$N$64:$CK$64,1,N$5)</f>
        <v>0</v>
      </c>
      <c r="O46" s="71" cm="1">
        <f t="array" ref="O46">O37-INDEX('Lease Roll Over'!$N$64:$CK$64,1,O$5)</f>
        <v>0</v>
      </c>
      <c r="P46" s="71" cm="1">
        <f t="array" ref="P46">P37-INDEX('Lease Roll Over'!$N$64:$CK$64,1,P$5)</f>
        <v>0</v>
      </c>
      <c r="Q46" s="71" cm="1">
        <f t="array" ref="Q46">Q37-INDEX('Lease Roll Over'!$N$64:$CK$64,1,Q$5)</f>
        <v>0</v>
      </c>
      <c r="R46" s="71" cm="1">
        <f t="array" ref="R46">R37-INDEX('Lease Roll Over'!$N$64:$CK$64,1,R$5)</f>
        <v>0</v>
      </c>
      <c r="S46" s="71" cm="1">
        <f t="array" ref="S46">S37-INDEX('Lease Roll Over'!$N$64:$CK$64,1,S$5)</f>
        <v>0</v>
      </c>
      <c r="T46" s="71" cm="1">
        <f t="array" ref="T46">T37-INDEX('Lease Roll Over'!$N$64:$CK$64,1,T$5)</f>
        <v>0</v>
      </c>
      <c r="U46" s="71" cm="1">
        <f t="array" ref="U46">U37-INDEX('Lease Roll Over'!$N$64:$CK$64,1,U$5)</f>
        <v>0</v>
      </c>
      <c r="V46" s="71" cm="1">
        <f t="array" ref="V46">V37-INDEX('Lease Roll Over'!$N$64:$CK$64,1,V$5)</f>
        <v>0</v>
      </c>
      <c r="W46" s="71" cm="1">
        <f t="array" ref="W46">W37-INDEX('Lease Roll Over'!$N$64:$CK$64,1,W$5)</f>
        <v>0</v>
      </c>
      <c r="X46" s="71" cm="1">
        <f t="array" ref="X46">X37-INDEX('Lease Roll Over'!$N$64:$CK$64,1,X$5)</f>
        <v>0</v>
      </c>
      <c r="Y46" s="71" cm="1">
        <f t="array" ref="Y46">Y37-INDEX('Lease Roll Over'!$N$64:$CK$64,1,Y$5)</f>
        <v>0</v>
      </c>
      <c r="Z46" s="71" cm="1">
        <f t="array" ref="Z46">Z37-INDEX('Lease Roll Over'!$N$64:$CK$64,1,Z$5)</f>
        <v>0</v>
      </c>
      <c r="AA46" s="71" cm="1">
        <f t="array" ref="AA46">AA37-INDEX('Lease Roll Over'!$N$64:$CK$64,1,AA$5)</f>
        <v>0</v>
      </c>
      <c r="AB46" s="71" cm="1">
        <f t="array" ref="AB46">AB37-INDEX('Lease Roll Over'!$N$64:$CK$64,1,AB$5)</f>
        <v>0</v>
      </c>
      <c r="AC46" s="71" cm="1">
        <f t="array" ref="AC46">AC37-INDEX('Lease Roll Over'!$N$64:$CK$64,1,AC$5)</f>
        <v>0</v>
      </c>
      <c r="AD46" s="71" cm="1">
        <f t="array" ref="AD46">AD37-INDEX('Lease Roll Over'!$N$64:$CK$64,1,AD$5)</f>
        <v>0</v>
      </c>
      <c r="AE46" s="71" cm="1">
        <f t="array" ref="AE46">AE37-INDEX('Lease Roll Over'!$N$64:$CK$64,1,AE$5)</f>
        <v>0</v>
      </c>
      <c r="AF46" s="71" cm="1">
        <f t="array" ref="AF46">AF37-INDEX('Lease Roll Over'!$N$64:$CK$64,1,AF$5)</f>
        <v>0</v>
      </c>
      <c r="AG46" s="71" cm="1">
        <f t="array" ref="AG46">AG37-INDEX('Lease Roll Over'!$N$64:$CK$64,1,AG$5)</f>
        <v>0</v>
      </c>
      <c r="AH46" s="71" cm="1">
        <f t="array" ref="AH46">AH37-INDEX('Lease Roll Over'!$N$64:$CK$64,1,AH$5)</f>
        <v>0</v>
      </c>
      <c r="AI46" s="71" cm="1">
        <f t="array" ref="AI46">AI37-INDEX('Lease Roll Over'!$N$64:$CK$64,1,AI$5)</f>
        <v>0</v>
      </c>
      <c r="AJ46" s="71" cm="1">
        <f t="array" ref="AJ46">AJ37-INDEX('Lease Roll Over'!$N$64:$CK$64,1,AJ$5)</f>
        <v>0</v>
      </c>
      <c r="AK46" s="71" cm="1">
        <f t="array" ref="AK46">AK37-INDEX('Lease Roll Over'!$N$64:$CK$64,1,AK$5)</f>
        <v>0</v>
      </c>
      <c r="AL46" s="71" cm="1">
        <f t="array" ref="AL46">AL37-INDEX('Lease Roll Over'!$N$64:$CK$64,1,AL$5)</f>
        <v>0</v>
      </c>
      <c r="AM46" s="71" cm="1">
        <f t="array" ref="AM46">AM37-INDEX('Lease Roll Over'!$N$64:$CK$64,1,AM$5)</f>
        <v>0</v>
      </c>
      <c r="AN46" s="71" cm="1">
        <f t="array" ref="AN46">AN37-INDEX('Lease Roll Over'!$N$64:$CK$64,1,AN$5)</f>
        <v>0</v>
      </c>
      <c r="AO46" s="71" cm="1">
        <f t="array" ref="AO46">AO37-INDEX('Lease Roll Over'!$N$64:$CK$64,1,AO$5)</f>
        <v>0</v>
      </c>
      <c r="AP46" s="71" cm="1">
        <f t="array" ref="AP46">AP37-INDEX('Lease Roll Over'!$N$64:$CK$64,1,AP$5)</f>
        <v>0</v>
      </c>
      <c r="AQ46" s="71" cm="1">
        <f t="array" ref="AQ46">AQ37-INDEX('Lease Roll Over'!$N$64:$CK$64,1,AQ$5)</f>
        <v>0</v>
      </c>
      <c r="AR46" s="71" cm="1">
        <f t="array" ref="AR46">AR37-INDEX('Lease Roll Over'!$N$64:$CK$64,1,AR$5)</f>
        <v>0</v>
      </c>
      <c r="AS46" s="71" cm="1">
        <f t="array" ref="AS46">AS37-INDEX('Lease Roll Over'!$N$64:$CK$64,1,AS$5)</f>
        <v>0</v>
      </c>
      <c r="AT46" s="71" cm="1">
        <f t="array" ref="AT46">AT37-INDEX('Lease Roll Over'!$N$64:$CK$64,1,AT$5)</f>
        <v>0</v>
      </c>
      <c r="AU46" s="71" cm="1">
        <f t="array" ref="AU46">AU37-INDEX('Lease Roll Over'!$N$64:$CK$64,1,AU$5)</f>
        <v>0</v>
      </c>
      <c r="AV46" s="71" cm="1">
        <f t="array" ref="AV46">AV37-INDEX('Lease Roll Over'!$N$64:$CK$64,1,AV$5)</f>
        <v>0</v>
      </c>
      <c r="AW46" s="71" cm="1">
        <f t="array" ref="AW46">AW37-INDEX('Lease Roll Over'!$N$64:$CK$64,1,AW$5)</f>
        <v>0</v>
      </c>
      <c r="AX46" s="71" cm="1">
        <f t="array" ref="AX46">AX37-INDEX('Lease Roll Over'!$N$64:$CK$64,1,AX$5)</f>
        <v>0</v>
      </c>
      <c r="AY46" s="71" cm="1">
        <f t="array" ref="AY46">AY37-INDEX('Lease Roll Over'!$N$64:$CK$64,1,AY$5)</f>
        <v>0</v>
      </c>
      <c r="AZ46" s="71" cm="1">
        <f t="array" ref="AZ46">AZ37-INDEX('Lease Roll Over'!$N$64:$CK$64,1,AZ$5)</f>
        <v>0</v>
      </c>
      <c r="BA46" s="71" cm="1">
        <f t="array" ref="BA46">BA37-INDEX('Lease Roll Over'!$N$64:$CK$64,1,BA$5)</f>
        <v>0</v>
      </c>
      <c r="BB46" s="71" cm="1">
        <f t="array" ref="BB46">BB37-INDEX('Lease Roll Over'!$N$64:$CK$64,1,BB$5)</f>
        <v>0</v>
      </c>
      <c r="BC46" s="71" cm="1">
        <f t="array" ref="BC46">BC37-INDEX('Lease Roll Over'!$N$64:$CK$64,1,BC$5)</f>
        <v>0</v>
      </c>
      <c r="BD46" s="71" cm="1">
        <f t="array" ref="BD46">BD37-INDEX('Lease Roll Over'!$N$64:$CK$64,1,BD$5)</f>
        <v>0</v>
      </c>
      <c r="BE46" s="71" cm="1">
        <f t="array" ref="BE46">BE37-INDEX('Lease Roll Over'!$N$64:$CK$64,1,BE$5)</f>
        <v>0</v>
      </c>
      <c r="BF46" s="71" cm="1">
        <f t="array" ref="BF46">BF37-INDEX('Lease Roll Over'!$N$64:$CK$64,1,BF$5)</f>
        <v>0</v>
      </c>
      <c r="BG46" s="71" cm="1">
        <f t="array" ref="BG46">BG37-INDEX('Lease Roll Over'!$N$64:$CK$64,1,BG$5)</f>
        <v>0</v>
      </c>
      <c r="BH46" s="71" cm="1">
        <f t="array" ref="BH46">BH37-INDEX('Lease Roll Over'!$N$64:$CK$64,1,BH$5)</f>
        <v>0</v>
      </c>
      <c r="BI46" s="71" cm="1">
        <f t="array" ref="BI46">BI37-INDEX('Lease Roll Over'!$N$64:$CK$64,1,BI$5)</f>
        <v>0</v>
      </c>
      <c r="BJ46" s="71" cm="1">
        <f t="array" ref="BJ46">BJ37-INDEX('Lease Roll Over'!$N$64:$CK$64,1,BJ$5)</f>
        <v>0</v>
      </c>
      <c r="BK46" s="71" cm="1">
        <f t="array" ref="BK46">BK37-INDEX('Lease Roll Over'!$N$64:$CK$64,1,BK$5)</f>
        <v>0</v>
      </c>
      <c r="BL46" s="71" cm="1">
        <f t="array" ref="BL46">BL37-INDEX('Lease Roll Over'!$N$64:$CK$64,1,BL$5)</f>
        <v>0</v>
      </c>
      <c r="BM46" s="71" cm="1">
        <f t="array" ref="BM46">BM37-INDEX('Lease Roll Over'!$N$64:$CK$64,1,BM$5)</f>
        <v>0</v>
      </c>
      <c r="BN46" s="71" cm="1">
        <f t="array" ref="BN46">BN37-INDEX('Lease Roll Over'!$N$64:$CK$64,1,BN$5)</f>
        <v>0</v>
      </c>
      <c r="BO46" s="71" cm="1">
        <f t="array" ref="BO46">BO37-INDEX('Lease Roll Over'!$N$64:$CK$64,1,BO$5)</f>
        <v>0</v>
      </c>
      <c r="BP46" s="71" cm="1">
        <f t="array" ref="BP46">BP37-INDEX('Lease Roll Over'!$N$64:$CK$64,1,BP$5)</f>
        <v>0</v>
      </c>
      <c r="BQ46" s="71" cm="1">
        <f t="array" ref="BQ46">BQ37-INDEX('Lease Roll Over'!$N$64:$CK$64,1,BQ$5)</f>
        <v>0</v>
      </c>
      <c r="BR46" s="71" cm="1">
        <f t="array" ref="BR46">BR37-INDEX('Lease Roll Over'!$N$64:$CK$64,1,BR$5)</f>
        <v>0</v>
      </c>
      <c r="BS46" s="71" cm="1">
        <f t="array" ref="BS46">BS37-INDEX('Lease Roll Over'!$N$64:$CK$64,1,BS$5)</f>
        <v>0</v>
      </c>
      <c r="BT46" s="71" cm="1">
        <f t="array" ref="BT46">BT37-INDEX('Lease Roll Over'!$N$64:$CK$64,1,BT$5)</f>
        <v>0</v>
      </c>
      <c r="BU46" s="71" cm="1">
        <f t="array" ref="BU46">BU37-INDEX('Lease Roll Over'!$N$64:$CK$64,1,BU$5)</f>
        <v>0</v>
      </c>
      <c r="BV46" s="71" cm="1">
        <f t="array" ref="BV46">BV37-INDEX('Lease Roll Over'!$N$64:$CK$64,1,BV$5)</f>
        <v>0</v>
      </c>
      <c r="BW46" s="71" cm="1">
        <f t="array" ref="BW46">BW37-INDEX('Lease Roll Over'!$N$64:$CK$64,1,BW$5)</f>
        <v>0</v>
      </c>
      <c r="BX46" s="71" cm="1">
        <f t="array" ref="BX46">BX37-INDEX('Lease Roll Over'!$N$64:$CK$64,1,BX$5)</f>
        <v>0</v>
      </c>
      <c r="BY46" s="71" cm="1">
        <f t="array" ref="BY46">BY37-INDEX('Lease Roll Over'!$N$64:$CK$64,1,BY$5)</f>
        <v>0</v>
      </c>
      <c r="BZ46" s="71" cm="1">
        <f t="array" ref="BZ46">BZ37-INDEX('Lease Roll Over'!$N$64:$CK$64,1,BZ$5)</f>
        <v>0</v>
      </c>
    </row>
    <row r="48" spans="3:78" x14ac:dyDescent="0.2">
      <c r="C48" s="65" t="s">
        <v>310</v>
      </c>
    </row>
    <row r="49" spans="3:3" x14ac:dyDescent="0.2">
      <c r="C49" s="65" t="s">
        <v>312</v>
      </c>
    </row>
    <row r="50" spans="3:3" x14ac:dyDescent="0.2">
      <c r="C50" s="65" t="s">
        <v>313</v>
      </c>
    </row>
    <row r="51" spans="3:3" x14ac:dyDescent="0.2">
      <c r="C51" s="65" t="s">
        <v>314</v>
      </c>
    </row>
    <row r="52" spans="3:3" x14ac:dyDescent="0.2">
      <c r="C52" s="65" t="s">
        <v>10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E573-B560-5C4E-BDD0-C758A6EDB12F}">
  <dimension ref="A2:CK97"/>
  <sheetViews>
    <sheetView tabSelected="1" workbookViewId="0">
      <selection activeCell="AD24" sqref="AD24"/>
    </sheetView>
  </sheetViews>
  <sheetFormatPr baseColWidth="10" defaultRowHeight="16" x14ac:dyDescent="0.2"/>
  <cols>
    <col min="1" max="1" width="5.5" customWidth="1"/>
    <col min="2" max="2" width="13" customWidth="1"/>
    <col min="3" max="3" width="14.5" customWidth="1"/>
    <col min="4" max="4" width="11.83203125" customWidth="1"/>
    <col min="5" max="7" width="13.1640625" customWidth="1"/>
    <col min="8" max="8" width="11.6640625" customWidth="1"/>
    <col min="10" max="11" width="7" customWidth="1"/>
    <col min="12" max="73" width="12.5" customWidth="1"/>
    <col min="74" max="85" width="11.83203125" customWidth="1"/>
  </cols>
  <sheetData>
    <row r="2" spans="1:89" x14ac:dyDescent="0.2">
      <c r="B2" s="1" t="s">
        <v>339</v>
      </c>
    </row>
    <row r="4" spans="1:89" x14ac:dyDescent="0.2">
      <c r="B4" t="s">
        <v>257</v>
      </c>
      <c r="C4" s="84">
        <v>0.03</v>
      </c>
      <c r="L4" t="s">
        <v>250</v>
      </c>
      <c r="M4">
        <v>0</v>
      </c>
      <c r="N4">
        <f>IF(N5="","",ROUNDUP(N5/12,0))</f>
        <v>1</v>
      </c>
      <c r="O4">
        <f t="shared" ref="O4:BU4" si="0">IF(O5="","",ROUNDUP(O5/12,0))</f>
        <v>1</v>
      </c>
      <c r="P4">
        <f t="shared" si="0"/>
        <v>1</v>
      </c>
      <c r="Q4">
        <f t="shared" si="0"/>
        <v>1</v>
      </c>
      <c r="R4">
        <f t="shared" si="0"/>
        <v>1</v>
      </c>
      <c r="S4">
        <f t="shared" si="0"/>
        <v>1</v>
      </c>
      <c r="T4">
        <f t="shared" si="0"/>
        <v>1</v>
      </c>
      <c r="U4">
        <f t="shared" si="0"/>
        <v>1</v>
      </c>
      <c r="V4">
        <f t="shared" si="0"/>
        <v>1</v>
      </c>
      <c r="W4">
        <f t="shared" si="0"/>
        <v>1</v>
      </c>
      <c r="X4">
        <f t="shared" si="0"/>
        <v>1</v>
      </c>
      <c r="Y4">
        <f t="shared" si="0"/>
        <v>1</v>
      </c>
      <c r="Z4">
        <f t="shared" si="0"/>
        <v>2</v>
      </c>
      <c r="AA4">
        <f t="shared" si="0"/>
        <v>2</v>
      </c>
      <c r="AB4">
        <f t="shared" si="0"/>
        <v>2</v>
      </c>
      <c r="AC4">
        <f t="shared" si="0"/>
        <v>2</v>
      </c>
      <c r="AD4">
        <f t="shared" si="0"/>
        <v>2</v>
      </c>
      <c r="AE4">
        <f t="shared" si="0"/>
        <v>2</v>
      </c>
      <c r="AF4">
        <f t="shared" si="0"/>
        <v>2</v>
      </c>
      <c r="AG4">
        <f t="shared" si="0"/>
        <v>2</v>
      </c>
      <c r="AH4">
        <f t="shared" si="0"/>
        <v>2</v>
      </c>
      <c r="AI4">
        <f t="shared" si="0"/>
        <v>2</v>
      </c>
      <c r="AJ4">
        <f t="shared" si="0"/>
        <v>2</v>
      </c>
      <c r="AK4">
        <f t="shared" si="0"/>
        <v>2</v>
      </c>
      <c r="AL4">
        <f t="shared" si="0"/>
        <v>3</v>
      </c>
      <c r="AM4">
        <f t="shared" si="0"/>
        <v>3</v>
      </c>
      <c r="AN4">
        <f t="shared" si="0"/>
        <v>3</v>
      </c>
      <c r="AO4">
        <f t="shared" si="0"/>
        <v>3</v>
      </c>
      <c r="AP4">
        <f t="shared" si="0"/>
        <v>3</v>
      </c>
      <c r="AQ4">
        <f t="shared" si="0"/>
        <v>3</v>
      </c>
      <c r="AR4">
        <f t="shared" si="0"/>
        <v>3</v>
      </c>
      <c r="AS4">
        <f t="shared" si="0"/>
        <v>3</v>
      </c>
      <c r="AT4">
        <f t="shared" si="0"/>
        <v>3</v>
      </c>
      <c r="AU4">
        <f t="shared" si="0"/>
        <v>3</v>
      </c>
      <c r="AV4">
        <f t="shared" si="0"/>
        <v>3</v>
      </c>
      <c r="AW4">
        <f t="shared" si="0"/>
        <v>3</v>
      </c>
      <c r="AX4">
        <f t="shared" si="0"/>
        <v>4</v>
      </c>
      <c r="AY4">
        <f t="shared" si="0"/>
        <v>4</v>
      </c>
      <c r="AZ4">
        <f t="shared" si="0"/>
        <v>4</v>
      </c>
      <c r="BA4">
        <f t="shared" si="0"/>
        <v>4</v>
      </c>
      <c r="BB4">
        <f t="shared" si="0"/>
        <v>4</v>
      </c>
      <c r="BC4">
        <f t="shared" si="0"/>
        <v>4</v>
      </c>
      <c r="BD4">
        <f t="shared" si="0"/>
        <v>4</v>
      </c>
      <c r="BE4">
        <f t="shared" si="0"/>
        <v>4</v>
      </c>
      <c r="BF4">
        <f t="shared" si="0"/>
        <v>4</v>
      </c>
      <c r="BG4">
        <f t="shared" si="0"/>
        <v>4</v>
      </c>
      <c r="BH4">
        <f t="shared" si="0"/>
        <v>4</v>
      </c>
      <c r="BI4">
        <f t="shared" si="0"/>
        <v>4</v>
      </c>
      <c r="BJ4">
        <f t="shared" si="0"/>
        <v>5</v>
      </c>
      <c r="BK4">
        <f t="shared" si="0"/>
        <v>5</v>
      </c>
      <c r="BL4">
        <f t="shared" si="0"/>
        <v>5</v>
      </c>
      <c r="BM4">
        <f t="shared" si="0"/>
        <v>5</v>
      </c>
      <c r="BN4">
        <f t="shared" si="0"/>
        <v>5</v>
      </c>
      <c r="BO4">
        <f t="shared" si="0"/>
        <v>5</v>
      </c>
      <c r="BP4">
        <f t="shared" si="0"/>
        <v>5</v>
      </c>
      <c r="BQ4">
        <f t="shared" si="0"/>
        <v>5</v>
      </c>
      <c r="BR4">
        <f t="shared" si="0"/>
        <v>5</v>
      </c>
      <c r="BS4">
        <f t="shared" si="0"/>
        <v>5</v>
      </c>
      <c r="BT4">
        <f t="shared" si="0"/>
        <v>5</v>
      </c>
      <c r="BU4">
        <f t="shared" si="0"/>
        <v>5</v>
      </c>
      <c r="BV4">
        <f t="shared" ref="BV4" si="1">IF(BV5="","",ROUNDUP(BV5/12,0))</f>
        <v>6</v>
      </c>
      <c r="BW4">
        <f t="shared" ref="BW4" si="2">IF(BW5="","",ROUNDUP(BW5/12,0))</f>
        <v>6</v>
      </c>
      <c r="BX4">
        <f t="shared" ref="BX4" si="3">IF(BX5="","",ROUNDUP(BX5/12,0))</f>
        <v>6</v>
      </c>
      <c r="BY4">
        <f t="shared" ref="BY4" si="4">IF(BY5="","",ROUNDUP(BY5/12,0))</f>
        <v>6</v>
      </c>
      <c r="BZ4">
        <f t="shared" ref="BZ4" si="5">IF(BZ5="","",ROUNDUP(BZ5/12,0))</f>
        <v>6</v>
      </c>
      <c r="CA4">
        <f t="shared" ref="CA4" si="6">IF(CA5="","",ROUNDUP(CA5/12,0))</f>
        <v>6</v>
      </c>
      <c r="CB4">
        <f t="shared" ref="CB4" si="7">IF(CB5="","",ROUNDUP(CB5/12,0))</f>
        <v>6</v>
      </c>
      <c r="CC4">
        <f t="shared" ref="CC4" si="8">IF(CC5="","",ROUNDUP(CC5/12,0))</f>
        <v>6</v>
      </c>
      <c r="CD4">
        <f t="shared" ref="CD4" si="9">IF(CD5="","",ROUNDUP(CD5/12,0))</f>
        <v>6</v>
      </c>
      <c r="CE4">
        <f t="shared" ref="CE4" si="10">IF(CE5="","",ROUNDUP(CE5/12,0))</f>
        <v>6</v>
      </c>
      <c r="CF4">
        <f t="shared" ref="CF4" si="11">IF(CF5="","",ROUNDUP(CF5/12,0))</f>
        <v>6</v>
      </c>
      <c r="CG4">
        <f t="shared" ref="CG4" si="12">IF(CG5="","",ROUNDUP(CG5/12,0))</f>
        <v>6</v>
      </c>
    </row>
    <row r="5" spans="1:89" x14ac:dyDescent="0.2">
      <c r="B5" t="s">
        <v>264</v>
      </c>
      <c r="C5" s="83">
        <v>150</v>
      </c>
      <c r="L5" t="s">
        <v>249</v>
      </c>
      <c r="M5">
        <v>0</v>
      </c>
      <c r="N5">
        <f>IF(M5&gt;=Assumption!$D$4+12,"",M5+1)</f>
        <v>1</v>
      </c>
      <c r="O5">
        <f>IF(N5&gt;=Assumption!$D$4+12,"",N5+1)</f>
        <v>2</v>
      </c>
      <c r="P5">
        <f>IF(O5&gt;=Assumption!$D$4+12,"",O5+1)</f>
        <v>3</v>
      </c>
      <c r="Q5">
        <f>IF(P5&gt;=Assumption!$D$4+12,"",P5+1)</f>
        <v>4</v>
      </c>
      <c r="R5">
        <f>IF(Q5&gt;=Assumption!$D$4+12,"",Q5+1)</f>
        <v>5</v>
      </c>
      <c r="S5">
        <f>IF(R5&gt;=Assumption!$D$4+12,"",R5+1)</f>
        <v>6</v>
      </c>
      <c r="T5">
        <f>IF(S5&gt;=Assumption!$D$4+12,"",S5+1)</f>
        <v>7</v>
      </c>
      <c r="U5">
        <f>IF(T5&gt;=Assumption!$D$4+12,"",T5+1)</f>
        <v>8</v>
      </c>
      <c r="V5">
        <f>IF(U5&gt;=Assumption!$D$4+12,"",U5+1)</f>
        <v>9</v>
      </c>
      <c r="W5">
        <f>IF(V5&gt;=Assumption!$D$4+12,"",V5+1)</f>
        <v>10</v>
      </c>
      <c r="X5">
        <f>IF(W5&gt;=Assumption!$D$4+12,"",W5+1)</f>
        <v>11</v>
      </c>
      <c r="Y5">
        <f>IF(X5&gt;=Assumption!$D$4+12,"",X5+1)</f>
        <v>12</v>
      </c>
      <c r="Z5">
        <f>IF(Y5&gt;=Assumption!$D$4+12,"",Y5+1)</f>
        <v>13</v>
      </c>
      <c r="AA5">
        <f>IF(Z5&gt;=Assumption!$D$4+12,"",Z5+1)</f>
        <v>14</v>
      </c>
      <c r="AB5">
        <f>IF(AA5&gt;=Assumption!$D$4+12,"",AA5+1)</f>
        <v>15</v>
      </c>
      <c r="AC5">
        <f>IF(AB5&gt;=Assumption!$D$4+12,"",AB5+1)</f>
        <v>16</v>
      </c>
      <c r="AD5">
        <f>IF(AC5&gt;=Assumption!$D$4+12,"",AC5+1)</f>
        <v>17</v>
      </c>
      <c r="AE5">
        <f>IF(AD5&gt;=Assumption!$D$4+12,"",AD5+1)</f>
        <v>18</v>
      </c>
      <c r="AF5">
        <f>IF(AE5&gt;=Assumption!$D$4+12,"",AE5+1)</f>
        <v>19</v>
      </c>
      <c r="AG5">
        <f>IF(AF5&gt;=Assumption!$D$4+12,"",AF5+1)</f>
        <v>20</v>
      </c>
      <c r="AH5">
        <f>IF(AG5&gt;=Assumption!$D$4+12,"",AG5+1)</f>
        <v>21</v>
      </c>
      <c r="AI5">
        <f>IF(AH5&gt;=Assumption!$D$4+12,"",AH5+1)</f>
        <v>22</v>
      </c>
      <c r="AJ5">
        <f>IF(AI5&gt;=Assumption!$D$4+12,"",AI5+1)</f>
        <v>23</v>
      </c>
      <c r="AK5">
        <f>IF(AJ5&gt;=Assumption!$D$4+12,"",AJ5+1)</f>
        <v>24</v>
      </c>
      <c r="AL5">
        <f>IF(AK5&gt;=Assumption!$D$4+12,"",AK5+1)</f>
        <v>25</v>
      </c>
      <c r="AM5">
        <f>IF(AL5&gt;=Assumption!$D$4+12,"",AL5+1)</f>
        <v>26</v>
      </c>
      <c r="AN5">
        <f>IF(AM5&gt;=Assumption!$D$4+12,"",AM5+1)</f>
        <v>27</v>
      </c>
      <c r="AO5">
        <f>IF(AN5&gt;=Assumption!$D$4+12,"",AN5+1)</f>
        <v>28</v>
      </c>
      <c r="AP5">
        <f>IF(AO5&gt;=Assumption!$D$4+12,"",AO5+1)</f>
        <v>29</v>
      </c>
      <c r="AQ5">
        <f>IF(AP5&gt;=Assumption!$D$4+12,"",AP5+1)</f>
        <v>30</v>
      </c>
      <c r="AR5">
        <f>IF(AQ5&gt;=Assumption!$D$4+12,"",AQ5+1)</f>
        <v>31</v>
      </c>
      <c r="AS5">
        <f>IF(AR5&gt;=Assumption!$D$4+12,"",AR5+1)</f>
        <v>32</v>
      </c>
      <c r="AT5">
        <f>IF(AS5&gt;=Assumption!$D$4+12,"",AS5+1)</f>
        <v>33</v>
      </c>
      <c r="AU5">
        <f>IF(AT5&gt;=Assumption!$D$4+12,"",AT5+1)</f>
        <v>34</v>
      </c>
      <c r="AV5">
        <f>IF(AU5&gt;=Assumption!$D$4+12,"",AU5+1)</f>
        <v>35</v>
      </c>
      <c r="AW5">
        <f>IF(AV5&gt;=Assumption!$D$4+12,"",AV5+1)</f>
        <v>36</v>
      </c>
      <c r="AX5">
        <f>IF(AW5&gt;=Assumption!$D$4+12,"",AW5+1)</f>
        <v>37</v>
      </c>
      <c r="AY5">
        <f>IF(AX5&gt;=Assumption!$D$4+12,"",AX5+1)</f>
        <v>38</v>
      </c>
      <c r="AZ5">
        <f>IF(AY5&gt;=Assumption!$D$4+12,"",AY5+1)</f>
        <v>39</v>
      </c>
      <c r="BA5">
        <f>IF(AZ5&gt;=Assumption!$D$4+12,"",AZ5+1)</f>
        <v>40</v>
      </c>
      <c r="BB5">
        <f>IF(BA5&gt;=Assumption!$D$4+12,"",BA5+1)</f>
        <v>41</v>
      </c>
      <c r="BC5">
        <f>IF(BB5&gt;=Assumption!$D$4+12,"",BB5+1)</f>
        <v>42</v>
      </c>
      <c r="BD5">
        <f>IF(BC5&gt;=Assumption!$D$4+12,"",BC5+1)</f>
        <v>43</v>
      </c>
      <c r="BE5">
        <f>IF(BD5&gt;=Assumption!$D$4+12,"",BD5+1)</f>
        <v>44</v>
      </c>
      <c r="BF5">
        <f>IF(BE5&gt;=Assumption!$D$4+12,"",BE5+1)</f>
        <v>45</v>
      </c>
      <c r="BG5">
        <f>IF(BF5&gt;=Assumption!$D$4+12,"",BF5+1)</f>
        <v>46</v>
      </c>
      <c r="BH5">
        <f>IF(BG5&gt;=Assumption!$D$4+12,"",BG5+1)</f>
        <v>47</v>
      </c>
      <c r="BI5">
        <f>IF(BH5&gt;=Assumption!$D$4+12,"",BH5+1)</f>
        <v>48</v>
      </c>
      <c r="BJ5">
        <f>IF(BI5&gt;=Assumption!$D$4+12,"",BI5+1)</f>
        <v>49</v>
      </c>
      <c r="BK5">
        <f>IF(BJ5&gt;=Assumption!$D$4+12,"",BJ5+1)</f>
        <v>50</v>
      </c>
      <c r="BL5">
        <f>IF(BK5&gt;=Assumption!$D$4+12,"",BK5+1)</f>
        <v>51</v>
      </c>
      <c r="BM5">
        <f>IF(BL5&gt;=Assumption!$D$4+12,"",BL5+1)</f>
        <v>52</v>
      </c>
      <c r="BN5">
        <f>IF(BM5&gt;=Assumption!$D$4+12,"",BM5+1)</f>
        <v>53</v>
      </c>
      <c r="BO5">
        <f>IF(BN5&gt;=Assumption!$D$4+12,"",BN5+1)</f>
        <v>54</v>
      </c>
      <c r="BP5">
        <f>IF(BO5&gt;=Assumption!$D$4+12,"",BO5+1)</f>
        <v>55</v>
      </c>
      <c r="BQ5">
        <f>IF(BP5&gt;=Assumption!$D$4+12,"",BP5+1)</f>
        <v>56</v>
      </c>
      <c r="BR5">
        <f>IF(BQ5&gt;=Assumption!$D$4+12,"",BQ5+1)</f>
        <v>57</v>
      </c>
      <c r="BS5">
        <f>IF(BR5&gt;=Assumption!$D$4+12,"",BR5+1)</f>
        <v>58</v>
      </c>
      <c r="BT5">
        <f>IF(BS5&gt;=Assumption!$D$4+12,"",BS5+1)</f>
        <v>59</v>
      </c>
      <c r="BU5">
        <f>IF(BT5&gt;=Assumption!$D$4+12,"",BT5+1)</f>
        <v>60</v>
      </c>
      <c r="BV5">
        <f>IF(BU5&gt;=Assumption!$D$4+12,"",BU5+1)</f>
        <v>61</v>
      </c>
      <c r="BW5">
        <f>IF(BV5&gt;=Assumption!$D$4+12,"",BV5+1)</f>
        <v>62</v>
      </c>
      <c r="BX5">
        <f>IF(BW5&gt;=Assumption!$D$4+12,"",BW5+1)</f>
        <v>63</v>
      </c>
      <c r="BY5">
        <f>IF(BX5&gt;=Assumption!$D$4+12,"",BX5+1)</f>
        <v>64</v>
      </c>
      <c r="BZ5">
        <f>IF(BY5&gt;=Assumption!$D$4+12,"",BY5+1)</f>
        <v>65</v>
      </c>
      <c r="CA5">
        <f>IF(BZ5&gt;=Assumption!$D$4+12,"",BZ5+1)</f>
        <v>66</v>
      </c>
      <c r="CB5">
        <f>IF(CA5&gt;=Assumption!$D$4+12,"",CA5+1)</f>
        <v>67</v>
      </c>
      <c r="CC5">
        <f>IF(CB5&gt;=Assumption!$D$4+12,"",CB5+1)</f>
        <v>68</v>
      </c>
      <c r="CD5">
        <f>IF(CC5&gt;=Assumption!$D$4+12,"",CC5+1)</f>
        <v>69</v>
      </c>
      <c r="CE5">
        <f>IF(CD5&gt;=Assumption!$D$4+12,"",CD5+1)</f>
        <v>70</v>
      </c>
      <c r="CF5">
        <f>IF(CE5&gt;=Assumption!$D$4+12,"",CE5+1)</f>
        <v>71</v>
      </c>
      <c r="CG5">
        <f>IF(CF5&gt;=Assumption!$D$4+12,"",CF5+1)</f>
        <v>72</v>
      </c>
    </row>
    <row r="6" spans="1:89" s="39" customFormat="1" x14ac:dyDescent="0.2">
      <c r="A6"/>
      <c r="B6" t="s">
        <v>259</v>
      </c>
      <c r="C6" t="s">
        <v>261</v>
      </c>
      <c r="D6" s="42" t="s">
        <v>267</v>
      </c>
      <c r="E6" s="42"/>
      <c r="F6" s="43">
        <v>0.06</v>
      </c>
      <c r="G6" s="42" t="s">
        <v>268</v>
      </c>
      <c r="H6" s="43">
        <v>0.03</v>
      </c>
      <c r="L6" t="s">
        <v>16</v>
      </c>
      <c r="M6" s="39">
        <f>Assumption!D3</f>
        <v>44256</v>
      </c>
      <c r="N6" s="39">
        <f>IF(N$5="","",EOMONTH($M$6,N$5-1))</f>
        <v>44286</v>
      </c>
      <c r="O6" s="39">
        <f t="shared" ref="O6:BZ6" si="13">IF(O$5="","",EOMONTH($M$6,O$5-1))</f>
        <v>44316</v>
      </c>
      <c r="P6" s="39">
        <f t="shared" si="13"/>
        <v>44347</v>
      </c>
      <c r="Q6" s="39">
        <f t="shared" si="13"/>
        <v>44377</v>
      </c>
      <c r="R6" s="39">
        <f t="shared" si="13"/>
        <v>44408</v>
      </c>
      <c r="S6" s="39">
        <f t="shared" si="13"/>
        <v>44439</v>
      </c>
      <c r="T6" s="39">
        <f t="shared" si="13"/>
        <v>44469</v>
      </c>
      <c r="U6" s="39">
        <f t="shared" si="13"/>
        <v>44500</v>
      </c>
      <c r="V6" s="39">
        <f t="shared" si="13"/>
        <v>44530</v>
      </c>
      <c r="W6" s="39">
        <f t="shared" si="13"/>
        <v>44561</v>
      </c>
      <c r="X6" s="39">
        <f t="shared" si="13"/>
        <v>44592</v>
      </c>
      <c r="Y6" s="39">
        <f t="shared" si="13"/>
        <v>44620</v>
      </c>
      <c r="Z6" s="39">
        <f t="shared" si="13"/>
        <v>44651</v>
      </c>
      <c r="AA6" s="39">
        <f t="shared" si="13"/>
        <v>44681</v>
      </c>
      <c r="AB6" s="39">
        <f t="shared" si="13"/>
        <v>44712</v>
      </c>
      <c r="AC6" s="39">
        <f t="shared" si="13"/>
        <v>44742</v>
      </c>
      <c r="AD6" s="39">
        <f t="shared" si="13"/>
        <v>44773</v>
      </c>
      <c r="AE6" s="39">
        <f t="shared" si="13"/>
        <v>44804</v>
      </c>
      <c r="AF6" s="39">
        <f t="shared" si="13"/>
        <v>44834</v>
      </c>
      <c r="AG6" s="39">
        <f t="shared" si="13"/>
        <v>44865</v>
      </c>
      <c r="AH6" s="39">
        <f t="shared" si="13"/>
        <v>44895</v>
      </c>
      <c r="AI6" s="39">
        <f t="shared" si="13"/>
        <v>44926</v>
      </c>
      <c r="AJ6" s="39">
        <f t="shared" si="13"/>
        <v>44957</v>
      </c>
      <c r="AK6" s="39">
        <f t="shared" si="13"/>
        <v>44985</v>
      </c>
      <c r="AL6" s="39">
        <f t="shared" si="13"/>
        <v>45016</v>
      </c>
      <c r="AM6" s="39">
        <f t="shared" si="13"/>
        <v>45046</v>
      </c>
      <c r="AN6" s="39">
        <f t="shared" si="13"/>
        <v>45077</v>
      </c>
      <c r="AO6" s="39">
        <f t="shared" si="13"/>
        <v>45107</v>
      </c>
      <c r="AP6" s="39">
        <f t="shared" si="13"/>
        <v>45138</v>
      </c>
      <c r="AQ6" s="39">
        <f t="shared" si="13"/>
        <v>45169</v>
      </c>
      <c r="AR6" s="39">
        <f t="shared" si="13"/>
        <v>45199</v>
      </c>
      <c r="AS6" s="39">
        <f t="shared" si="13"/>
        <v>45230</v>
      </c>
      <c r="AT6" s="39">
        <f t="shared" si="13"/>
        <v>45260</v>
      </c>
      <c r="AU6" s="39">
        <f t="shared" si="13"/>
        <v>45291</v>
      </c>
      <c r="AV6" s="39">
        <f t="shared" si="13"/>
        <v>45322</v>
      </c>
      <c r="AW6" s="39">
        <f t="shared" si="13"/>
        <v>45351</v>
      </c>
      <c r="AX6" s="39">
        <f t="shared" si="13"/>
        <v>45382</v>
      </c>
      <c r="AY6" s="39">
        <f t="shared" si="13"/>
        <v>45412</v>
      </c>
      <c r="AZ6" s="39">
        <f t="shared" si="13"/>
        <v>45443</v>
      </c>
      <c r="BA6" s="39">
        <f t="shared" si="13"/>
        <v>45473</v>
      </c>
      <c r="BB6" s="39">
        <f t="shared" si="13"/>
        <v>45504</v>
      </c>
      <c r="BC6" s="39">
        <f t="shared" si="13"/>
        <v>45535</v>
      </c>
      <c r="BD6" s="39">
        <f t="shared" si="13"/>
        <v>45565</v>
      </c>
      <c r="BE6" s="39">
        <f t="shared" si="13"/>
        <v>45596</v>
      </c>
      <c r="BF6" s="39">
        <f t="shared" si="13"/>
        <v>45626</v>
      </c>
      <c r="BG6" s="39">
        <f t="shared" si="13"/>
        <v>45657</v>
      </c>
      <c r="BH6" s="39">
        <f t="shared" si="13"/>
        <v>45688</v>
      </c>
      <c r="BI6" s="39">
        <f t="shared" si="13"/>
        <v>45716</v>
      </c>
      <c r="BJ6" s="39">
        <f t="shared" si="13"/>
        <v>45747</v>
      </c>
      <c r="BK6" s="39">
        <f t="shared" si="13"/>
        <v>45777</v>
      </c>
      <c r="BL6" s="39">
        <f t="shared" si="13"/>
        <v>45808</v>
      </c>
      <c r="BM6" s="39">
        <f t="shared" si="13"/>
        <v>45838</v>
      </c>
      <c r="BN6" s="39">
        <f t="shared" si="13"/>
        <v>45869</v>
      </c>
      <c r="BO6" s="39">
        <f t="shared" si="13"/>
        <v>45900</v>
      </c>
      <c r="BP6" s="39">
        <f t="shared" si="13"/>
        <v>45930</v>
      </c>
      <c r="BQ6" s="39">
        <f t="shared" si="13"/>
        <v>45961</v>
      </c>
      <c r="BR6" s="39">
        <f t="shared" si="13"/>
        <v>45991</v>
      </c>
      <c r="BS6" s="39">
        <f t="shared" si="13"/>
        <v>46022</v>
      </c>
      <c r="BT6" s="39">
        <f t="shared" si="13"/>
        <v>46053</v>
      </c>
      <c r="BU6" s="39">
        <f t="shared" si="13"/>
        <v>46081</v>
      </c>
      <c r="BV6" s="39">
        <f t="shared" si="13"/>
        <v>46112</v>
      </c>
      <c r="BW6" s="39">
        <f t="shared" si="13"/>
        <v>46142</v>
      </c>
      <c r="BX6" s="39">
        <f t="shared" si="13"/>
        <v>46173</v>
      </c>
      <c r="BY6" s="39">
        <f t="shared" si="13"/>
        <v>46203</v>
      </c>
      <c r="BZ6" s="39">
        <f t="shared" si="13"/>
        <v>46234</v>
      </c>
      <c r="CA6" s="39">
        <f t="shared" ref="CA6:CG6" si="14">IF(CA$5="","",EOMONTH($M$6,CA$5-1))</f>
        <v>46265</v>
      </c>
      <c r="CB6" s="39">
        <f t="shared" si="14"/>
        <v>46295</v>
      </c>
      <c r="CC6" s="39">
        <f t="shared" si="14"/>
        <v>46326</v>
      </c>
      <c r="CD6" s="39">
        <f t="shared" si="14"/>
        <v>46356</v>
      </c>
      <c r="CE6" s="39">
        <f t="shared" si="14"/>
        <v>46387</v>
      </c>
      <c r="CF6" s="39">
        <f t="shared" si="14"/>
        <v>46418</v>
      </c>
      <c r="CG6" s="39">
        <f t="shared" si="14"/>
        <v>46446</v>
      </c>
    </row>
    <row r="7" spans="1:89" x14ac:dyDescent="0.2">
      <c r="B7" t="s">
        <v>263</v>
      </c>
      <c r="C7" s="83">
        <v>60</v>
      </c>
      <c r="D7" s="39"/>
      <c r="E7" s="39"/>
    </row>
    <row r="8" spans="1:89" x14ac:dyDescent="0.2">
      <c r="B8" t="s">
        <v>262</v>
      </c>
      <c r="C8" s="83">
        <v>5.95</v>
      </c>
      <c r="D8" s="39"/>
      <c r="E8" s="39"/>
      <c r="L8" t="s">
        <v>599</v>
      </c>
      <c r="M8" s="198" cm="1">
        <f t="array" ref="M8">IF(M$6="","",SUMPRODUCT(--(M$12:M$26&gt;0),$C$12:$C$26)/$C$28)</f>
        <v>0.61941251596424007</v>
      </c>
      <c r="N8" s="198" cm="1">
        <f t="array" ref="N8">IF(N$6="","",SUMPRODUCT(--(N$12:N$26&gt;0),$C$12:$C$26)/$C$28)</f>
        <v>0.61941251596424007</v>
      </c>
      <c r="O8" s="198" cm="1">
        <f t="array" ref="O8">IF(O$6="","",SUMPRODUCT(--(O$12:O$26&gt;0),$C$12:$C$26)/$C$28)</f>
        <v>0.61941251596424007</v>
      </c>
      <c r="P8" s="198" cm="1">
        <f t="array" ref="P8">IF(P$6="","",SUMPRODUCT(--(P$12:P$26&gt;0),$C$12:$C$26)/$C$28)</f>
        <v>0.61941251596424007</v>
      </c>
      <c r="Q8" s="198" cm="1">
        <f t="array" ref="Q8">IF(Q$6="","",SUMPRODUCT(--(Q$12:Q$26&gt;0),$C$12:$C$26)/$C$28)</f>
        <v>0.61941251596424007</v>
      </c>
      <c r="R8" s="198" cm="1">
        <f t="array" ref="R8">IF(R$6="","",SUMPRODUCT(--(R$12:R$26&gt;0),$C$12:$C$26)/$C$28)</f>
        <v>0.61941251596424007</v>
      </c>
      <c r="S8" s="198" cm="1">
        <f t="array" ref="S8">IF(S$6="","",SUMPRODUCT(--(S$12:S$26&gt;0),$C$12:$C$26)/$C$28)</f>
        <v>0.61941251596424007</v>
      </c>
      <c r="T8" s="198" cm="1">
        <f t="array" ref="T8">IF(T$6="","",SUMPRODUCT(--(T$12:T$26&gt;0),$C$12:$C$26)/$C$28)</f>
        <v>0.61941251596424007</v>
      </c>
      <c r="U8" s="198" cm="1">
        <f t="array" ref="U8">IF(U$6="","",SUMPRODUCT(--(U$12:U$26&gt;0),$C$12:$C$26)/$C$28)</f>
        <v>0.61941251596424007</v>
      </c>
      <c r="V8" s="198" cm="1">
        <f t="array" ref="V8">IF(V$6="","",SUMPRODUCT(--(V$12:V$26&gt;0),$C$12:$C$26)/$C$28)</f>
        <v>0.61941251596424007</v>
      </c>
      <c r="W8" s="198" cm="1">
        <f t="array" ref="W8">IF(W$6="","",SUMPRODUCT(--(W$12:W$26&gt;0),$C$12:$C$26)/$C$28)</f>
        <v>0.669220945083014</v>
      </c>
      <c r="X8" s="198" cm="1">
        <f t="array" ref="X8">IF(X$6="","",SUMPRODUCT(--(X$12:X$26&gt;0),$C$12:$C$26)/$C$28)</f>
        <v>0.669220945083014</v>
      </c>
      <c r="Y8" s="198" cm="1">
        <f t="array" ref="Y8">IF(Y$6="","",SUMPRODUCT(--(Y$12:Y$26&gt;0),$C$12:$C$26)/$C$28)</f>
        <v>0.73946360153256707</v>
      </c>
      <c r="Z8" s="198" cm="1">
        <f t="array" ref="Z8">IF(Z$6="","",SUMPRODUCT(--(Z$12:Z$26&gt;0),$C$12:$C$26)/$C$28)</f>
        <v>0.73946360153256707</v>
      </c>
      <c r="AA8" s="198" cm="1">
        <f t="array" ref="AA8">IF(AA$6="","",SUMPRODUCT(--(AA$12:AA$26&gt;0),$C$12:$C$26)/$C$28)</f>
        <v>0.73946360153256707</v>
      </c>
      <c r="AB8" s="198" cm="1">
        <f t="array" ref="AB8">IF(AB$6="","",SUMPRODUCT(--(AB$12:AB$26&gt;0),$C$12:$C$26)/$C$28)</f>
        <v>0.73946360153256707</v>
      </c>
      <c r="AC8" s="198" cm="1">
        <f t="array" ref="AC8">IF(AC$6="","",SUMPRODUCT(--(AC$12:AC$26&gt;0),$C$12:$C$26)/$C$28)</f>
        <v>0.73946360153256707</v>
      </c>
      <c r="AD8" s="198" cm="1">
        <f t="array" ref="AD8">IF(AD$6="","",SUMPRODUCT(--(AD$12:AD$26&gt;0),$C$12:$C$26)/$C$28)</f>
        <v>0.73946360153256707</v>
      </c>
      <c r="AE8" s="198" cm="1">
        <f t="array" ref="AE8">IF(AE$6="","",SUMPRODUCT(--(AE$12:AE$26&gt;0),$C$12:$C$26)/$C$28)</f>
        <v>0.73946360153256707</v>
      </c>
      <c r="AF8" s="198" cm="1">
        <f t="array" ref="AF8">IF(AF$6="","",SUMPRODUCT(--(AF$12:AF$26&gt;0),$C$12:$C$26)/$C$28)</f>
        <v>0.87484035759897827</v>
      </c>
      <c r="AG8" s="198" cm="1">
        <f t="array" ref="AG8">IF(AG$6="","",SUMPRODUCT(--(AG$12:AG$26&gt;0),$C$12:$C$26)/$C$28)</f>
        <v>0.87484035759897827</v>
      </c>
      <c r="AH8" s="198" cm="1">
        <f t="array" ref="AH8">IF(AH$6="","",SUMPRODUCT(--(AH$12:AH$26&gt;0),$C$12:$C$26)/$C$28)</f>
        <v>1</v>
      </c>
      <c r="AI8" s="198" cm="1">
        <f t="array" ref="AI8">IF(AI$6="","",SUMPRODUCT(--(AI$12:AI$26&gt;0),$C$12:$C$26)/$C$28)</f>
        <v>1</v>
      </c>
      <c r="AJ8" s="198" cm="1">
        <f t="array" ref="AJ8">IF(AJ$6="","",SUMPRODUCT(--(AJ$12:AJ$26&gt;0),$C$12:$C$26)/$C$28)</f>
        <v>1</v>
      </c>
      <c r="AK8" s="198" cm="1">
        <f t="array" ref="AK8">IF(AK$6="","",SUMPRODUCT(--(AK$12:AK$26&gt;0),$C$12:$C$26)/$C$28)</f>
        <v>1</v>
      </c>
      <c r="AL8" s="198" cm="1">
        <f t="array" ref="AL8">IF(AL$6="","",SUMPRODUCT(--(AL$12:AL$26&gt;0),$C$12:$C$26)/$C$28)</f>
        <v>1</v>
      </c>
      <c r="AM8" s="198" cm="1">
        <f t="array" ref="AM8">IF(AM$6="","",SUMPRODUCT(--(AM$12:AM$26&gt;0),$C$12:$C$26)/$C$28)</f>
        <v>1</v>
      </c>
      <c r="AN8" s="198" cm="1">
        <f t="array" ref="AN8">IF(AN$6="","",SUMPRODUCT(--(AN$12:AN$26&gt;0),$C$12:$C$26)/$C$28)</f>
        <v>1</v>
      </c>
      <c r="AO8" s="198" cm="1">
        <f t="array" ref="AO8">IF(AO$6="","",SUMPRODUCT(--(AO$12:AO$26&gt;0),$C$12:$C$26)/$C$28)</f>
        <v>1</v>
      </c>
      <c r="AP8" s="198" cm="1">
        <f t="array" ref="AP8">IF(AP$6="","",SUMPRODUCT(--(AP$12:AP$26&gt;0),$C$12:$C$26)/$C$28)</f>
        <v>1</v>
      </c>
      <c r="AQ8" s="198" cm="1">
        <f t="array" ref="AQ8">IF(AQ$6="","",SUMPRODUCT(--(AQ$12:AQ$26&gt;0),$C$12:$C$26)/$C$28)</f>
        <v>1</v>
      </c>
      <c r="AR8" s="198" cm="1">
        <f t="array" ref="AR8">IF(AR$6="","",SUMPRODUCT(--(AR$12:AR$26&gt;0),$C$12:$C$26)/$C$28)</f>
        <v>1</v>
      </c>
      <c r="AS8" s="198" cm="1">
        <f t="array" ref="AS8">IF(AS$6="","",SUMPRODUCT(--(AS$12:AS$26&gt;0),$C$12:$C$26)/$C$28)</f>
        <v>1</v>
      </c>
      <c r="AT8" s="198" cm="1">
        <f t="array" ref="AT8">IF(AT$6="","",SUMPRODUCT(--(AT$12:AT$26&gt;0),$C$12:$C$26)/$C$28)</f>
        <v>1</v>
      </c>
      <c r="AU8" s="198" cm="1">
        <f t="array" ref="AU8">IF(AU$6="","",SUMPRODUCT(--(AU$12:AU$26&gt;0),$C$12:$C$26)/$C$28)</f>
        <v>1</v>
      </c>
      <c r="AV8" s="198" cm="1">
        <f t="array" ref="AV8">IF(AV$6="","",SUMPRODUCT(--(AV$12:AV$26&gt;0),$C$12:$C$26)/$C$28)</f>
        <v>1</v>
      </c>
      <c r="AW8" s="198" cm="1">
        <f t="array" ref="AW8">IF(AW$6="","",SUMPRODUCT(--(AW$12:AW$26&gt;0),$C$12:$C$26)/$C$28)</f>
        <v>1</v>
      </c>
      <c r="AX8" s="198" cm="1">
        <f t="array" ref="AX8">IF(AX$6="","",SUMPRODUCT(--(AX$12:AX$26&gt;0),$C$12:$C$26)/$C$28)</f>
        <v>1</v>
      </c>
      <c r="AY8" s="198" cm="1">
        <f t="array" ref="AY8">IF(AY$6="","",SUMPRODUCT(--(AY$12:AY$26&gt;0),$C$12:$C$26)/$C$28)</f>
        <v>1</v>
      </c>
      <c r="AZ8" s="198" cm="1">
        <f t="array" ref="AZ8">IF(AZ$6="","",SUMPRODUCT(--(AZ$12:AZ$26&gt;0),$C$12:$C$26)/$C$28)</f>
        <v>1</v>
      </c>
      <c r="BA8" s="198" cm="1">
        <f t="array" ref="BA8">IF(BA$6="","",SUMPRODUCT(--(BA$12:BA$26&gt;0),$C$12:$C$26)/$C$28)</f>
        <v>1</v>
      </c>
      <c r="BB8" s="198" cm="1">
        <f t="array" ref="BB8">IF(BB$6="","",SUMPRODUCT(--(BB$12:BB$26&gt;0),$C$12:$C$26)/$C$28)</f>
        <v>1</v>
      </c>
      <c r="BC8" s="198" cm="1">
        <f t="array" ref="BC8">IF(BC$6="","",SUMPRODUCT(--(BC$12:BC$26&gt;0),$C$12:$C$26)/$C$28)</f>
        <v>1</v>
      </c>
      <c r="BD8" s="198" cm="1">
        <f t="array" ref="BD8">IF(BD$6="","",SUMPRODUCT(--(BD$12:BD$26&gt;0),$C$12:$C$26)/$C$28)</f>
        <v>1</v>
      </c>
      <c r="BE8" s="198" cm="1">
        <f t="array" ref="BE8">IF(BE$6="","",SUMPRODUCT(--(BE$12:BE$26&gt;0),$C$12:$C$26)/$C$28)</f>
        <v>1</v>
      </c>
      <c r="BF8" s="198" cm="1">
        <f t="array" ref="BF8">IF(BF$6="","",SUMPRODUCT(--(BF$12:BF$26&gt;0),$C$12:$C$26)/$C$28)</f>
        <v>1</v>
      </c>
      <c r="BG8" s="198" cm="1">
        <f t="array" ref="BG8">IF(BG$6="","",SUMPRODUCT(--(BG$12:BG$26&gt;0),$C$12:$C$26)/$C$28)</f>
        <v>1</v>
      </c>
      <c r="BH8" s="198" cm="1">
        <f t="array" ref="BH8">IF(BH$6="","",SUMPRODUCT(--(BH$12:BH$26&gt;0),$C$12:$C$26)/$C$28)</f>
        <v>1</v>
      </c>
      <c r="BI8" s="198" cm="1">
        <f t="array" ref="BI8">IF(BI$6="","",SUMPRODUCT(--(BI$12:BI$26&gt;0),$C$12:$C$26)/$C$28)</f>
        <v>1</v>
      </c>
      <c r="BJ8" s="198" cm="1">
        <f t="array" ref="BJ8">IF(BJ$6="","",SUMPRODUCT(--(BJ$12:BJ$26&gt;0),$C$12:$C$26)/$C$28)</f>
        <v>1</v>
      </c>
      <c r="BK8" s="198" cm="1">
        <f t="array" ref="BK8">IF(BK$6="","",SUMPRODUCT(--(BK$12:BK$26&gt;0),$C$12:$C$26)/$C$28)</f>
        <v>1</v>
      </c>
      <c r="BL8" s="198" cm="1">
        <f t="array" ref="BL8">IF(BL$6="","",SUMPRODUCT(--(BL$12:BL$26&gt;0),$C$12:$C$26)/$C$28)</f>
        <v>1</v>
      </c>
      <c r="BM8" s="198" cm="1">
        <f t="array" ref="BM8">IF(BM$6="","",SUMPRODUCT(--(BM$12:BM$26&gt;0),$C$12:$C$26)/$C$28)</f>
        <v>1</v>
      </c>
      <c r="BN8" s="198" cm="1">
        <f t="array" ref="BN8">IF(BN$6="","",SUMPRODUCT(--(BN$12:BN$26&gt;0),$C$12:$C$26)/$C$28)</f>
        <v>1</v>
      </c>
      <c r="BO8" s="198" cm="1">
        <f t="array" ref="BO8">IF(BO$6="","",SUMPRODUCT(--(BO$12:BO$26&gt;0),$C$12:$C$26)/$C$28)</f>
        <v>1</v>
      </c>
      <c r="BP8" s="198" cm="1">
        <f t="array" ref="BP8">IF(BP$6="","",SUMPRODUCT(--(BP$12:BP$26&gt;0),$C$12:$C$26)/$C$28)</f>
        <v>1</v>
      </c>
      <c r="BQ8" s="198" cm="1">
        <f t="array" ref="BQ8">IF(BQ$6="","",SUMPRODUCT(--(BQ$12:BQ$26&gt;0),$C$12:$C$26)/$C$28)</f>
        <v>1</v>
      </c>
      <c r="BR8" s="198" cm="1">
        <f t="array" ref="BR8">IF(BR$6="","",SUMPRODUCT(--(BR$12:BR$26&gt;0),$C$12:$C$26)/$C$28)</f>
        <v>1</v>
      </c>
      <c r="BS8" s="198" cm="1">
        <f t="array" ref="BS8">IF(BS$6="","",SUMPRODUCT(--(BS$12:BS$26&gt;0),$C$12:$C$26)/$C$28)</f>
        <v>1</v>
      </c>
      <c r="BT8" s="198" cm="1">
        <f t="array" ref="BT8">IF(BT$6="","",SUMPRODUCT(--(BT$12:BT$26&gt;0),$C$12:$C$26)/$C$28)</f>
        <v>1</v>
      </c>
      <c r="BU8" s="198" cm="1">
        <f t="array" ref="BU8">IF(BU$6="","",SUMPRODUCT(--(BU$12:BU$26&gt;0),$C$12:$C$26)/$C$28)</f>
        <v>1</v>
      </c>
      <c r="BV8" s="198" cm="1">
        <f t="array" ref="BV8">IF(BV$6="","",SUMPRODUCT(--(BV$12:BV$26&gt;0),$C$12:$C$26)/$C$28)</f>
        <v>1</v>
      </c>
      <c r="BW8" s="198" cm="1">
        <f t="array" ref="BW8">IF(BW$6="","",SUMPRODUCT(--(BW$12:BW$26&gt;0),$C$12:$C$26)/$C$28)</f>
        <v>1</v>
      </c>
      <c r="BX8" s="198" cm="1">
        <f t="array" ref="BX8">IF(BX$6="","",SUMPRODUCT(--(BX$12:BX$26&gt;0),$C$12:$C$26)/$C$28)</f>
        <v>1</v>
      </c>
      <c r="BY8" s="198" cm="1">
        <f t="array" ref="BY8">IF(BY$6="","",SUMPRODUCT(--(BY$12:BY$26&gt;0),$C$12:$C$26)/$C$28)</f>
        <v>1</v>
      </c>
      <c r="BZ8" s="198" cm="1">
        <f t="array" ref="BZ8">IF(BZ$6="","",SUMPRODUCT(--(BZ$12:BZ$26&gt;0),$C$12:$C$26)/$C$28)</f>
        <v>1</v>
      </c>
      <c r="CA8" s="198" cm="1">
        <f t="array" ref="CA8">IF(CA$6="","",SUMPRODUCT(--(CA$12:CA$26&gt;0),$C$12:$C$26)/$C$28)</f>
        <v>1</v>
      </c>
      <c r="CB8" s="198" cm="1">
        <f t="array" ref="CB8">IF(CB$6="","",SUMPRODUCT(--(CB$12:CB$26&gt;0),$C$12:$C$26)/$C$28)</f>
        <v>1</v>
      </c>
      <c r="CC8" s="198" cm="1">
        <f t="array" ref="CC8">IF(CC$6="","",SUMPRODUCT(--(CC$12:CC$26&gt;0),$C$12:$C$26)/$C$28)</f>
        <v>1</v>
      </c>
      <c r="CD8" s="198" cm="1">
        <f t="array" ref="CD8">IF(CD$6="","",SUMPRODUCT(--(CD$12:CD$26&gt;0),$C$12:$C$26)/$C$28)</f>
        <v>1</v>
      </c>
      <c r="CE8" s="198" cm="1">
        <f t="array" ref="CE8">IF(CE$6="","",SUMPRODUCT(--(CE$12:CE$26&gt;0),$C$12:$C$26)/$C$28)</f>
        <v>0.97190293742017875</v>
      </c>
      <c r="CF8" s="198" cm="1">
        <f t="array" ref="CF8">IF(CF$6="","",SUMPRODUCT(--(CF$12:CF$26&gt;0),$C$12:$C$26)/$C$28)</f>
        <v>0.97190293742017875</v>
      </c>
      <c r="CG8" s="198" cm="1">
        <f t="array" ref="CG8">IF(CG$6="","",SUMPRODUCT(--(CG$12:CG$26&gt;0),$C$12:$C$26)/$C$28)</f>
        <v>0.97190293742017875</v>
      </c>
      <c r="CH8" s="198" t="str" cm="1">
        <f t="array" ref="CH8">IF(CH$6="","",SUMPRODUCT(--(CH$12:CH$26&gt;0),$C$12:$C$26)/$C$28)</f>
        <v/>
      </c>
      <c r="CI8" s="198" t="str" cm="1">
        <f t="array" ref="CI8">IF(CI$6="","",SUMPRODUCT(--(CI$12:CI$26&gt;0),$C$12:$C$26)/$C$28)</f>
        <v/>
      </c>
      <c r="CJ8" s="198" t="str" cm="1">
        <f t="array" ref="CJ8">IF(CJ$6="","",SUMPRODUCT(--(CJ$12:CJ$26&gt;0),$C$12:$C$26)/$C$28)</f>
        <v/>
      </c>
      <c r="CK8" s="198" t="str" cm="1">
        <f t="array" ref="CK8">IF(CK$6="","",SUMPRODUCT(--(CK$12:CK$26&gt;0),$C$12:$C$26)/$C$28)</f>
        <v/>
      </c>
    </row>
    <row r="9" spans="1:89" x14ac:dyDescent="0.2">
      <c r="B9" t="s">
        <v>255</v>
      </c>
      <c r="C9" s="84">
        <v>0.4</v>
      </c>
      <c r="D9" s="39"/>
      <c r="E9" s="39"/>
    </row>
    <row r="10" spans="1:89" x14ac:dyDescent="0.2">
      <c r="D10" s="39"/>
      <c r="E10" s="39"/>
    </row>
    <row r="11" spans="1:89" x14ac:dyDescent="0.2">
      <c r="B11" s="88" t="s">
        <v>251</v>
      </c>
      <c r="C11" s="88" t="s">
        <v>11</v>
      </c>
      <c r="D11" s="132" t="s">
        <v>252</v>
      </c>
      <c r="E11" s="25" t="s">
        <v>595</v>
      </c>
      <c r="F11" s="25" t="s">
        <v>254</v>
      </c>
      <c r="G11" s="25" t="s">
        <v>4</v>
      </c>
      <c r="H11" s="88" t="s">
        <v>255</v>
      </c>
      <c r="I11" s="88" t="s">
        <v>256</v>
      </c>
      <c r="J11" s="24"/>
      <c r="K11" s="24"/>
      <c r="L11" s="25" t="s">
        <v>15</v>
      </c>
    </row>
    <row r="12" spans="1:89" x14ac:dyDescent="0.2">
      <c r="B12">
        <v>1</v>
      </c>
      <c r="C12" s="23">
        <f>INDEX('Rent Roll'!D:D,MATCH($B12,'Rent Roll'!$B:$B,0))</f>
        <v>3200</v>
      </c>
      <c r="D12" s="3">
        <f>INDEX('Rent Roll'!I:I,MATCH($B12,'Rent Roll'!$B:$B,0))</f>
        <v>6.19</v>
      </c>
      <c r="E12" s="39">
        <v>40848</v>
      </c>
      <c r="F12" s="39"/>
      <c r="G12" s="39">
        <f>INDEX('Rent Roll'!F:F,MATCH($B12,'Rent Roll'!$B:$B,0))</f>
        <v>44500</v>
      </c>
      <c r="H12" s="40">
        <f>$C$9</f>
        <v>0.4</v>
      </c>
      <c r="I12">
        <v>9</v>
      </c>
      <c r="L12">
        <f t="shared" ref="L12:L26" si="15">B12</f>
        <v>1</v>
      </c>
      <c r="M12" s="3">
        <f t="shared" ref="M12:AB26" si="16">IF(M$6="","",_xlfn.LET(_xlpm.p,M$6,_xlpm.sf,$C12,_xlpm.curpsf,$D12,_xlpm.start,$E12,_xlpm.reset,$F12,_xlpm.lend,$G12,_xlpm.renew,$H12,_xlpm.up,VALUE(SUBSTITUTE(LOWER($I12)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19808</v>
      </c>
      <c r="N12" s="3">
        <f t="shared" si="16"/>
        <v>19808</v>
      </c>
      <c r="O12" s="3">
        <f t="shared" si="16"/>
        <v>19808</v>
      </c>
      <c r="P12" s="3">
        <f t="shared" si="16"/>
        <v>19808</v>
      </c>
      <c r="Q12" s="3">
        <f t="shared" si="16"/>
        <v>19808</v>
      </c>
      <c r="R12" s="3">
        <f t="shared" si="16"/>
        <v>19808</v>
      </c>
      <c r="S12" s="3">
        <f t="shared" si="16"/>
        <v>19808</v>
      </c>
      <c r="T12" s="3">
        <f t="shared" si="16"/>
        <v>19808</v>
      </c>
      <c r="U12" s="3">
        <f t="shared" si="16"/>
        <v>19808</v>
      </c>
      <c r="V12" s="3">
        <f t="shared" si="16"/>
        <v>7616</v>
      </c>
      <c r="W12" s="3">
        <f t="shared" si="16"/>
        <v>7616</v>
      </c>
      <c r="X12" s="3">
        <f t="shared" si="16"/>
        <v>7616</v>
      </c>
      <c r="Y12" s="3">
        <f t="shared" si="16"/>
        <v>7616</v>
      </c>
      <c r="Z12" s="3">
        <f t="shared" si="16"/>
        <v>7616</v>
      </c>
      <c r="AA12" s="3">
        <f t="shared" si="16"/>
        <v>7616</v>
      </c>
      <c r="AB12" s="3">
        <f t="shared" si="16"/>
        <v>7616</v>
      </c>
      <c r="AC12" s="3">
        <f t="shared" ref="AC12:AR26" si="17">IF(AC$6="","",_xlfn.LET(_xlpm.p,AC$6,_xlpm.sf,$C12,_xlpm.curpsf,$D12,_xlpm.start,$E12,_xlpm.reset,$F12,_xlpm.lend,$G12,_xlpm.renew,$H12,_xlpm.up,VALUE(SUBSTITUTE(LOWER($I12)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7616</v>
      </c>
      <c r="AD12" s="3">
        <f t="shared" si="17"/>
        <v>7616</v>
      </c>
      <c r="AE12" s="3">
        <f t="shared" si="17"/>
        <v>19040</v>
      </c>
      <c r="AF12" s="3">
        <f t="shared" si="17"/>
        <v>19040</v>
      </c>
      <c r="AG12" s="3">
        <f t="shared" si="17"/>
        <v>19040</v>
      </c>
      <c r="AH12" s="3">
        <f t="shared" si="17"/>
        <v>19268.48</v>
      </c>
      <c r="AI12" s="3">
        <f t="shared" si="17"/>
        <v>19268.48</v>
      </c>
      <c r="AJ12" s="3">
        <f t="shared" si="17"/>
        <v>19268.48</v>
      </c>
      <c r="AK12" s="3">
        <f t="shared" si="17"/>
        <v>19268.48</v>
      </c>
      <c r="AL12" s="3">
        <f t="shared" si="17"/>
        <v>19268.48</v>
      </c>
      <c r="AM12" s="3">
        <f t="shared" si="17"/>
        <v>19268.48</v>
      </c>
      <c r="AN12" s="3">
        <f t="shared" si="17"/>
        <v>19268.48</v>
      </c>
      <c r="AO12" s="3">
        <f t="shared" si="17"/>
        <v>19268.48</v>
      </c>
      <c r="AP12" s="3">
        <f t="shared" si="17"/>
        <v>19268.48</v>
      </c>
      <c r="AQ12" s="3">
        <f t="shared" si="17"/>
        <v>19611.2</v>
      </c>
      <c r="AR12" s="3">
        <f t="shared" si="17"/>
        <v>19611.2</v>
      </c>
      <c r="AS12" s="3">
        <f t="shared" ref="AS12:BH26" si="18">IF(AS$6="","",_xlfn.LET(_xlpm.p,AS$6,_xlpm.sf,$C12,_xlpm.curpsf,$D12,_xlpm.start,$E12,_xlpm.reset,$F12,_xlpm.lend,$G12,_xlpm.renew,$H12,_xlpm.up,VALUE(SUBSTITUTE(LOWER($I12)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19611.2</v>
      </c>
      <c r="AT12" s="3">
        <f t="shared" si="18"/>
        <v>19846.5344</v>
      </c>
      <c r="AU12" s="3">
        <f t="shared" si="18"/>
        <v>19846.5344</v>
      </c>
      <c r="AV12" s="3">
        <f t="shared" si="18"/>
        <v>19846.5344</v>
      </c>
      <c r="AW12" s="3">
        <f t="shared" si="18"/>
        <v>19846.5344</v>
      </c>
      <c r="AX12" s="3">
        <f t="shared" si="18"/>
        <v>19846.5344</v>
      </c>
      <c r="AY12" s="3">
        <f t="shared" si="18"/>
        <v>19846.5344</v>
      </c>
      <c r="AZ12" s="3">
        <f t="shared" si="18"/>
        <v>19846.5344</v>
      </c>
      <c r="BA12" s="3">
        <f t="shared" si="18"/>
        <v>19846.5344</v>
      </c>
      <c r="BB12" s="3">
        <f t="shared" si="18"/>
        <v>19846.5344</v>
      </c>
      <c r="BC12" s="3">
        <f t="shared" si="18"/>
        <v>20199.536</v>
      </c>
      <c r="BD12" s="3">
        <f t="shared" si="18"/>
        <v>20199.536</v>
      </c>
      <c r="BE12" s="3">
        <f t="shared" si="18"/>
        <v>20199.536</v>
      </c>
      <c r="BF12" s="3">
        <f t="shared" si="18"/>
        <v>20441.930432000001</v>
      </c>
      <c r="BG12" s="3">
        <f t="shared" si="18"/>
        <v>20441.930432000001</v>
      </c>
      <c r="BH12" s="3">
        <f t="shared" si="18"/>
        <v>20441.930432000001</v>
      </c>
      <c r="BI12" s="3">
        <f t="shared" ref="BI12:BX26" si="19">IF(BI$6="","",_xlfn.LET(_xlpm.p,BI$6,_xlpm.sf,$C12,_xlpm.curpsf,$D12,_xlpm.start,$E12,_xlpm.reset,$F12,_xlpm.lend,$G12,_xlpm.renew,$H12,_xlpm.up,VALUE(SUBSTITUTE(LOWER($I12)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20441.930432000001</v>
      </c>
      <c r="BJ12" s="3">
        <f t="shared" si="19"/>
        <v>20441.930432000001</v>
      </c>
      <c r="BK12" s="3">
        <f t="shared" si="19"/>
        <v>20441.930432000001</v>
      </c>
      <c r="BL12" s="3">
        <f t="shared" si="19"/>
        <v>20441.930432000001</v>
      </c>
      <c r="BM12" s="3">
        <f t="shared" si="19"/>
        <v>20441.930432000001</v>
      </c>
      <c r="BN12" s="3">
        <f t="shared" si="19"/>
        <v>20441.930432000001</v>
      </c>
      <c r="BO12" s="3">
        <f t="shared" si="19"/>
        <v>20805.522079999999</v>
      </c>
      <c r="BP12" s="3">
        <f t="shared" si="19"/>
        <v>20805.522079999999</v>
      </c>
      <c r="BQ12" s="3">
        <f t="shared" si="19"/>
        <v>20805.522079999999</v>
      </c>
      <c r="BR12" s="3">
        <f t="shared" si="19"/>
        <v>21055.188344959999</v>
      </c>
      <c r="BS12" s="3">
        <f t="shared" si="19"/>
        <v>21055.188344959999</v>
      </c>
      <c r="BT12" s="3">
        <f t="shared" si="19"/>
        <v>21055.188344959999</v>
      </c>
      <c r="BU12" s="3">
        <f t="shared" si="19"/>
        <v>21055.188344959999</v>
      </c>
      <c r="BV12" s="3">
        <f t="shared" si="19"/>
        <v>21055.188344959999</v>
      </c>
      <c r="BW12" s="3">
        <f t="shared" si="19"/>
        <v>21055.188344959999</v>
      </c>
      <c r="BX12" s="3">
        <f t="shared" si="19"/>
        <v>21055.188344959999</v>
      </c>
      <c r="BY12" s="3">
        <f t="shared" ref="BY12:CK26" si="20">IF(BY$6="","",_xlfn.LET(_xlpm.p,BY$6,_xlpm.sf,$C12,_xlpm.curpsf,$D12,_xlpm.start,$E12,_xlpm.reset,$F12,_xlpm.lend,$G12,_xlpm.renew,$H12,_xlpm.up,VALUE(SUBSTITUTE(LOWER($I12)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21055.188344959999</v>
      </c>
      <c r="BZ12" s="3">
        <f t="shared" si="20"/>
        <v>21055.188344959999</v>
      </c>
      <c r="CA12" s="3">
        <f t="shared" si="20"/>
        <v>21429.687742399998</v>
      </c>
      <c r="CB12" s="3">
        <f t="shared" si="20"/>
        <v>21429.687742399998</v>
      </c>
      <c r="CC12" s="3">
        <f t="shared" si="20"/>
        <v>21429.687742399998</v>
      </c>
      <c r="CD12" s="3">
        <f t="shared" si="20"/>
        <v>12857.812645439999</v>
      </c>
      <c r="CE12" s="3">
        <f t="shared" si="20"/>
        <v>12857.812645439999</v>
      </c>
      <c r="CF12" s="3">
        <f t="shared" si="20"/>
        <v>12857.812645439999</v>
      </c>
      <c r="CG12" s="3">
        <f t="shared" si="20"/>
        <v>12857.812645439999</v>
      </c>
      <c r="CH12" s="3" t="str">
        <f t="shared" si="20"/>
        <v/>
      </c>
      <c r="CI12" s="3" t="str">
        <f t="shared" si="20"/>
        <v/>
      </c>
      <c r="CJ12" s="3" t="str">
        <f t="shared" si="20"/>
        <v/>
      </c>
      <c r="CK12" s="3" t="str">
        <f t="shared" si="20"/>
        <v/>
      </c>
    </row>
    <row r="13" spans="1:89" x14ac:dyDescent="0.2">
      <c r="B13">
        <v>2</v>
      </c>
      <c r="C13" s="23">
        <f>INDEX('Rent Roll'!D:D,MATCH($B13,'Rent Roll'!$B:$B,0))</f>
        <v>2250</v>
      </c>
      <c r="D13" s="3">
        <f>INDEX('Rent Roll'!I:I,MATCH($B13,'Rent Roll'!$B:$B,0))</f>
        <v>5.5</v>
      </c>
      <c r="E13" s="39">
        <v>43983</v>
      </c>
      <c r="F13" s="39">
        <v>44348</v>
      </c>
      <c r="G13" s="39">
        <f>INDEX('Rent Roll'!F:F,MATCH($B13,'Rent Roll'!$B:$B,0))</f>
        <v>46904</v>
      </c>
      <c r="H13" s="40">
        <f t="shared" ref="H13:H26" si="21">$C$9</f>
        <v>0.4</v>
      </c>
      <c r="I13">
        <v>9</v>
      </c>
      <c r="L13">
        <f t="shared" si="15"/>
        <v>2</v>
      </c>
      <c r="M13" s="3">
        <f t="shared" si="16"/>
        <v>12375</v>
      </c>
      <c r="N13" s="3">
        <f t="shared" si="16"/>
        <v>12375</v>
      </c>
      <c r="O13" s="3">
        <f t="shared" si="16"/>
        <v>12375</v>
      </c>
      <c r="P13" s="3">
        <f t="shared" si="16"/>
        <v>12375</v>
      </c>
      <c r="Q13" s="3">
        <f t="shared" si="16"/>
        <v>12746.25</v>
      </c>
      <c r="R13" s="3">
        <f t="shared" si="16"/>
        <v>12746.25</v>
      </c>
      <c r="S13" s="3">
        <f t="shared" si="16"/>
        <v>12746.25</v>
      </c>
      <c r="T13" s="3">
        <f t="shared" si="16"/>
        <v>12746.25</v>
      </c>
      <c r="U13" s="3">
        <f t="shared" si="16"/>
        <v>12746.25</v>
      </c>
      <c r="V13" s="3">
        <f t="shared" si="16"/>
        <v>12746.25</v>
      </c>
      <c r="W13" s="3">
        <f t="shared" si="16"/>
        <v>12746.25</v>
      </c>
      <c r="X13" s="3">
        <f t="shared" si="16"/>
        <v>12746.25</v>
      </c>
      <c r="Y13" s="3">
        <f t="shared" si="16"/>
        <v>12746.25</v>
      </c>
      <c r="Z13" s="3">
        <f t="shared" si="16"/>
        <v>12746.25</v>
      </c>
      <c r="AA13" s="3">
        <f t="shared" si="16"/>
        <v>12746.25</v>
      </c>
      <c r="AB13" s="3">
        <f t="shared" si="16"/>
        <v>12746.25</v>
      </c>
      <c r="AC13" s="3">
        <f t="shared" si="17"/>
        <v>13128.637499999999</v>
      </c>
      <c r="AD13" s="3">
        <f t="shared" si="17"/>
        <v>13128.637499999999</v>
      </c>
      <c r="AE13" s="3">
        <f t="shared" si="17"/>
        <v>13128.637499999999</v>
      </c>
      <c r="AF13" s="3">
        <f t="shared" si="17"/>
        <v>13128.637499999999</v>
      </c>
      <c r="AG13" s="3">
        <f t="shared" si="17"/>
        <v>13128.637499999999</v>
      </c>
      <c r="AH13" s="3">
        <f t="shared" si="17"/>
        <v>13128.637499999999</v>
      </c>
      <c r="AI13" s="3">
        <f t="shared" si="17"/>
        <v>13128.637499999999</v>
      </c>
      <c r="AJ13" s="3">
        <f t="shared" si="17"/>
        <v>13128.637499999999</v>
      </c>
      <c r="AK13" s="3">
        <f t="shared" si="17"/>
        <v>13128.637499999999</v>
      </c>
      <c r="AL13" s="3">
        <f t="shared" si="17"/>
        <v>13128.637499999999</v>
      </c>
      <c r="AM13" s="3">
        <f t="shared" si="17"/>
        <v>13128.637499999999</v>
      </c>
      <c r="AN13" s="3">
        <f t="shared" si="17"/>
        <v>13128.637499999999</v>
      </c>
      <c r="AO13" s="3">
        <f t="shared" si="17"/>
        <v>13522.496625</v>
      </c>
      <c r="AP13" s="3">
        <f t="shared" si="17"/>
        <v>13522.496625</v>
      </c>
      <c r="AQ13" s="3">
        <f t="shared" si="17"/>
        <v>13522.496625</v>
      </c>
      <c r="AR13" s="3">
        <f t="shared" si="17"/>
        <v>13522.496625</v>
      </c>
      <c r="AS13" s="3">
        <f t="shared" si="18"/>
        <v>13522.496625</v>
      </c>
      <c r="AT13" s="3">
        <f t="shared" si="18"/>
        <v>13522.496625</v>
      </c>
      <c r="AU13" s="3">
        <f t="shared" si="18"/>
        <v>13522.496625</v>
      </c>
      <c r="AV13" s="3">
        <f t="shared" si="18"/>
        <v>13522.496625</v>
      </c>
      <c r="AW13" s="3">
        <f t="shared" si="18"/>
        <v>13522.496625</v>
      </c>
      <c r="AX13" s="3">
        <f t="shared" si="18"/>
        <v>13522.496625</v>
      </c>
      <c r="AY13" s="3">
        <f t="shared" si="18"/>
        <v>13522.496625</v>
      </c>
      <c r="AZ13" s="3">
        <f t="shared" si="18"/>
        <v>13522.496625</v>
      </c>
      <c r="BA13" s="3">
        <f t="shared" si="18"/>
        <v>13928.171523749999</v>
      </c>
      <c r="BB13" s="3">
        <f t="shared" si="18"/>
        <v>13928.171523749999</v>
      </c>
      <c r="BC13" s="3">
        <f t="shared" si="18"/>
        <v>13928.171523749999</v>
      </c>
      <c r="BD13" s="3">
        <f t="shared" si="18"/>
        <v>13928.171523749999</v>
      </c>
      <c r="BE13" s="3">
        <f t="shared" si="18"/>
        <v>13928.171523749999</v>
      </c>
      <c r="BF13" s="3">
        <f t="shared" si="18"/>
        <v>13928.171523749999</v>
      </c>
      <c r="BG13" s="3">
        <f t="shared" si="18"/>
        <v>13928.171523749999</v>
      </c>
      <c r="BH13" s="3">
        <f t="shared" si="18"/>
        <v>13928.171523749999</v>
      </c>
      <c r="BI13" s="3">
        <f t="shared" si="19"/>
        <v>13928.171523749999</v>
      </c>
      <c r="BJ13" s="3">
        <f t="shared" si="19"/>
        <v>13928.171523749999</v>
      </c>
      <c r="BK13" s="3">
        <f t="shared" si="19"/>
        <v>13928.171523749999</v>
      </c>
      <c r="BL13" s="3">
        <f t="shared" si="19"/>
        <v>13928.171523749999</v>
      </c>
      <c r="BM13" s="3">
        <f t="shared" si="19"/>
        <v>14346.016669462499</v>
      </c>
      <c r="BN13" s="3">
        <f t="shared" si="19"/>
        <v>14346.016669462499</v>
      </c>
      <c r="BO13" s="3">
        <f t="shared" si="19"/>
        <v>14346.016669462499</v>
      </c>
      <c r="BP13" s="3">
        <f t="shared" si="19"/>
        <v>14346.016669462499</v>
      </c>
      <c r="BQ13" s="3">
        <f t="shared" si="19"/>
        <v>14346.016669462499</v>
      </c>
      <c r="BR13" s="3">
        <f t="shared" si="19"/>
        <v>14346.016669462499</v>
      </c>
      <c r="BS13" s="3">
        <f t="shared" si="19"/>
        <v>14346.016669462499</v>
      </c>
      <c r="BT13" s="3">
        <f t="shared" si="19"/>
        <v>14346.016669462499</v>
      </c>
      <c r="BU13" s="3">
        <f t="shared" si="19"/>
        <v>14346.016669462499</v>
      </c>
      <c r="BV13" s="3">
        <f t="shared" si="19"/>
        <v>14346.016669462499</v>
      </c>
      <c r="BW13" s="3">
        <f t="shared" si="19"/>
        <v>14346.016669462499</v>
      </c>
      <c r="BX13" s="3">
        <f t="shared" si="19"/>
        <v>14346.016669462499</v>
      </c>
      <c r="BY13" s="3">
        <f t="shared" si="20"/>
        <v>14776.397169546373</v>
      </c>
      <c r="BZ13" s="3">
        <f t="shared" si="20"/>
        <v>14776.397169546373</v>
      </c>
      <c r="CA13" s="3">
        <f t="shared" si="20"/>
        <v>14776.397169546373</v>
      </c>
      <c r="CB13" s="3">
        <f t="shared" si="20"/>
        <v>14776.397169546373</v>
      </c>
      <c r="CC13" s="3">
        <f t="shared" si="20"/>
        <v>14776.397169546373</v>
      </c>
      <c r="CD13" s="3">
        <f t="shared" si="20"/>
        <v>14776.397169546373</v>
      </c>
      <c r="CE13" s="3">
        <f t="shared" si="20"/>
        <v>14776.397169546373</v>
      </c>
      <c r="CF13" s="3">
        <f t="shared" si="20"/>
        <v>14776.397169546373</v>
      </c>
      <c r="CG13" s="3">
        <f t="shared" si="20"/>
        <v>14776.397169546373</v>
      </c>
      <c r="CH13" s="3" t="str">
        <f t="shared" si="20"/>
        <v/>
      </c>
      <c r="CI13" s="3" t="str">
        <f t="shared" si="20"/>
        <v/>
      </c>
      <c r="CJ13" s="3" t="str">
        <f t="shared" si="20"/>
        <v/>
      </c>
      <c r="CK13" s="3" t="str">
        <f t="shared" si="20"/>
        <v/>
      </c>
    </row>
    <row r="14" spans="1:89" x14ac:dyDescent="0.2">
      <c r="B14">
        <v>3</v>
      </c>
      <c r="C14" s="23">
        <f>INDEX('Rent Roll'!D:D,MATCH($B14,'Rent Roll'!$B:$B,0))</f>
        <v>3000</v>
      </c>
      <c r="D14" s="3">
        <f>INDEX('Rent Roll'!I:I,MATCH($B14,'Rent Roll'!$B:$B,0))</f>
        <v>5.92</v>
      </c>
      <c r="E14" s="39">
        <v>43101</v>
      </c>
      <c r="F14" s="39">
        <v>44562</v>
      </c>
      <c r="G14" s="39">
        <f>INDEX('Rent Roll'!F:F,MATCH($B14,'Rent Roll'!$B:$B,0))</f>
        <v>45291</v>
      </c>
      <c r="H14" s="40">
        <f t="shared" si="21"/>
        <v>0.4</v>
      </c>
      <c r="I14">
        <v>9</v>
      </c>
      <c r="L14">
        <f t="shared" si="15"/>
        <v>3</v>
      </c>
      <c r="M14" s="3">
        <f t="shared" si="16"/>
        <v>17760</v>
      </c>
      <c r="N14" s="3">
        <f t="shared" si="16"/>
        <v>17760</v>
      </c>
      <c r="O14" s="3">
        <f t="shared" si="16"/>
        <v>17760</v>
      </c>
      <c r="P14" s="3">
        <f t="shared" si="16"/>
        <v>17760</v>
      </c>
      <c r="Q14" s="3">
        <f t="shared" si="16"/>
        <v>17760</v>
      </c>
      <c r="R14" s="3">
        <f t="shared" si="16"/>
        <v>17760</v>
      </c>
      <c r="S14" s="3">
        <f t="shared" si="16"/>
        <v>17760</v>
      </c>
      <c r="T14" s="3">
        <f t="shared" si="16"/>
        <v>17760</v>
      </c>
      <c r="U14" s="3">
        <f t="shared" si="16"/>
        <v>17760</v>
      </c>
      <c r="V14" s="3">
        <f t="shared" si="16"/>
        <v>17760</v>
      </c>
      <c r="W14" s="3">
        <f t="shared" si="16"/>
        <v>17760</v>
      </c>
      <c r="X14" s="3">
        <f t="shared" si="16"/>
        <v>18292.8</v>
      </c>
      <c r="Y14" s="3">
        <f t="shared" si="16"/>
        <v>18292.8</v>
      </c>
      <c r="Z14" s="3">
        <f t="shared" si="16"/>
        <v>18292.8</v>
      </c>
      <c r="AA14" s="3">
        <f t="shared" si="16"/>
        <v>18292.8</v>
      </c>
      <c r="AB14" s="3">
        <f t="shared" si="16"/>
        <v>18292.8</v>
      </c>
      <c r="AC14" s="3">
        <f t="shared" si="17"/>
        <v>18292.8</v>
      </c>
      <c r="AD14" s="3">
        <f t="shared" si="17"/>
        <v>18292.8</v>
      </c>
      <c r="AE14" s="3">
        <f t="shared" si="17"/>
        <v>18292.8</v>
      </c>
      <c r="AF14" s="3">
        <f t="shared" si="17"/>
        <v>18292.8</v>
      </c>
      <c r="AG14" s="3">
        <f t="shared" si="17"/>
        <v>18292.8</v>
      </c>
      <c r="AH14" s="3">
        <f t="shared" si="17"/>
        <v>18292.8</v>
      </c>
      <c r="AI14" s="3">
        <f t="shared" si="17"/>
        <v>18292.8</v>
      </c>
      <c r="AJ14" s="3">
        <f t="shared" si="17"/>
        <v>18841.583999999999</v>
      </c>
      <c r="AK14" s="3">
        <f t="shared" si="17"/>
        <v>18841.583999999999</v>
      </c>
      <c r="AL14" s="3">
        <f t="shared" si="17"/>
        <v>18841.583999999999</v>
      </c>
      <c r="AM14" s="3">
        <f t="shared" si="17"/>
        <v>18841.583999999999</v>
      </c>
      <c r="AN14" s="3">
        <f t="shared" si="17"/>
        <v>18841.583999999999</v>
      </c>
      <c r="AO14" s="3">
        <f t="shared" si="17"/>
        <v>18841.583999999999</v>
      </c>
      <c r="AP14" s="3">
        <f t="shared" si="17"/>
        <v>18841.583999999999</v>
      </c>
      <c r="AQ14" s="3">
        <f t="shared" si="17"/>
        <v>18841.583999999999</v>
      </c>
      <c r="AR14" s="3">
        <f t="shared" si="17"/>
        <v>18841.583999999999</v>
      </c>
      <c r="AS14" s="3">
        <f t="shared" si="18"/>
        <v>18841.583999999999</v>
      </c>
      <c r="AT14" s="3">
        <f t="shared" si="18"/>
        <v>18841.583999999999</v>
      </c>
      <c r="AU14" s="3">
        <f t="shared" si="18"/>
        <v>18841.583999999999</v>
      </c>
      <c r="AV14" s="3">
        <f t="shared" si="18"/>
        <v>7140</v>
      </c>
      <c r="AW14" s="3">
        <f t="shared" si="18"/>
        <v>7140</v>
      </c>
      <c r="AX14" s="3">
        <f t="shared" si="18"/>
        <v>7140</v>
      </c>
      <c r="AY14" s="3">
        <f t="shared" si="18"/>
        <v>7140</v>
      </c>
      <c r="AZ14" s="3">
        <f t="shared" si="18"/>
        <v>7140</v>
      </c>
      <c r="BA14" s="3">
        <f t="shared" si="18"/>
        <v>7140</v>
      </c>
      <c r="BB14" s="3">
        <f t="shared" si="18"/>
        <v>7140</v>
      </c>
      <c r="BC14" s="3">
        <f t="shared" si="18"/>
        <v>7140</v>
      </c>
      <c r="BD14" s="3">
        <f t="shared" si="18"/>
        <v>7140</v>
      </c>
      <c r="BE14" s="3">
        <f t="shared" si="18"/>
        <v>17850</v>
      </c>
      <c r="BF14" s="3">
        <f t="shared" si="18"/>
        <v>17850</v>
      </c>
      <c r="BG14" s="3">
        <f t="shared" si="18"/>
        <v>17850</v>
      </c>
      <c r="BH14" s="3">
        <f t="shared" si="18"/>
        <v>18064.2</v>
      </c>
      <c r="BI14" s="3">
        <f t="shared" si="19"/>
        <v>18064.2</v>
      </c>
      <c r="BJ14" s="3">
        <f t="shared" si="19"/>
        <v>18064.2</v>
      </c>
      <c r="BK14" s="3">
        <f t="shared" si="19"/>
        <v>18064.2</v>
      </c>
      <c r="BL14" s="3">
        <f t="shared" si="19"/>
        <v>18064.2</v>
      </c>
      <c r="BM14" s="3">
        <f t="shared" si="19"/>
        <v>18064.2</v>
      </c>
      <c r="BN14" s="3">
        <f t="shared" si="19"/>
        <v>18064.2</v>
      </c>
      <c r="BO14" s="3">
        <f t="shared" si="19"/>
        <v>18064.2</v>
      </c>
      <c r="BP14" s="3">
        <f t="shared" si="19"/>
        <v>18064.2</v>
      </c>
      <c r="BQ14" s="3">
        <f t="shared" si="19"/>
        <v>18385.5</v>
      </c>
      <c r="BR14" s="3">
        <f t="shared" si="19"/>
        <v>18385.5</v>
      </c>
      <c r="BS14" s="3">
        <f t="shared" si="19"/>
        <v>18385.5</v>
      </c>
      <c r="BT14" s="3">
        <f t="shared" si="19"/>
        <v>18606.126</v>
      </c>
      <c r="BU14" s="3">
        <f t="shared" si="19"/>
        <v>18606.126</v>
      </c>
      <c r="BV14" s="3">
        <f t="shared" si="19"/>
        <v>18606.126</v>
      </c>
      <c r="BW14" s="3">
        <f t="shared" si="19"/>
        <v>18606.126</v>
      </c>
      <c r="BX14" s="3">
        <f t="shared" si="19"/>
        <v>18606.126</v>
      </c>
      <c r="BY14" s="3">
        <f t="shared" si="20"/>
        <v>18606.126</v>
      </c>
      <c r="BZ14" s="3">
        <f t="shared" si="20"/>
        <v>18606.126</v>
      </c>
      <c r="CA14" s="3">
        <f t="shared" si="20"/>
        <v>18606.126</v>
      </c>
      <c r="CB14" s="3">
        <f t="shared" si="20"/>
        <v>18606.126</v>
      </c>
      <c r="CC14" s="3">
        <f t="shared" si="20"/>
        <v>18937.064999999999</v>
      </c>
      <c r="CD14" s="3">
        <f t="shared" si="20"/>
        <v>18937.064999999999</v>
      </c>
      <c r="CE14" s="3">
        <f t="shared" si="20"/>
        <v>18937.064999999999</v>
      </c>
      <c r="CF14" s="3">
        <f t="shared" si="20"/>
        <v>19164.30978</v>
      </c>
      <c r="CG14" s="3">
        <f t="shared" si="20"/>
        <v>19164.30978</v>
      </c>
      <c r="CH14" s="3" t="str">
        <f t="shared" si="20"/>
        <v/>
      </c>
      <c r="CI14" s="3" t="str">
        <f t="shared" si="20"/>
        <v/>
      </c>
      <c r="CJ14" s="3" t="str">
        <f t="shared" si="20"/>
        <v/>
      </c>
      <c r="CK14" s="3" t="str">
        <f t="shared" si="20"/>
        <v/>
      </c>
    </row>
    <row r="15" spans="1:89" x14ac:dyDescent="0.2">
      <c r="B15">
        <v>4</v>
      </c>
      <c r="C15" s="23">
        <f>INDEX('Rent Roll'!D:D,MATCH($B15,'Rent Roll'!$B:$B,0))</f>
        <v>2500</v>
      </c>
      <c r="D15" s="3">
        <f>INDEX('Rent Roll'!I:I,MATCH($B15,'Rent Roll'!$B:$B,0))</f>
        <v>6.1</v>
      </c>
      <c r="E15" s="39">
        <v>43160</v>
      </c>
      <c r="F15" s="39">
        <v>44621</v>
      </c>
      <c r="G15" s="39">
        <f>INDEX('Rent Roll'!F:F,MATCH($B15,'Rent Roll'!$B:$B,0))</f>
        <v>44985</v>
      </c>
      <c r="H15" s="40">
        <f t="shared" si="21"/>
        <v>0.4</v>
      </c>
      <c r="I15">
        <v>9</v>
      </c>
      <c r="L15">
        <f t="shared" si="15"/>
        <v>4</v>
      </c>
      <c r="M15" s="3">
        <f t="shared" si="16"/>
        <v>15250</v>
      </c>
      <c r="N15" s="3">
        <f t="shared" si="16"/>
        <v>15250</v>
      </c>
      <c r="O15" s="3">
        <f t="shared" si="16"/>
        <v>15250</v>
      </c>
      <c r="P15" s="3">
        <f t="shared" si="16"/>
        <v>15250</v>
      </c>
      <c r="Q15" s="3">
        <f t="shared" si="16"/>
        <v>15250</v>
      </c>
      <c r="R15" s="3">
        <f t="shared" si="16"/>
        <v>15250</v>
      </c>
      <c r="S15" s="3">
        <f t="shared" si="16"/>
        <v>15250</v>
      </c>
      <c r="T15" s="3">
        <f t="shared" si="16"/>
        <v>15250</v>
      </c>
      <c r="U15" s="3">
        <f t="shared" si="16"/>
        <v>15250</v>
      </c>
      <c r="V15" s="3">
        <f t="shared" si="16"/>
        <v>15250</v>
      </c>
      <c r="W15" s="3">
        <f t="shared" si="16"/>
        <v>15250</v>
      </c>
      <c r="X15" s="3">
        <f t="shared" si="16"/>
        <v>15250</v>
      </c>
      <c r="Y15" s="3">
        <f t="shared" si="16"/>
        <v>15250</v>
      </c>
      <c r="Z15" s="3">
        <f t="shared" si="16"/>
        <v>15707.5</v>
      </c>
      <c r="AA15" s="3">
        <f t="shared" si="16"/>
        <v>15707.5</v>
      </c>
      <c r="AB15" s="3">
        <f t="shared" si="16"/>
        <v>15707.5</v>
      </c>
      <c r="AC15" s="3">
        <f t="shared" si="17"/>
        <v>15707.5</v>
      </c>
      <c r="AD15" s="3">
        <f t="shared" si="17"/>
        <v>15707.5</v>
      </c>
      <c r="AE15" s="3">
        <f t="shared" si="17"/>
        <v>15707.5</v>
      </c>
      <c r="AF15" s="3">
        <f t="shared" si="17"/>
        <v>15707.5</v>
      </c>
      <c r="AG15" s="3">
        <f t="shared" si="17"/>
        <v>15707.5</v>
      </c>
      <c r="AH15" s="3">
        <f t="shared" si="17"/>
        <v>15707.5</v>
      </c>
      <c r="AI15" s="3">
        <f t="shared" si="17"/>
        <v>15707.5</v>
      </c>
      <c r="AJ15" s="3">
        <f t="shared" si="17"/>
        <v>15707.5</v>
      </c>
      <c r="AK15" s="3">
        <f t="shared" si="17"/>
        <v>15707.5</v>
      </c>
      <c r="AL15" s="3">
        <f t="shared" si="17"/>
        <v>5950</v>
      </c>
      <c r="AM15" s="3">
        <f t="shared" si="17"/>
        <v>5950</v>
      </c>
      <c r="AN15" s="3">
        <f t="shared" si="17"/>
        <v>5950</v>
      </c>
      <c r="AO15" s="3">
        <f t="shared" si="17"/>
        <v>5950</v>
      </c>
      <c r="AP15" s="3">
        <f t="shared" si="17"/>
        <v>5950</v>
      </c>
      <c r="AQ15" s="3">
        <f t="shared" si="17"/>
        <v>5950</v>
      </c>
      <c r="AR15" s="3">
        <f t="shared" si="17"/>
        <v>5950</v>
      </c>
      <c r="AS15" s="3">
        <f t="shared" si="18"/>
        <v>5950</v>
      </c>
      <c r="AT15" s="3">
        <f t="shared" si="18"/>
        <v>5950</v>
      </c>
      <c r="AU15" s="3">
        <f t="shared" si="18"/>
        <v>14875</v>
      </c>
      <c r="AV15" s="3">
        <f t="shared" si="18"/>
        <v>14875</v>
      </c>
      <c r="AW15" s="3">
        <f t="shared" si="18"/>
        <v>14875</v>
      </c>
      <c r="AX15" s="3">
        <f t="shared" si="18"/>
        <v>15053.5</v>
      </c>
      <c r="AY15" s="3">
        <f t="shared" si="18"/>
        <v>15053.5</v>
      </c>
      <c r="AZ15" s="3">
        <f t="shared" si="18"/>
        <v>15053.5</v>
      </c>
      <c r="BA15" s="3">
        <f t="shared" si="18"/>
        <v>15053.5</v>
      </c>
      <c r="BB15" s="3">
        <f t="shared" si="18"/>
        <v>15053.5</v>
      </c>
      <c r="BC15" s="3">
        <f t="shared" si="18"/>
        <v>15053.5</v>
      </c>
      <c r="BD15" s="3">
        <f t="shared" si="18"/>
        <v>15053.5</v>
      </c>
      <c r="BE15" s="3">
        <f t="shared" si="18"/>
        <v>15053.5</v>
      </c>
      <c r="BF15" s="3">
        <f t="shared" si="18"/>
        <v>15053.5</v>
      </c>
      <c r="BG15" s="3">
        <f t="shared" si="18"/>
        <v>15321.25</v>
      </c>
      <c r="BH15" s="3">
        <f t="shared" si="18"/>
        <v>15321.25</v>
      </c>
      <c r="BI15" s="3">
        <f t="shared" si="19"/>
        <v>15321.25</v>
      </c>
      <c r="BJ15" s="3">
        <f t="shared" si="19"/>
        <v>15505.105</v>
      </c>
      <c r="BK15" s="3">
        <f t="shared" si="19"/>
        <v>15505.105</v>
      </c>
      <c r="BL15" s="3">
        <f t="shared" si="19"/>
        <v>15505.105</v>
      </c>
      <c r="BM15" s="3">
        <f t="shared" si="19"/>
        <v>15505.105</v>
      </c>
      <c r="BN15" s="3">
        <f t="shared" si="19"/>
        <v>15505.105</v>
      </c>
      <c r="BO15" s="3">
        <f t="shared" si="19"/>
        <v>15505.105</v>
      </c>
      <c r="BP15" s="3">
        <f t="shared" si="19"/>
        <v>15505.105</v>
      </c>
      <c r="BQ15" s="3">
        <f t="shared" si="19"/>
        <v>15505.105</v>
      </c>
      <c r="BR15" s="3">
        <f t="shared" si="19"/>
        <v>15505.105</v>
      </c>
      <c r="BS15" s="3">
        <f t="shared" si="19"/>
        <v>15780.887499999999</v>
      </c>
      <c r="BT15" s="3">
        <f t="shared" si="19"/>
        <v>15780.887499999999</v>
      </c>
      <c r="BU15" s="3">
        <f t="shared" si="19"/>
        <v>15780.887499999999</v>
      </c>
      <c r="BV15" s="3">
        <f t="shared" si="19"/>
        <v>15970.25815</v>
      </c>
      <c r="BW15" s="3">
        <f t="shared" si="19"/>
        <v>15970.25815</v>
      </c>
      <c r="BX15" s="3">
        <f t="shared" si="19"/>
        <v>15970.25815</v>
      </c>
      <c r="BY15" s="3">
        <f t="shared" si="20"/>
        <v>15970.25815</v>
      </c>
      <c r="BZ15" s="3">
        <f t="shared" si="20"/>
        <v>15970.25815</v>
      </c>
      <c r="CA15" s="3">
        <f t="shared" si="20"/>
        <v>15970.25815</v>
      </c>
      <c r="CB15" s="3">
        <f t="shared" si="20"/>
        <v>15970.25815</v>
      </c>
      <c r="CC15" s="3">
        <f t="shared" si="20"/>
        <v>15970.25815</v>
      </c>
      <c r="CD15" s="3">
        <f t="shared" si="20"/>
        <v>15970.25815</v>
      </c>
      <c r="CE15" s="3">
        <f t="shared" si="20"/>
        <v>16254.314125000001</v>
      </c>
      <c r="CF15" s="3">
        <f t="shared" si="20"/>
        <v>16254.314125000001</v>
      </c>
      <c r="CG15" s="3">
        <f t="shared" si="20"/>
        <v>16254.314125000001</v>
      </c>
      <c r="CH15" s="3" t="str">
        <f t="shared" si="20"/>
        <v/>
      </c>
      <c r="CI15" s="3" t="str">
        <f t="shared" si="20"/>
        <v/>
      </c>
      <c r="CJ15" s="3" t="str">
        <f t="shared" si="20"/>
        <v/>
      </c>
      <c r="CK15" s="3" t="str">
        <f t="shared" si="20"/>
        <v/>
      </c>
    </row>
    <row r="16" spans="1:89" x14ac:dyDescent="0.2">
      <c r="B16">
        <v>5</v>
      </c>
      <c r="C16" s="23">
        <f>INDEX('Rent Roll'!D:D,MATCH($B16,'Rent Roll'!$B:$B,0))</f>
        <v>1000</v>
      </c>
      <c r="D16" s="3">
        <f>INDEX('Rent Roll'!I:I,MATCH($B16,'Rent Roll'!$B:$B,0))</f>
        <v>6.03</v>
      </c>
      <c r="E16" s="39">
        <v>42125</v>
      </c>
      <c r="F16" s="39">
        <v>44317</v>
      </c>
      <c r="G16" s="39">
        <f>INDEX('Rent Roll'!F:F,MATCH($B16,'Rent Roll'!$B:$B,0))</f>
        <v>44681</v>
      </c>
      <c r="H16" s="40">
        <f t="shared" si="21"/>
        <v>0.4</v>
      </c>
      <c r="I16">
        <v>9</v>
      </c>
      <c r="L16">
        <f t="shared" si="15"/>
        <v>5</v>
      </c>
      <c r="M16" s="3">
        <f t="shared" si="16"/>
        <v>6030</v>
      </c>
      <c r="N16" s="3">
        <f t="shared" si="16"/>
        <v>6030</v>
      </c>
      <c r="O16" s="3">
        <f t="shared" si="16"/>
        <v>6030</v>
      </c>
      <c r="P16" s="3">
        <f t="shared" si="16"/>
        <v>6210.9000000000005</v>
      </c>
      <c r="Q16" s="3">
        <f t="shared" si="16"/>
        <v>6210.9000000000005</v>
      </c>
      <c r="R16" s="3">
        <f t="shared" si="16"/>
        <v>6210.9000000000005</v>
      </c>
      <c r="S16" s="3">
        <f t="shared" si="16"/>
        <v>6210.9000000000005</v>
      </c>
      <c r="T16" s="3">
        <f t="shared" si="16"/>
        <v>6210.9000000000005</v>
      </c>
      <c r="U16" s="3">
        <f t="shared" si="16"/>
        <v>6210.9000000000005</v>
      </c>
      <c r="V16" s="3">
        <f t="shared" si="16"/>
        <v>6210.9000000000005</v>
      </c>
      <c r="W16" s="3">
        <f t="shared" si="16"/>
        <v>6210.9000000000005</v>
      </c>
      <c r="X16" s="3">
        <f t="shared" si="16"/>
        <v>6210.9000000000005</v>
      </c>
      <c r="Y16" s="3">
        <f t="shared" si="16"/>
        <v>6210.9000000000005</v>
      </c>
      <c r="Z16" s="3">
        <f t="shared" si="16"/>
        <v>6210.9000000000005</v>
      </c>
      <c r="AA16" s="3">
        <f t="shared" si="16"/>
        <v>6210.9000000000005</v>
      </c>
      <c r="AB16" s="3">
        <f t="shared" si="16"/>
        <v>2380</v>
      </c>
      <c r="AC16" s="3">
        <f t="shared" si="17"/>
        <v>2380</v>
      </c>
      <c r="AD16" s="3">
        <f t="shared" si="17"/>
        <v>2380</v>
      </c>
      <c r="AE16" s="3">
        <f t="shared" si="17"/>
        <v>2380</v>
      </c>
      <c r="AF16" s="3">
        <f t="shared" si="17"/>
        <v>2380</v>
      </c>
      <c r="AG16" s="3">
        <f t="shared" si="17"/>
        <v>2380</v>
      </c>
      <c r="AH16" s="3">
        <f t="shared" si="17"/>
        <v>2380</v>
      </c>
      <c r="AI16" s="3">
        <f t="shared" si="17"/>
        <v>2380</v>
      </c>
      <c r="AJ16" s="3">
        <f t="shared" si="17"/>
        <v>2380</v>
      </c>
      <c r="AK16" s="3">
        <f t="shared" si="17"/>
        <v>5950</v>
      </c>
      <c r="AL16" s="3">
        <f t="shared" si="17"/>
        <v>5950</v>
      </c>
      <c r="AM16" s="3">
        <f t="shared" si="17"/>
        <v>5950</v>
      </c>
      <c r="AN16" s="3">
        <f t="shared" si="17"/>
        <v>6021.4</v>
      </c>
      <c r="AO16" s="3">
        <f t="shared" si="17"/>
        <v>6021.4</v>
      </c>
      <c r="AP16" s="3">
        <f t="shared" si="17"/>
        <v>6021.4</v>
      </c>
      <c r="AQ16" s="3">
        <f t="shared" si="17"/>
        <v>6021.4</v>
      </c>
      <c r="AR16" s="3">
        <f t="shared" si="17"/>
        <v>6021.4</v>
      </c>
      <c r="AS16" s="3">
        <f t="shared" si="18"/>
        <v>6021.4</v>
      </c>
      <c r="AT16" s="3">
        <f t="shared" si="18"/>
        <v>6021.4</v>
      </c>
      <c r="AU16" s="3">
        <f t="shared" si="18"/>
        <v>6021.4</v>
      </c>
      <c r="AV16" s="3">
        <f t="shared" si="18"/>
        <v>6021.4</v>
      </c>
      <c r="AW16" s="3">
        <f t="shared" si="18"/>
        <v>6128.5</v>
      </c>
      <c r="AX16" s="3">
        <f t="shared" si="18"/>
        <v>6128.5</v>
      </c>
      <c r="AY16" s="3">
        <f t="shared" si="18"/>
        <v>6128.5</v>
      </c>
      <c r="AZ16" s="3">
        <f t="shared" si="18"/>
        <v>6202.0419999999995</v>
      </c>
      <c r="BA16" s="3">
        <f t="shared" si="18"/>
        <v>6202.0419999999995</v>
      </c>
      <c r="BB16" s="3">
        <f t="shared" si="18"/>
        <v>6202.0419999999995</v>
      </c>
      <c r="BC16" s="3">
        <f t="shared" si="18"/>
        <v>6202.0419999999995</v>
      </c>
      <c r="BD16" s="3">
        <f t="shared" si="18"/>
        <v>6202.0419999999995</v>
      </c>
      <c r="BE16" s="3">
        <f t="shared" si="18"/>
        <v>6202.0419999999995</v>
      </c>
      <c r="BF16" s="3">
        <f t="shared" si="18"/>
        <v>6202.0419999999995</v>
      </c>
      <c r="BG16" s="3">
        <f t="shared" si="18"/>
        <v>6202.0419999999995</v>
      </c>
      <c r="BH16" s="3">
        <f t="shared" si="18"/>
        <v>6202.0419999999995</v>
      </c>
      <c r="BI16" s="3">
        <f t="shared" si="19"/>
        <v>6312.3549999999996</v>
      </c>
      <c r="BJ16" s="3">
        <f t="shared" si="19"/>
        <v>6312.3549999999996</v>
      </c>
      <c r="BK16" s="3">
        <f t="shared" si="19"/>
        <v>6312.3549999999996</v>
      </c>
      <c r="BL16" s="3">
        <f t="shared" si="19"/>
        <v>6388.1032599999999</v>
      </c>
      <c r="BM16" s="3">
        <f t="shared" si="19"/>
        <v>6388.1032599999999</v>
      </c>
      <c r="BN16" s="3">
        <f t="shared" si="19"/>
        <v>6388.1032599999999</v>
      </c>
      <c r="BO16" s="3">
        <f t="shared" si="19"/>
        <v>6388.1032599999999</v>
      </c>
      <c r="BP16" s="3">
        <f t="shared" si="19"/>
        <v>6388.1032599999999</v>
      </c>
      <c r="BQ16" s="3">
        <f t="shared" si="19"/>
        <v>6388.1032599999999</v>
      </c>
      <c r="BR16" s="3">
        <f t="shared" si="19"/>
        <v>6388.1032599999999</v>
      </c>
      <c r="BS16" s="3">
        <f t="shared" si="19"/>
        <v>6388.1032599999999</v>
      </c>
      <c r="BT16" s="3">
        <f t="shared" si="19"/>
        <v>6388.1032599999999</v>
      </c>
      <c r="BU16" s="3">
        <f t="shared" si="19"/>
        <v>6501.7256500000003</v>
      </c>
      <c r="BV16" s="3">
        <f t="shared" si="19"/>
        <v>6501.7256500000003</v>
      </c>
      <c r="BW16" s="3">
        <f t="shared" si="19"/>
        <v>6501.7256500000003</v>
      </c>
      <c r="BX16" s="3">
        <f t="shared" si="19"/>
        <v>6579.7463577999997</v>
      </c>
      <c r="BY16" s="3">
        <f t="shared" si="20"/>
        <v>6579.7463577999997</v>
      </c>
      <c r="BZ16" s="3">
        <f t="shared" si="20"/>
        <v>6579.7463577999997</v>
      </c>
      <c r="CA16" s="3">
        <f t="shared" si="20"/>
        <v>6579.7463577999997</v>
      </c>
      <c r="CB16" s="3">
        <f t="shared" si="20"/>
        <v>6579.7463577999997</v>
      </c>
      <c r="CC16" s="3">
        <f t="shared" si="20"/>
        <v>6579.7463577999997</v>
      </c>
      <c r="CD16" s="3">
        <f t="shared" si="20"/>
        <v>6579.7463577999997</v>
      </c>
      <c r="CE16" s="3">
        <f t="shared" si="20"/>
        <v>6579.7463577999997</v>
      </c>
      <c r="CF16" s="3">
        <f t="shared" si="20"/>
        <v>6579.7463577999997</v>
      </c>
      <c r="CG16" s="3">
        <f t="shared" si="20"/>
        <v>6696.7774194999993</v>
      </c>
      <c r="CH16" s="3" t="str">
        <f t="shared" si="20"/>
        <v/>
      </c>
      <c r="CI16" s="3" t="str">
        <f t="shared" si="20"/>
        <v/>
      </c>
      <c r="CJ16" s="3" t="str">
        <f t="shared" si="20"/>
        <v/>
      </c>
      <c r="CK16" s="3" t="str">
        <f t="shared" si="20"/>
        <v/>
      </c>
    </row>
    <row r="17" spans="2:89" x14ac:dyDescent="0.2">
      <c r="B17">
        <v>6</v>
      </c>
      <c r="C17" s="23">
        <f>INDEX('Rent Roll'!D:D,MATCH($B17,'Rent Roll'!$B:$B,0))</f>
        <v>4300</v>
      </c>
      <c r="D17" s="3">
        <f>INDEX('Rent Roll'!I:I,MATCH($B17,'Rent Roll'!$B:$B,0))</f>
        <v>6.57</v>
      </c>
      <c r="E17" s="39">
        <v>42217</v>
      </c>
      <c r="F17" s="39">
        <v>44409</v>
      </c>
      <c r="G17" s="39">
        <f>INDEX('Rent Roll'!F:F,MATCH($B17,'Rent Roll'!$B:$B,0))</f>
        <v>45138</v>
      </c>
      <c r="H17" s="40">
        <f t="shared" si="21"/>
        <v>0.4</v>
      </c>
      <c r="I17">
        <v>9</v>
      </c>
      <c r="L17">
        <f t="shared" si="15"/>
        <v>6</v>
      </c>
      <c r="M17" s="3">
        <f t="shared" si="16"/>
        <v>28251</v>
      </c>
      <c r="N17" s="3">
        <f t="shared" si="16"/>
        <v>28251</v>
      </c>
      <c r="O17" s="3">
        <f t="shared" si="16"/>
        <v>28251</v>
      </c>
      <c r="P17" s="3">
        <f t="shared" si="16"/>
        <v>28251</v>
      </c>
      <c r="Q17" s="3">
        <f t="shared" si="16"/>
        <v>28251</v>
      </c>
      <c r="R17" s="3">
        <f t="shared" si="16"/>
        <v>28251</v>
      </c>
      <c r="S17" s="3">
        <f t="shared" si="16"/>
        <v>29098.530000000002</v>
      </c>
      <c r="T17" s="3">
        <f t="shared" si="16"/>
        <v>29098.530000000002</v>
      </c>
      <c r="U17" s="3">
        <f t="shared" si="16"/>
        <v>29098.530000000002</v>
      </c>
      <c r="V17" s="3">
        <f t="shared" si="16"/>
        <v>29098.530000000002</v>
      </c>
      <c r="W17" s="3">
        <f t="shared" si="16"/>
        <v>29098.530000000002</v>
      </c>
      <c r="X17" s="3">
        <f t="shared" si="16"/>
        <v>29098.530000000002</v>
      </c>
      <c r="Y17" s="3">
        <f t="shared" si="16"/>
        <v>29098.530000000002</v>
      </c>
      <c r="Z17" s="3">
        <f t="shared" si="16"/>
        <v>29098.530000000002</v>
      </c>
      <c r="AA17" s="3">
        <f t="shared" si="16"/>
        <v>29098.530000000002</v>
      </c>
      <c r="AB17" s="3">
        <f t="shared" si="16"/>
        <v>29098.530000000002</v>
      </c>
      <c r="AC17" s="3">
        <f t="shared" si="17"/>
        <v>29098.530000000002</v>
      </c>
      <c r="AD17" s="3">
        <f t="shared" si="17"/>
        <v>29098.530000000002</v>
      </c>
      <c r="AE17" s="3">
        <f t="shared" si="17"/>
        <v>29971.4859</v>
      </c>
      <c r="AF17" s="3">
        <f t="shared" si="17"/>
        <v>29971.4859</v>
      </c>
      <c r="AG17" s="3">
        <f t="shared" si="17"/>
        <v>29971.4859</v>
      </c>
      <c r="AH17" s="3">
        <f t="shared" si="17"/>
        <v>29971.4859</v>
      </c>
      <c r="AI17" s="3">
        <f t="shared" si="17"/>
        <v>29971.4859</v>
      </c>
      <c r="AJ17" s="3">
        <f t="shared" si="17"/>
        <v>29971.4859</v>
      </c>
      <c r="AK17" s="3">
        <f t="shared" si="17"/>
        <v>29971.4859</v>
      </c>
      <c r="AL17" s="3">
        <f t="shared" si="17"/>
        <v>29971.4859</v>
      </c>
      <c r="AM17" s="3">
        <f t="shared" si="17"/>
        <v>29971.4859</v>
      </c>
      <c r="AN17" s="3">
        <f t="shared" si="17"/>
        <v>29971.4859</v>
      </c>
      <c r="AO17" s="3">
        <f t="shared" si="17"/>
        <v>29971.4859</v>
      </c>
      <c r="AP17" s="3">
        <f t="shared" si="17"/>
        <v>29971.4859</v>
      </c>
      <c r="AQ17" s="3">
        <f t="shared" si="17"/>
        <v>10234</v>
      </c>
      <c r="AR17" s="3">
        <f t="shared" si="17"/>
        <v>10234</v>
      </c>
      <c r="AS17" s="3">
        <f t="shared" si="18"/>
        <v>10234</v>
      </c>
      <c r="AT17" s="3">
        <f t="shared" si="18"/>
        <v>10234</v>
      </c>
      <c r="AU17" s="3">
        <f t="shared" si="18"/>
        <v>10234</v>
      </c>
      <c r="AV17" s="3">
        <f t="shared" si="18"/>
        <v>10234</v>
      </c>
      <c r="AW17" s="3">
        <f t="shared" si="18"/>
        <v>10234</v>
      </c>
      <c r="AX17" s="3">
        <f t="shared" si="18"/>
        <v>10234</v>
      </c>
      <c r="AY17" s="3">
        <f t="shared" si="18"/>
        <v>10234</v>
      </c>
      <c r="AZ17" s="3">
        <f t="shared" si="18"/>
        <v>25585</v>
      </c>
      <c r="BA17" s="3">
        <f t="shared" si="18"/>
        <v>25585</v>
      </c>
      <c r="BB17" s="3">
        <f t="shared" si="18"/>
        <v>25585</v>
      </c>
      <c r="BC17" s="3">
        <f t="shared" si="18"/>
        <v>25892.02</v>
      </c>
      <c r="BD17" s="3">
        <f t="shared" si="18"/>
        <v>25892.02</v>
      </c>
      <c r="BE17" s="3">
        <f t="shared" si="18"/>
        <v>25892.02</v>
      </c>
      <c r="BF17" s="3">
        <f t="shared" si="18"/>
        <v>25892.02</v>
      </c>
      <c r="BG17" s="3">
        <f t="shared" si="18"/>
        <v>25892.02</v>
      </c>
      <c r="BH17" s="3">
        <f t="shared" si="18"/>
        <v>25892.02</v>
      </c>
      <c r="BI17" s="3">
        <f t="shared" si="19"/>
        <v>25892.02</v>
      </c>
      <c r="BJ17" s="3">
        <f t="shared" si="19"/>
        <v>25892.02</v>
      </c>
      <c r="BK17" s="3">
        <f t="shared" si="19"/>
        <v>25892.02</v>
      </c>
      <c r="BL17" s="3">
        <f t="shared" si="19"/>
        <v>26352.55</v>
      </c>
      <c r="BM17" s="3">
        <f t="shared" si="19"/>
        <v>26352.55</v>
      </c>
      <c r="BN17" s="3">
        <f t="shared" si="19"/>
        <v>26352.55</v>
      </c>
      <c r="BO17" s="3">
        <f t="shared" si="19"/>
        <v>26668.780599999998</v>
      </c>
      <c r="BP17" s="3">
        <f t="shared" si="19"/>
        <v>26668.780599999998</v>
      </c>
      <c r="BQ17" s="3">
        <f t="shared" si="19"/>
        <v>26668.780599999998</v>
      </c>
      <c r="BR17" s="3">
        <f t="shared" si="19"/>
        <v>26668.780599999998</v>
      </c>
      <c r="BS17" s="3">
        <f t="shared" si="19"/>
        <v>26668.780599999998</v>
      </c>
      <c r="BT17" s="3">
        <f t="shared" si="19"/>
        <v>26668.780599999998</v>
      </c>
      <c r="BU17" s="3">
        <f t="shared" si="19"/>
        <v>26668.780599999998</v>
      </c>
      <c r="BV17" s="3">
        <f t="shared" si="19"/>
        <v>26668.780599999998</v>
      </c>
      <c r="BW17" s="3">
        <f t="shared" si="19"/>
        <v>26668.780599999998</v>
      </c>
      <c r="BX17" s="3">
        <f t="shared" si="19"/>
        <v>27143.126499999998</v>
      </c>
      <c r="BY17" s="3">
        <f t="shared" si="20"/>
        <v>27143.126499999998</v>
      </c>
      <c r="BZ17" s="3">
        <f t="shared" si="20"/>
        <v>27143.126499999998</v>
      </c>
      <c r="CA17" s="3">
        <f t="shared" si="20"/>
        <v>27468.844018</v>
      </c>
      <c r="CB17" s="3">
        <f t="shared" si="20"/>
        <v>27468.844018</v>
      </c>
      <c r="CC17" s="3">
        <f t="shared" si="20"/>
        <v>27468.844018</v>
      </c>
      <c r="CD17" s="3">
        <f t="shared" si="20"/>
        <v>27468.844018</v>
      </c>
      <c r="CE17" s="3">
        <f t="shared" si="20"/>
        <v>27468.844018</v>
      </c>
      <c r="CF17" s="3">
        <f t="shared" si="20"/>
        <v>27468.844018</v>
      </c>
      <c r="CG17" s="3">
        <f t="shared" si="20"/>
        <v>27468.844018</v>
      </c>
      <c r="CH17" s="3" t="str">
        <f t="shared" si="20"/>
        <v/>
      </c>
      <c r="CI17" s="3" t="str">
        <f t="shared" si="20"/>
        <v/>
      </c>
      <c r="CJ17" s="3" t="str">
        <f t="shared" si="20"/>
        <v/>
      </c>
      <c r="CK17" s="3" t="str">
        <f t="shared" si="20"/>
        <v/>
      </c>
    </row>
    <row r="18" spans="2:89" x14ac:dyDescent="0.2">
      <c r="B18">
        <v>7</v>
      </c>
      <c r="C18" s="23">
        <f>INDEX('Rent Roll'!D:D,MATCH($B18,'Rent Roll'!$B:$B,0))</f>
        <v>2800</v>
      </c>
      <c r="D18" s="3">
        <f>INDEX('Rent Roll'!I:I,MATCH($B18,'Rent Roll'!$B:$B,0))</f>
        <v>3.09</v>
      </c>
      <c r="E18" s="39">
        <v>43282</v>
      </c>
      <c r="F18" s="39">
        <v>44378</v>
      </c>
      <c r="G18" s="39">
        <f>INDEX('Rent Roll'!F:F,MATCH($B18,'Rent Roll'!$B:$B,0))</f>
        <v>45107</v>
      </c>
      <c r="H18" s="40">
        <f t="shared" si="21"/>
        <v>0.4</v>
      </c>
      <c r="I18">
        <v>9</v>
      </c>
      <c r="L18">
        <f t="shared" si="15"/>
        <v>7</v>
      </c>
      <c r="M18" s="3">
        <f t="shared" si="16"/>
        <v>8652</v>
      </c>
      <c r="N18" s="3">
        <f t="shared" si="16"/>
        <v>8652</v>
      </c>
      <c r="O18" s="3">
        <f t="shared" si="16"/>
        <v>8652</v>
      </c>
      <c r="P18" s="3">
        <f t="shared" si="16"/>
        <v>8652</v>
      </c>
      <c r="Q18" s="3">
        <f t="shared" si="16"/>
        <v>8652</v>
      </c>
      <c r="R18" s="3">
        <f t="shared" si="16"/>
        <v>8911.56</v>
      </c>
      <c r="S18" s="3">
        <f t="shared" si="16"/>
        <v>8911.56</v>
      </c>
      <c r="T18" s="3">
        <f t="shared" si="16"/>
        <v>8911.56</v>
      </c>
      <c r="U18" s="3">
        <f t="shared" si="16"/>
        <v>8911.56</v>
      </c>
      <c r="V18" s="3">
        <f t="shared" si="16"/>
        <v>8911.56</v>
      </c>
      <c r="W18" s="3">
        <f t="shared" si="16"/>
        <v>8911.56</v>
      </c>
      <c r="X18" s="3">
        <f t="shared" si="16"/>
        <v>8911.56</v>
      </c>
      <c r="Y18" s="3">
        <f t="shared" si="16"/>
        <v>8911.56</v>
      </c>
      <c r="Z18" s="3">
        <f t="shared" si="16"/>
        <v>8911.56</v>
      </c>
      <c r="AA18" s="3">
        <f t="shared" si="16"/>
        <v>8911.56</v>
      </c>
      <c r="AB18" s="3">
        <f t="shared" si="16"/>
        <v>8911.56</v>
      </c>
      <c r="AC18" s="3">
        <f t="shared" si="17"/>
        <v>8911.56</v>
      </c>
      <c r="AD18" s="3">
        <f t="shared" si="17"/>
        <v>9178.9067999999988</v>
      </c>
      <c r="AE18" s="3">
        <f t="shared" si="17"/>
        <v>9178.9067999999988</v>
      </c>
      <c r="AF18" s="3">
        <f t="shared" si="17"/>
        <v>9178.9067999999988</v>
      </c>
      <c r="AG18" s="3">
        <f t="shared" si="17"/>
        <v>9178.9067999999988</v>
      </c>
      <c r="AH18" s="3">
        <f t="shared" si="17"/>
        <v>9178.9067999999988</v>
      </c>
      <c r="AI18" s="3">
        <f t="shared" si="17"/>
        <v>9178.9067999999988</v>
      </c>
      <c r="AJ18" s="3">
        <f t="shared" si="17"/>
        <v>9178.9067999999988</v>
      </c>
      <c r="AK18" s="3">
        <f t="shared" si="17"/>
        <v>9178.9067999999988</v>
      </c>
      <c r="AL18" s="3">
        <f t="shared" si="17"/>
        <v>9178.9067999999988</v>
      </c>
      <c r="AM18" s="3">
        <f t="shared" si="17"/>
        <v>9178.9067999999988</v>
      </c>
      <c r="AN18" s="3">
        <f t="shared" si="17"/>
        <v>9178.9067999999988</v>
      </c>
      <c r="AO18" s="3">
        <f t="shared" si="17"/>
        <v>9178.9067999999988</v>
      </c>
      <c r="AP18" s="3">
        <f t="shared" si="17"/>
        <v>6664</v>
      </c>
      <c r="AQ18" s="3">
        <f t="shared" si="17"/>
        <v>6664</v>
      </c>
      <c r="AR18" s="3">
        <f t="shared" si="17"/>
        <v>6664</v>
      </c>
      <c r="AS18" s="3">
        <f t="shared" si="18"/>
        <v>6664</v>
      </c>
      <c r="AT18" s="3">
        <f t="shared" si="18"/>
        <v>6664</v>
      </c>
      <c r="AU18" s="3">
        <f t="shared" si="18"/>
        <v>6664</v>
      </c>
      <c r="AV18" s="3">
        <f t="shared" si="18"/>
        <v>6664</v>
      </c>
      <c r="AW18" s="3">
        <f t="shared" si="18"/>
        <v>6664</v>
      </c>
      <c r="AX18" s="3">
        <f t="shared" si="18"/>
        <v>6664</v>
      </c>
      <c r="AY18" s="3">
        <f t="shared" si="18"/>
        <v>16660</v>
      </c>
      <c r="AZ18" s="3">
        <f t="shared" si="18"/>
        <v>16660</v>
      </c>
      <c r="BA18" s="3">
        <f t="shared" si="18"/>
        <v>16660</v>
      </c>
      <c r="BB18" s="3">
        <f t="shared" si="18"/>
        <v>16859.919999999998</v>
      </c>
      <c r="BC18" s="3">
        <f t="shared" si="18"/>
        <v>16859.919999999998</v>
      </c>
      <c r="BD18" s="3">
        <f t="shared" si="18"/>
        <v>16859.919999999998</v>
      </c>
      <c r="BE18" s="3">
        <f t="shared" si="18"/>
        <v>16859.919999999998</v>
      </c>
      <c r="BF18" s="3">
        <f t="shared" si="18"/>
        <v>16859.919999999998</v>
      </c>
      <c r="BG18" s="3">
        <f t="shared" si="18"/>
        <v>16859.919999999998</v>
      </c>
      <c r="BH18" s="3">
        <f t="shared" si="18"/>
        <v>16859.919999999998</v>
      </c>
      <c r="BI18" s="3">
        <f t="shared" si="19"/>
        <v>16859.919999999998</v>
      </c>
      <c r="BJ18" s="3">
        <f t="shared" si="19"/>
        <v>16859.919999999998</v>
      </c>
      <c r="BK18" s="3">
        <f t="shared" si="19"/>
        <v>17159.8</v>
      </c>
      <c r="BL18" s="3">
        <f t="shared" si="19"/>
        <v>17159.8</v>
      </c>
      <c r="BM18" s="3">
        <f t="shared" si="19"/>
        <v>17159.8</v>
      </c>
      <c r="BN18" s="3">
        <f t="shared" si="19"/>
        <v>17365.7176</v>
      </c>
      <c r="BO18" s="3">
        <f t="shared" si="19"/>
        <v>17365.7176</v>
      </c>
      <c r="BP18" s="3">
        <f t="shared" si="19"/>
        <v>17365.7176</v>
      </c>
      <c r="BQ18" s="3">
        <f t="shared" si="19"/>
        <v>17365.7176</v>
      </c>
      <c r="BR18" s="3">
        <f t="shared" si="19"/>
        <v>17365.7176</v>
      </c>
      <c r="BS18" s="3">
        <f t="shared" si="19"/>
        <v>17365.7176</v>
      </c>
      <c r="BT18" s="3">
        <f t="shared" si="19"/>
        <v>17365.7176</v>
      </c>
      <c r="BU18" s="3">
        <f t="shared" si="19"/>
        <v>17365.7176</v>
      </c>
      <c r="BV18" s="3">
        <f t="shared" si="19"/>
        <v>17365.7176</v>
      </c>
      <c r="BW18" s="3">
        <f t="shared" si="19"/>
        <v>17674.594000000001</v>
      </c>
      <c r="BX18" s="3">
        <f t="shared" si="19"/>
        <v>17674.594000000001</v>
      </c>
      <c r="BY18" s="3">
        <f t="shared" si="20"/>
        <v>17674.594000000001</v>
      </c>
      <c r="BZ18" s="3">
        <f t="shared" si="20"/>
        <v>17886.689127999998</v>
      </c>
      <c r="CA18" s="3">
        <f t="shared" si="20"/>
        <v>17886.689127999998</v>
      </c>
      <c r="CB18" s="3">
        <f t="shared" si="20"/>
        <v>17886.689127999998</v>
      </c>
      <c r="CC18" s="3">
        <f t="shared" si="20"/>
        <v>17886.689127999998</v>
      </c>
      <c r="CD18" s="3">
        <f t="shared" si="20"/>
        <v>17886.689127999998</v>
      </c>
      <c r="CE18" s="3">
        <f t="shared" si="20"/>
        <v>17886.689127999998</v>
      </c>
      <c r="CF18" s="3">
        <f t="shared" si="20"/>
        <v>17886.689127999998</v>
      </c>
      <c r="CG18" s="3">
        <f t="shared" si="20"/>
        <v>17886.689127999998</v>
      </c>
      <c r="CH18" s="3" t="str">
        <f t="shared" si="20"/>
        <v/>
      </c>
      <c r="CI18" s="3" t="str">
        <f t="shared" si="20"/>
        <v/>
      </c>
      <c r="CJ18" s="3" t="str">
        <f t="shared" si="20"/>
        <v/>
      </c>
      <c r="CK18" s="3" t="str">
        <f t="shared" si="20"/>
        <v/>
      </c>
    </row>
    <row r="19" spans="2:89" x14ac:dyDescent="0.2">
      <c r="B19">
        <v>8</v>
      </c>
      <c r="C19" s="23">
        <f>INDEX('Rent Roll'!D:D,MATCH($B19,'Rent Roll'!$B:$B,0))</f>
        <v>1750</v>
      </c>
      <c r="D19" s="3">
        <f>INDEX('Rent Roll'!I:I,MATCH($B19,'Rent Roll'!$B:$B,0))</f>
        <v>6.98</v>
      </c>
      <c r="E19" s="39">
        <v>44105</v>
      </c>
      <c r="F19" s="39">
        <v>44470</v>
      </c>
      <c r="G19" s="39">
        <f>INDEX('Rent Roll'!F:F,MATCH($B19,'Rent Roll'!$B:$B,0))</f>
        <v>44834</v>
      </c>
      <c r="H19" s="40">
        <f t="shared" si="21"/>
        <v>0.4</v>
      </c>
      <c r="I19">
        <v>9</v>
      </c>
      <c r="L19">
        <f t="shared" si="15"/>
        <v>8</v>
      </c>
      <c r="M19" s="3">
        <f t="shared" si="16"/>
        <v>12215</v>
      </c>
      <c r="N19" s="3">
        <f t="shared" si="16"/>
        <v>12215</v>
      </c>
      <c r="O19" s="3">
        <f t="shared" si="16"/>
        <v>12215</v>
      </c>
      <c r="P19" s="3">
        <f t="shared" si="16"/>
        <v>12215</v>
      </c>
      <c r="Q19" s="3">
        <f t="shared" si="16"/>
        <v>12215</v>
      </c>
      <c r="R19" s="3">
        <f t="shared" si="16"/>
        <v>12215</v>
      </c>
      <c r="S19" s="3">
        <f t="shared" si="16"/>
        <v>12215</v>
      </c>
      <c r="T19" s="3">
        <f t="shared" si="16"/>
        <v>12215</v>
      </c>
      <c r="U19" s="3">
        <f t="shared" si="16"/>
        <v>12581.45</v>
      </c>
      <c r="V19" s="3">
        <f t="shared" si="16"/>
        <v>12581.45</v>
      </c>
      <c r="W19" s="3">
        <f t="shared" si="16"/>
        <v>12581.45</v>
      </c>
      <c r="X19" s="3">
        <f t="shared" si="16"/>
        <v>12581.45</v>
      </c>
      <c r="Y19" s="3">
        <f t="shared" si="16"/>
        <v>12581.45</v>
      </c>
      <c r="Z19" s="3">
        <f t="shared" si="16"/>
        <v>12581.45</v>
      </c>
      <c r="AA19" s="3">
        <f t="shared" si="16"/>
        <v>12581.45</v>
      </c>
      <c r="AB19" s="3">
        <f t="shared" si="16"/>
        <v>12581.45</v>
      </c>
      <c r="AC19" s="3">
        <f t="shared" si="17"/>
        <v>12581.45</v>
      </c>
      <c r="AD19" s="3">
        <f t="shared" si="17"/>
        <v>12581.45</v>
      </c>
      <c r="AE19" s="3">
        <f t="shared" si="17"/>
        <v>12581.45</v>
      </c>
      <c r="AF19" s="3">
        <f t="shared" si="17"/>
        <v>12581.45</v>
      </c>
      <c r="AG19" s="3">
        <f t="shared" si="17"/>
        <v>4165</v>
      </c>
      <c r="AH19" s="3">
        <f t="shared" si="17"/>
        <v>4165</v>
      </c>
      <c r="AI19" s="3">
        <f t="shared" si="17"/>
        <v>4165</v>
      </c>
      <c r="AJ19" s="3">
        <f t="shared" si="17"/>
        <v>4165</v>
      </c>
      <c r="AK19" s="3">
        <f t="shared" si="17"/>
        <v>4165</v>
      </c>
      <c r="AL19" s="3">
        <f t="shared" si="17"/>
        <v>4165</v>
      </c>
      <c r="AM19" s="3">
        <f t="shared" si="17"/>
        <v>4165</v>
      </c>
      <c r="AN19" s="3">
        <f t="shared" si="17"/>
        <v>4165</v>
      </c>
      <c r="AO19" s="3">
        <f t="shared" si="17"/>
        <v>4165</v>
      </c>
      <c r="AP19" s="3">
        <f t="shared" si="17"/>
        <v>10412.5</v>
      </c>
      <c r="AQ19" s="3">
        <f t="shared" si="17"/>
        <v>10412.5</v>
      </c>
      <c r="AR19" s="3">
        <f t="shared" si="17"/>
        <v>10412.5</v>
      </c>
      <c r="AS19" s="3">
        <f t="shared" si="18"/>
        <v>10537.45</v>
      </c>
      <c r="AT19" s="3">
        <f t="shared" si="18"/>
        <v>10537.45</v>
      </c>
      <c r="AU19" s="3">
        <f t="shared" si="18"/>
        <v>10537.45</v>
      </c>
      <c r="AV19" s="3">
        <f t="shared" si="18"/>
        <v>10537.45</v>
      </c>
      <c r="AW19" s="3">
        <f t="shared" si="18"/>
        <v>10537.45</v>
      </c>
      <c r="AX19" s="3">
        <f t="shared" si="18"/>
        <v>10537.45</v>
      </c>
      <c r="AY19" s="3">
        <f t="shared" si="18"/>
        <v>10537.45</v>
      </c>
      <c r="AZ19" s="3">
        <f t="shared" si="18"/>
        <v>10537.45</v>
      </c>
      <c r="BA19" s="3">
        <f t="shared" si="18"/>
        <v>10537.45</v>
      </c>
      <c r="BB19" s="3">
        <f t="shared" si="18"/>
        <v>10724.875</v>
      </c>
      <c r="BC19" s="3">
        <f t="shared" si="18"/>
        <v>10724.875</v>
      </c>
      <c r="BD19" s="3">
        <f t="shared" si="18"/>
        <v>10724.875</v>
      </c>
      <c r="BE19" s="3">
        <f t="shared" si="18"/>
        <v>10853.5735</v>
      </c>
      <c r="BF19" s="3">
        <f t="shared" si="18"/>
        <v>10853.5735</v>
      </c>
      <c r="BG19" s="3">
        <f t="shared" si="18"/>
        <v>10853.5735</v>
      </c>
      <c r="BH19" s="3">
        <f t="shared" si="18"/>
        <v>10853.5735</v>
      </c>
      <c r="BI19" s="3">
        <f t="shared" si="19"/>
        <v>10853.5735</v>
      </c>
      <c r="BJ19" s="3">
        <f t="shared" si="19"/>
        <v>10853.5735</v>
      </c>
      <c r="BK19" s="3">
        <f t="shared" si="19"/>
        <v>10853.5735</v>
      </c>
      <c r="BL19" s="3">
        <f t="shared" si="19"/>
        <v>10853.5735</v>
      </c>
      <c r="BM19" s="3">
        <f t="shared" si="19"/>
        <v>10853.5735</v>
      </c>
      <c r="BN19" s="3">
        <f t="shared" si="19"/>
        <v>11046.62125</v>
      </c>
      <c r="BO19" s="3">
        <f t="shared" si="19"/>
        <v>11046.62125</v>
      </c>
      <c r="BP19" s="3">
        <f t="shared" si="19"/>
        <v>11046.62125</v>
      </c>
      <c r="BQ19" s="3">
        <f t="shared" si="19"/>
        <v>11179.180705000001</v>
      </c>
      <c r="BR19" s="3">
        <f t="shared" si="19"/>
        <v>11179.180705000001</v>
      </c>
      <c r="BS19" s="3">
        <f t="shared" si="19"/>
        <v>11179.180705000001</v>
      </c>
      <c r="BT19" s="3">
        <f t="shared" si="19"/>
        <v>11179.180705000001</v>
      </c>
      <c r="BU19" s="3">
        <f t="shared" si="19"/>
        <v>11179.180705000001</v>
      </c>
      <c r="BV19" s="3">
        <f t="shared" si="19"/>
        <v>11179.180705000001</v>
      </c>
      <c r="BW19" s="3">
        <f t="shared" si="19"/>
        <v>11179.180705000001</v>
      </c>
      <c r="BX19" s="3">
        <f t="shared" si="19"/>
        <v>11179.180705000001</v>
      </c>
      <c r="BY19" s="3">
        <f t="shared" si="20"/>
        <v>11179.180705000001</v>
      </c>
      <c r="BZ19" s="3">
        <f t="shared" si="20"/>
        <v>11378.019887500001</v>
      </c>
      <c r="CA19" s="3">
        <f t="shared" si="20"/>
        <v>11378.019887500001</v>
      </c>
      <c r="CB19" s="3">
        <f t="shared" si="20"/>
        <v>11378.019887500001</v>
      </c>
      <c r="CC19" s="3">
        <f t="shared" si="20"/>
        <v>11514.556126150001</v>
      </c>
      <c r="CD19" s="3">
        <f t="shared" si="20"/>
        <v>11514.556126150001</v>
      </c>
      <c r="CE19" s="3">
        <f t="shared" si="20"/>
        <v>11514.556126150001</v>
      </c>
      <c r="CF19" s="3">
        <f t="shared" si="20"/>
        <v>11514.556126150001</v>
      </c>
      <c r="CG19" s="3">
        <f t="shared" si="20"/>
        <v>11514.556126150001</v>
      </c>
      <c r="CH19" s="3" t="str">
        <f t="shared" si="20"/>
        <v/>
      </c>
      <c r="CI19" s="3" t="str">
        <f t="shared" si="20"/>
        <v/>
      </c>
      <c r="CJ19" s="3" t="str">
        <f t="shared" si="20"/>
        <v/>
      </c>
      <c r="CK19" s="3" t="str">
        <f t="shared" si="20"/>
        <v/>
      </c>
    </row>
    <row r="20" spans="2:89" x14ac:dyDescent="0.2">
      <c r="B20">
        <v>9</v>
      </c>
      <c r="C20" s="23">
        <f>INDEX('Rent Roll'!D:D,MATCH($B20,'Rent Roll'!$B:$B,0))</f>
        <v>1750</v>
      </c>
      <c r="D20" s="3">
        <f>INDEX('Rent Roll'!I:I,MATCH($B20,'Rent Roll'!$B:$B,0))</f>
        <v>6.32</v>
      </c>
      <c r="E20" s="39">
        <v>43617</v>
      </c>
      <c r="F20" s="39">
        <v>44348</v>
      </c>
      <c r="G20" s="39">
        <f>INDEX('Rent Roll'!F:F,MATCH($B20,'Rent Roll'!$B:$B,0))</f>
        <v>47269</v>
      </c>
      <c r="H20" s="40">
        <f t="shared" si="21"/>
        <v>0.4</v>
      </c>
      <c r="I20">
        <v>9</v>
      </c>
      <c r="L20">
        <f t="shared" si="15"/>
        <v>9</v>
      </c>
      <c r="M20" s="3">
        <f t="shared" si="16"/>
        <v>11060</v>
      </c>
      <c r="N20" s="3">
        <f t="shared" si="16"/>
        <v>11060</v>
      </c>
      <c r="O20" s="3">
        <f t="shared" si="16"/>
        <v>11060</v>
      </c>
      <c r="P20" s="3">
        <f t="shared" si="16"/>
        <v>11060</v>
      </c>
      <c r="Q20" s="3">
        <f t="shared" si="16"/>
        <v>11391.800000000001</v>
      </c>
      <c r="R20" s="3">
        <f t="shared" si="16"/>
        <v>11391.800000000001</v>
      </c>
      <c r="S20" s="3">
        <f t="shared" si="16"/>
        <v>11391.800000000001</v>
      </c>
      <c r="T20" s="3">
        <f t="shared" si="16"/>
        <v>11391.800000000001</v>
      </c>
      <c r="U20" s="3">
        <f t="shared" si="16"/>
        <v>11391.800000000001</v>
      </c>
      <c r="V20" s="3">
        <f t="shared" si="16"/>
        <v>11391.800000000001</v>
      </c>
      <c r="W20" s="3">
        <f t="shared" si="16"/>
        <v>11391.800000000001</v>
      </c>
      <c r="X20" s="3">
        <f t="shared" si="16"/>
        <v>11391.800000000001</v>
      </c>
      <c r="Y20" s="3">
        <f t="shared" si="16"/>
        <v>11391.800000000001</v>
      </c>
      <c r="Z20" s="3">
        <f t="shared" si="16"/>
        <v>11391.800000000001</v>
      </c>
      <c r="AA20" s="3">
        <f t="shared" si="16"/>
        <v>11391.800000000001</v>
      </c>
      <c r="AB20" s="3">
        <f t="shared" si="16"/>
        <v>11391.800000000001</v>
      </c>
      <c r="AC20" s="3">
        <f t="shared" si="17"/>
        <v>11733.554</v>
      </c>
      <c r="AD20" s="3">
        <f t="shared" si="17"/>
        <v>11733.554</v>
      </c>
      <c r="AE20" s="3">
        <f t="shared" si="17"/>
        <v>11733.554</v>
      </c>
      <c r="AF20" s="3">
        <f t="shared" si="17"/>
        <v>11733.554</v>
      </c>
      <c r="AG20" s="3">
        <f t="shared" si="17"/>
        <v>11733.554</v>
      </c>
      <c r="AH20" s="3">
        <f t="shared" si="17"/>
        <v>11733.554</v>
      </c>
      <c r="AI20" s="3">
        <f t="shared" si="17"/>
        <v>11733.554</v>
      </c>
      <c r="AJ20" s="3">
        <f t="shared" si="17"/>
        <v>11733.554</v>
      </c>
      <c r="AK20" s="3">
        <f t="shared" si="17"/>
        <v>11733.554</v>
      </c>
      <c r="AL20" s="3">
        <f t="shared" si="17"/>
        <v>11733.554</v>
      </c>
      <c r="AM20" s="3">
        <f t="shared" si="17"/>
        <v>11733.554</v>
      </c>
      <c r="AN20" s="3">
        <f t="shared" si="17"/>
        <v>11733.554</v>
      </c>
      <c r="AO20" s="3">
        <f t="shared" si="17"/>
        <v>12085.56062</v>
      </c>
      <c r="AP20" s="3">
        <f t="shared" si="17"/>
        <v>12085.56062</v>
      </c>
      <c r="AQ20" s="3">
        <f t="shared" si="17"/>
        <v>12085.56062</v>
      </c>
      <c r="AR20" s="3">
        <f t="shared" si="17"/>
        <v>12085.56062</v>
      </c>
      <c r="AS20" s="3">
        <f t="shared" si="18"/>
        <v>12085.56062</v>
      </c>
      <c r="AT20" s="3">
        <f t="shared" si="18"/>
        <v>12085.56062</v>
      </c>
      <c r="AU20" s="3">
        <f t="shared" si="18"/>
        <v>12085.56062</v>
      </c>
      <c r="AV20" s="3">
        <f t="shared" si="18"/>
        <v>12085.56062</v>
      </c>
      <c r="AW20" s="3">
        <f t="shared" si="18"/>
        <v>12085.56062</v>
      </c>
      <c r="AX20" s="3">
        <f t="shared" si="18"/>
        <v>12085.56062</v>
      </c>
      <c r="AY20" s="3">
        <f t="shared" si="18"/>
        <v>12085.56062</v>
      </c>
      <c r="AZ20" s="3">
        <f t="shared" si="18"/>
        <v>12085.56062</v>
      </c>
      <c r="BA20" s="3">
        <f t="shared" si="18"/>
        <v>12448.127438599999</v>
      </c>
      <c r="BB20" s="3">
        <f t="shared" si="18"/>
        <v>12448.127438599999</v>
      </c>
      <c r="BC20" s="3">
        <f t="shared" si="18"/>
        <v>12448.127438599999</v>
      </c>
      <c r="BD20" s="3">
        <f t="shared" si="18"/>
        <v>12448.127438599999</v>
      </c>
      <c r="BE20" s="3">
        <f t="shared" si="18"/>
        <v>12448.127438599999</v>
      </c>
      <c r="BF20" s="3">
        <f t="shared" si="18"/>
        <v>12448.127438599999</v>
      </c>
      <c r="BG20" s="3">
        <f t="shared" si="18"/>
        <v>12448.127438599999</v>
      </c>
      <c r="BH20" s="3">
        <f t="shared" si="18"/>
        <v>12448.127438599999</v>
      </c>
      <c r="BI20" s="3">
        <f t="shared" si="19"/>
        <v>12448.127438599999</v>
      </c>
      <c r="BJ20" s="3">
        <f t="shared" si="19"/>
        <v>12448.127438599999</v>
      </c>
      <c r="BK20" s="3">
        <f t="shared" si="19"/>
        <v>12448.127438599999</v>
      </c>
      <c r="BL20" s="3">
        <f t="shared" si="19"/>
        <v>12448.127438599999</v>
      </c>
      <c r="BM20" s="3">
        <f t="shared" si="19"/>
        <v>12821.571261757997</v>
      </c>
      <c r="BN20" s="3">
        <f t="shared" si="19"/>
        <v>12821.571261757997</v>
      </c>
      <c r="BO20" s="3">
        <f t="shared" si="19"/>
        <v>12821.571261757997</v>
      </c>
      <c r="BP20" s="3">
        <f t="shared" si="19"/>
        <v>12821.571261757997</v>
      </c>
      <c r="BQ20" s="3">
        <f t="shared" si="19"/>
        <v>12821.571261757997</v>
      </c>
      <c r="BR20" s="3">
        <f t="shared" si="19"/>
        <v>12821.571261757997</v>
      </c>
      <c r="BS20" s="3">
        <f t="shared" si="19"/>
        <v>12821.571261757997</v>
      </c>
      <c r="BT20" s="3">
        <f t="shared" si="19"/>
        <v>12821.571261757997</v>
      </c>
      <c r="BU20" s="3">
        <f t="shared" si="19"/>
        <v>12821.571261757997</v>
      </c>
      <c r="BV20" s="3">
        <f t="shared" si="19"/>
        <v>12821.571261757997</v>
      </c>
      <c r="BW20" s="3">
        <f t="shared" si="19"/>
        <v>12821.571261757997</v>
      </c>
      <c r="BX20" s="3">
        <f t="shared" si="19"/>
        <v>12821.571261757997</v>
      </c>
      <c r="BY20" s="3">
        <f t="shared" si="20"/>
        <v>13206.21839961074</v>
      </c>
      <c r="BZ20" s="3">
        <f t="shared" si="20"/>
        <v>13206.21839961074</v>
      </c>
      <c r="CA20" s="3">
        <f t="shared" si="20"/>
        <v>13206.21839961074</v>
      </c>
      <c r="CB20" s="3">
        <f t="shared" si="20"/>
        <v>13206.21839961074</v>
      </c>
      <c r="CC20" s="3">
        <f t="shared" si="20"/>
        <v>13206.21839961074</v>
      </c>
      <c r="CD20" s="3">
        <f t="shared" si="20"/>
        <v>13206.21839961074</v>
      </c>
      <c r="CE20" s="3">
        <f t="shared" si="20"/>
        <v>13206.21839961074</v>
      </c>
      <c r="CF20" s="3">
        <f t="shared" si="20"/>
        <v>13206.21839961074</v>
      </c>
      <c r="CG20" s="3">
        <f t="shared" si="20"/>
        <v>13206.21839961074</v>
      </c>
      <c r="CH20" s="3" t="str">
        <f t="shared" si="20"/>
        <v/>
      </c>
      <c r="CI20" s="3" t="str">
        <f t="shared" si="20"/>
        <v/>
      </c>
      <c r="CJ20" s="3" t="str">
        <f t="shared" si="20"/>
        <v/>
      </c>
      <c r="CK20" s="3" t="str">
        <f t="shared" si="20"/>
        <v/>
      </c>
    </row>
    <row r="21" spans="2:89" x14ac:dyDescent="0.2">
      <c r="B21">
        <v>10</v>
      </c>
      <c r="C21" s="23">
        <f>INDEX('Rent Roll'!D:D,MATCH($B21,'Rent Roll'!$B:$B,0))</f>
        <v>1700</v>
      </c>
      <c r="D21" s="3">
        <f>INDEX('Rent Roll'!I:I,MATCH($B21,'Rent Roll'!$B:$B,0))</f>
        <v>5.25</v>
      </c>
      <c r="E21" s="39">
        <v>43831</v>
      </c>
      <c r="F21" s="39">
        <v>44562</v>
      </c>
      <c r="G21" s="39">
        <f>INDEX('Rent Roll'!F:F,MATCH($B21,'Rent Roll'!$B:$B,0))</f>
        <v>49674</v>
      </c>
      <c r="H21" s="40">
        <f t="shared" si="21"/>
        <v>0.4</v>
      </c>
      <c r="I21">
        <v>9</v>
      </c>
      <c r="L21">
        <f t="shared" si="15"/>
        <v>10</v>
      </c>
      <c r="M21" s="3">
        <f t="shared" si="16"/>
        <v>8925</v>
      </c>
      <c r="N21" s="3">
        <f t="shared" si="16"/>
        <v>8925</v>
      </c>
      <c r="O21" s="3">
        <f t="shared" si="16"/>
        <v>8925</v>
      </c>
      <c r="P21" s="3">
        <f t="shared" si="16"/>
        <v>8925</v>
      </c>
      <c r="Q21" s="3">
        <f t="shared" si="16"/>
        <v>8925</v>
      </c>
      <c r="R21" s="3">
        <f t="shared" si="16"/>
        <v>8925</v>
      </c>
      <c r="S21" s="3">
        <f t="shared" si="16"/>
        <v>8925</v>
      </c>
      <c r="T21" s="3">
        <f t="shared" si="16"/>
        <v>8925</v>
      </c>
      <c r="U21" s="3">
        <f t="shared" si="16"/>
        <v>8925</v>
      </c>
      <c r="V21" s="3">
        <f t="shared" si="16"/>
        <v>8925</v>
      </c>
      <c r="W21" s="3">
        <f t="shared" si="16"/>
        <v>8925</v>
      </c>
      <c r="X21" s="3">
        <f t="shared" si="16"/>
        <v>9192.75</v>
      </c>
      <c r="Y21" s="3">
        <f t="shared" si="16"/>
        <v>9192.75</v>
      </c>
      <c r="Z21" s="3">
        <f t="shared" si="16"/>
        <v>9192.75</v>
      </c>
      <c r="AA21" s="3">
        <f t="shared" si="16"/>
        <v>9192.75</v>
      </c>
      <c r="AB21" s="3">
        <f t="shared" si="16"/>
        <v>9192.75</v>
      </c>
      <c r="AC21" s="3">
        <f t="shared" si="17"/>
        <v>9192.75</v>
      </c>
      <c r="AD21" s="3">
        <f t="shared" si="17"/>
        <v>9192.75</v>
      </c>
      <c r="AE21" s="3">
        <f t="shared" si="17"/>
        <v>9192.75</v>
      </c>
      <c r="AF21" s="3">
        <f t="shared" si="17"/>
        <v>9192.75</v>
      </c>
      <c r="AG21" s="3">
        <f t="shared" si="17"/>
        <v>9192.75</v>
      </c>
      <c r="AH21" s="3">
        <f t="shared" si="17"/>
        <v>9192.75</v>
      </c>
      <c r="AI21" s="3">
        <f t="shared" si="17"/>
        <v>9192.75</v>
      </c>
      <c r="AJ21" s="3">
        <f t="shared" si="17"/>
        <v>9468.5324999999993</v>
      </c>
      <c r="AK21" s="3">
        <f t="shared" si="17"/>
        <v>9468.5324999999993</v>
      </c>
      <c r="AL21" s="3">
        <f t="shared" si="17"/>
        <v>9468.5324999999993</v>
      </c>
      <c r="AM21" s="3">
        <f t="shared" si="17"/>
        <v>9468.5324999999993</v>
      </c>
      <c r="AN21" s="3">
        <f t="shared" si="17"/>
        <v>9468.5324999999993</v>
      </c>
      <c r="AO21" s="3">
        <f t="shared" si="17"/>
        <v>9468.5324999999993</v>
      </c>
      <c r="AP21" s="3">
        <f t="shared" si="17"/>
        <v>9468.5324999999993</v>
      </c>
      <c r="AQ21" s="3">
        <f t="shared" si="17"/>
        <v>9468.5324999999993</v>
      </c>
      <c r="AR21" s="3">
        <f t="shared" si="17"/>
        <v>9468.5324999999993</v>
      </c>
      <c r="AS21" s="3">
        <f t="shared" si="18"/>
        <v>9468.5324999999993</v>
      </c>
      <c r="AT21" s="3">
        <f t="shared" si="18"/>
        <v>9468.5324999999993</v>
      </c>
      <c r="AU21" s="3">
        <f t="shared" si="18"/>
        <v>9468.5324999999993</v>
      </c>
      <c r="AV21" s="3">
        <f t="shared" si="18"/>
        <v>9752.5884750000005</v>
      </c>
      <c r="AW21" s="3">
        <f t="shared" si="18"/>
        <v>9752.5884750000005</v>
      </c>
      <c r="AX21" s="3">
        <f t="shared" si="18"/>
        <v>9752.5884750000005</v>
      </c>
      <c r="AY21" s="3">
        <f t="shared" si="18"/>
        <v>9752.5884750000005</v>
      </c>
      <c r="AZ21" s="3">
        <f t="shared" si="18"/>
        <v>9752.5884750000005</v>
      </c>
      <c r="BA21" s="3">
        <f t="shared" si="18"/>
        <v>9752.5884750000005</v>
      </c>
      <c r="BB21" s="3">
        <f t="shared" si="18"/>
        <v>9752.5884750000005</v>
      </c>
      <c r="BC21" s="3">
        <f t="shared" si="18"/>
        <v>9752.5884750000005</v>
      </c>
      <c r="BD21" s="3">
        <f t="shared" si="18"/>
        <v>9752.5884750000005</v>
      </c>
      <c r="BE21" s="3">
        <f t="shared" si="18"/>
        <v>9752.5884750000005</v>
      </c>
      <c r="BF21" s="3">
        <f t="shared" si="18"/>
        <v>9752.5884750000005</v>
      </c>
      <c r="BG21" s="3">
        <f t="shared" si="18"/>
        <v>9752.5884750000005</v>
      </c>
      <c r="BH21" s="3">
        <f t="shared" si="18"/>
        <v>10045.166129249999</v>
      </c>
      <c r="BI21" s="3">
        <f t="shared" si="19"/>
        <v>10045.166129249999</v>
      </c>
      <c r="BJ21" s="3">
        <f t="shared" si="19"/>
        <v>10045.166129249999</v>
      </c>
      <c r="BK21" s="3">
        <f t="shared" si="19"/>
        <v>10045.166129249999</v>
      </c>
      <c r="BL21" s="3">
        <f t="shared" si="19"/>
        <v>10045.166129249999</v>
      </c>
      <c r="BM21" s="3">
        <f t="shared" si="19"/>
        <v>10045.166129249999</v>
      </c>
      <c r="BN21" s="3">
        <f t="shared" si="19"/>
        <v>10045.166129249999</v>
      </c>
      <c r="BO21" s="3">
        <f t="shared" si="19"/>
        <v>10045.166129249999</v>
      </c>
      <c r="BP21" s="3">
        <f t="shared" si="19"/>
        <v>10045.166129249999</v>
      </c>
      <c r="BQ21" s="3">
        <f t="shared" si="19"/>
        <v>10045.166129249999</v>
      </c>
      <c r="BR21" s="3">
        <f t="shared" si="19"/>
        <v>10045.166129249999</v>
      </c>
      <c r="BS21" s="3">
        <f t="shared" si="19"/>
        <v>10045.166129249999</v>
      </c>
      <c r="BT21" s="3">
        <f t="shared" si="19"/>
        <v>10346.521113127499</v>
      </c>
      <c r="BU21" s="3">
        <f t="shared" si="19"/>
        <v>10346.521113127499</v>
      </c>
      <c r="BV21" s="3">
        <f t="shared" si="19"/>
        <v>10346.521113127499</v>
      </c>
      <c r="BW21" s="3">
        <f t="shared" si="19"/>
        <v>10346.521113127499</v>
      </c>
      <c r="BX21" s="3">
        <f t="shared" si="19"/>
        <v>10346.521113127499</v>
      </c>
      <c r="BY21" s="3">
        <f t="shared" si="20"/>
        <v>10346.521113127499</v>
      </c>
      <c r="BZ21" s="3">
        <f t="shared" si="20"/>
        <v>10346.521113127499</v>
      </c>
      <c r="CA21" s="3">
        <f t="shared" si="20"/>
        <v>10346.521113127499</v>
      </c>
      <c r="CB21" s="3">
        <f t="shared" si="20"/>
        <v>10346.521113127499</v>
      </c>
      <c r="CC21" s="3">
        <f t="shared" si="20"/>
        <v>10346.521113127499</v>
      </c>
      <c r="CD21" s="3">
        <f t="shared" si="20"/>
        <v>10346.521113127499</v>
      </c>
      <c r="CE21" s="3">
        <f t="shared" si="20"/>
        <v>10346.521113127499</v>
      </c>
      <c r="CF21" s="3">
        <f t="shared" si="20"/>
        <v>10656.916746521325</v>
      </c>
      <c r="CG21" s="3">
        <f t="shared" si="20"/>
        <v>10656.916746521325</v>
      </c>
      <c r="CH21" s="3" t="str">
        <f t="shared" si="20"/>
        <v/>
      </c>
      <c r="CI21" s="3" t="str">
        <f t="shared" si="20"/>
        <v/>
      </c>
      <c r="CJ21" s="3" t="str">
        <f t="shared" si="20"/>
        <v/>
      </c>
      <c r="CK21" s="3" t="str">
        <f t="shared" si="20"/>
        <v/>
      </c>
    </row>
    <row r="22" spans="2:89" x14ac:dyDescent="0.2">
      <c r="B22">
        <v>11</v>
      </c>
      <c r="C22" s="23">
        <f>INDEX('Rent Roll'!D:D,MATCH($B22,'Rent Roll'!$B:$B,0))</f>
        <v>1100</v>
      </c>
      <c r="D22" s="3">
        <f>INDEX('Rent Roll'!I:I,MATCH($B22,'Rent Roll'!$B:$B,0))</f>
        <v>0</v>
      </c>
      <c r="E22" s="3"/>
      <c r="G22" s="39"/>
      <c r="H22" s="40">
        <f t="shared" si="21"/>
        <v>0.4</v>
      </c>
      <c r="I22">
        <v>9</v>
      </c>
      <c r="L22">
        <f t="shared" si="15"/>
        <v>11</v>
      </c>
      <c r="M22" s="3">
        <f t="shared" si="16"/>
        <v>0</v>
      </c>
      <c r="N22" s="3">
        <f t="shared" si="16"/>
        <v>0</v>
      </c>
      <c r="O22" s="3">
        <f t="shared" si="16"/>
        <v>0</v>
      </c>
      <c r="P22" s="3">
        <f t="shared" si="16"/>
        <v>0</v>
      </c>
      <c r="Q22" s="3">
        <f t="shared" si="16"/>
        <v>0</v>
      </c>
      <c r="R22" s="3">
        <f t="shared" si="16"/>
        <v>0</v>
      </c>
      <c r="S22" s="3">
        <f t="shared" si="16"/>
        <v>0</v>
      </c>
      <c r="T22" s="3">
        <f t="shared" si="16"/>
        <v>0</v>
      </c>
      <c r="U22" s="3">
        <f t="shared" si="16"/>
        <v>0</v>
      </c>
      <c r="V22" s="3">
        <f t="shared" si="16"/>
        <v>0</v>
      </c>
      <c r="W22" s="3">
        <f t="shared" si="16"/>
        <v>6545</v>
      </c>
      <c r="X22" s="3">
        <f t="shared" si="16"/>
        <v>6545</v>
      </c>
      <c r="Y22" s="3">
        <f t="shared" si="16"/>
        <v>6545</v>
      </c>
      <c r="Z22" s="3">
        <f t="shared" si="16"/>
        <v>6545</v>
      </c>
      <c r="AA22" s="3">
        <f t="shared" si="16"/>
        <v>6545</v>
      </c>
      <c r="AB22" s="3">
        <f t="shared" si="16"/>
        <v>6545</v>
      </c>
      <c r="AC22" s="3">
        <f t="shared" si="17"/>
        <v>6545</v>
      </c>
      <c r="AD22" s="3">
        <f t="shared" si="17"/>
        <v>6545</v>
      </c>
      <c r="AE22" s="3">
        <f t="shared" si="17"/>
        <v>6545</v>
      </c>
      <c r="AF22" s="3">
        <f t="shared" si="17"/>
        <v>6545</v>
      </c>
      <c r="AG22" s="3">
        <f t="shared" si="17"/>
        <v>6545</v>
      </c>
      <c r="AH22" s="3">
        <f t="shared" si="17"/>
        <v>6545</v>
      </c>
      <c r="AI22" s="3">
        <f t="shared" si="17"/>
        <v>6741.35</v>
      </c>
      <c r="AJ22" s="3">
        <f t="shared" si="17"/>
        <v>6741.35</v>
      </c>
      <c r="AK22" s="3">
        <f t="shared" si="17"/>
        <v>6741.35</v>
      </c>
      <c r="AL22" s="3">
        <f t="shared" si="17"/>
        <v>6741.35</v>
      </c>
      <c r="AM22" s="3">
        <f t="shared" si="17"/>
        <v>6741.35</v>
      </c>
      <c r="AN22" s="3">
        <f t="shared" si="17"/>
        <v>6741.35</v>
      </c>
      <c r="AO22" s="3">
        <f t="shared" si="17"/>
        <v>6741.35</v>
      </c>
      <c r="AP22" s="3">
        <f t="shared" si="17"/>
        <v>6741.35</v>
      </c>
      <c r="AQ22" s="3">
        <f t="shared" si="17"/>
        <v>6741.35</v>
      </c>
      <c r="AR22" s="3">
        <f t="shared" si="17"/>
        <v>6741.35</v>
      </c>
      <c r="AS22" s="3">
        <f t="shared" si="18"/>
        <v>6741.35</v>
      </c>
      <c r="AT22" s="3">
        <f t="shared" si="18"/>
        <v>6741.35</v>
      </c>
      <c r="AU22" s="3">
        <f t="shared" si="18"/>
        <v>6943.5904999999993</v>
      </c>
      <c r="AV22" s="3">
        <f t="shared" si="18"/>
        <v>6943.5904999999993</v>
      </c>
      <c r="AW22" s="3">
        <f t="shared" si="18"/>
        <v>6943.5904999999993</v>
      </c>
      <c r="AX22" s="3">
        <f t="shared" si="18"/>
        <v>6943.5904999999993</v>
      </c>
      <c r="AY22" s="3">
        <f t="shared" si="18"/>
        <v>6943.5904999999993</v>
      </c>
      <c r="AZ22" s="3">
        <f t="shared" si="18"/>
        <v>6943.5904999999993</v>
      </c>
      <c r="BA22" s="3">
        <f t="shared" si="18"/>
        <v>6943.5904999999993</v>
      </c>
      <c r="BB22" s="3">
        <f t="shared" si="18"/>
        <v>6943.5904999999993</v>
      </c>
      <c r="BC22" s="3">
        <f t="shared" si="18"/>
        <v>6943.5904999999993</v>
      </c>
      <c r="BD22" s="3">
        <f t="shared" si="18"/>
        <v>6943.5904999999993</v>
      </c>
      <c r="BE22" s="3">
        <f t="shared" si="18"/>
        <v>6943.5904999999993</v>
      </c>
      <c r="BF22" s="3">
        <f t="shared" si="18"/>
        <v>6943.5904999999993</v>
      </c>
      <c r="BG22" s="3">
        <f t="shared" si="18"/>
        <v>7151.8982150000002</v>
      </c>
      <c r="BH22" s="3">
        <f t="shared" si="18"/>
        <v>7151.8982150000002</v>
      </c>
      <c r="BI22" s="3">
        <f t="shared" si="19"/>
        <v>7151.8982150000002</v>
      </c>
      <c r="BJ22" s="3">
        <f t="shared" si="19"/>
        <v>7151.8982150000002</v>
      </c>
      <c r="BK22" s="3">
        <f t="shared" si="19"/>
        <v>7151.8982150000002</v>
      </c>
      <c r="BL22" s="3">
        <f t="shared" si="19"/>
        <v>7151.8982150000002</v>
      </c>
      <c r="BM22" s="3">
        <f t="shared" si="19"/>
        <v>7151.8982150000002</v>
      </c>
      <c r="BN22" s="3">
        <f t="shared" si="19"/>
        <v>7151.8982150000002</v>
      </c>
      <c r="BO22" s="3">
        <f t="shared" si="19"/>
        <v>7151.8982150000002</v>
      </c>
      <c r="BP22" s="3">
        <f t="shared" si="19"/>
        <v>7151.8982150000002</v>
      </c>
      <c r="BQ22" s="3">
        <f t="shared" si="19"/>
        <v>7151.8982150000002</v>
      </c>
      <c r="BR22" s="3">
        <f t="shared" si="19"/>
        <v>7151.8982150000002</v>
      </c>
      <c r="BS22" s="3">
        <f t="shared" si="19"/>
        <v>7366.4551614499997</v>
      </c>
      <c r="BT22" s="3">
        <f t="shared" si="19"/>
        <v>7366.4551614499997</v>
      </c>
      <c r="BU22" s="3">
        <f t="shared" si="19"/>
        <v>7366.4551614499997</v>
      </c>
      <c r="BV22" s="3">
        <f t="shared" si="19"/>
        <v>7366.4551614499997</v>
      </c>
      <c r="BW22" s="3">
        <f t="shared" si="19"/>
        <v>7366.4551614499997</v>
      </c>
      <c r="BX22" s="3">
        <f t="shared" si="19"/>
        <v>7366.4551614499997</v>
      </c>
      <c r="BY22" s="3">
        <f t="shared" si="20"/>
        <v>7366.4551614499997</v>
      </c>
      <c r="BZ22" s="3">
        <f t="shared" si="20"/>
        <v>7366.4551614499997</v>
      </c>
      <c r="CA22" s="3">
        <f t="shared" si="20"/>
        <v>7366.4551614499997</v>
      </c>
      <c r="CB22" s="3">
        <f t="shared" si="20"/>
        <v>7366.4551614499997</v>
      </c>
      <c r="CC22" s="3">
        <f t="shared" si="20"/>
        <v>7366.4551614499997</v>
      </c>
      <c r="CD22" s="3">
        <f t="shared" si="20"/>
        <v>7366.4551614499997</v>
      </c>
      <c r="CE22" s="3">
        <f t="shared" si="20"/>
        <v>0</v>
      </c>
      <c r="CF22" s="3">
        <f t="shared" si="20"/>
        <v>0</v>
      </c>
      <c r="CG22" s="3">
        <f t="shared" si="20"/>
        <v>0</v>
      </c>
      <c r="CH22" s="3" t="str">
        <f t="shared" si="20"/>
        <v/>
      </c>
      <c r="CI22" s="3" t="str">
        <f t="shared" si="20"/>
        <v/>
      </c>
      <c r="CJ22" s="3" t="str">
        <f t="shared" si="20"/>
        <v/>
      </c>
      <c r="CK22" s="3" t="str">
        <f t="shared" si="20"/>
        <v/>
      </c>
    </row>
    <row r="23" spans="2:89" x14ac:dyDescent="0.2">
      <c r="B23">
        <v>12</v>
      </c>
      <c r="C23" s="23">
        <f>INDEX('Rent Roll'!D:D,MATCH($B23,'Rent Roll'!$B:$B,0))</f>
        <v>2750</v>
      </c>
      <c r="D23" s="3">
        <v>5.5</v>
      </c>
      <c r="E23" s="39">
        <v>44593</v>
      </c>
      <c r="F23" s="39">
        <v>44958</v>
      </c>
      <c r="G23" s="39">
        <v>46418</v>
      </c>
      <c r="H23" s="40">
        <f t="shared" si="21"/>
        <v>0.4</v>
      </c>
      <c r="I23">
        <v>9</v>
      </c>
      <c r="L23">
        <f t="shared" si="15"/>
        <v>12</v>
      </c>
      <c r="M23" s="3">
        <f t="shared" si="16"/>
        <v>0</v>
      </c>
      <c r="N23" s="3">
        <f t="shared" si="16"/>
        <v>0</v>
      </c>
      <c r="O23" s="3">
        <f t="shared" si="16"/>
        <v>0</v>
      </c>
      <c r="P23" s="3">
        <f t="shared" si="16"/>
        <v>0</v>
      </c>
      <c r="Q23" s="3">
        <f t="shared" si="16"/>
        <v>0</v>
      </c>
      <c r="R23" s="3">
        <f t="shared" si="16"/>
        <v>0</v>
      </c>
      <c r="S23" s="3">
        <f t="shared" si="16"/>
        <v>0</v>
      </c>
      <c r="T23" s="3">
        <f t="shared" si="16"/>
        <v>0</v>
      </c>
      <c r="U23" s="3">
        <f t="shared" si="16"/>
        <v>0</v>
      </c>
      <c r="V23" s="3">
        <f t="shared" si="16"/>
        <v>0</v>
      </c>
      <c r="W23" s="3">
        <f t="shared" si="16"/>
        <v>0</v>
      </c>
      <c r="X23" s="3">
        <f t="shared" si="16"/>
        <v>0</v>
      </c>
      <c r="Y23" s="3">
        <f t="shared" si="16"/>
        <v>15125</v>
      </c>
      <c r="Z23" s="3">
        <f t="shared" si="16"/>
        <v>15125</v>
      </c>
      <c r="AA23" s="3">
        <f t="shared" si="16"/>
        <v>15125</v>
      </c>
      <c r="AB23" s="3">
        <f t="shared" si="16"/>
        <v>15125</v>
      </c>
      <c r="AC23" s="3">
        <f t="shared" si="17"/>
        <v>15125</v>
      </c>
      <c r="AD23" s="3">
        <f t="shared" si="17"/>
        <v>15125</v>
      </c>
      <c r="AE23" s="3">
        <f t="shared" si="17"/>
        <v>15125</v>
      </c>
      <c r="AF23" s="3">
        <f t="shared" si="17"/>
        <v>15125</v>
      </c>
      <c r="AG23" s="3">
        <f t="shared" si="17"/>
        <v>15125</v>
      </c>
      <c r="AH23" s="3">
        <f t="shared" si="17"/>
        <v>15125</v>
      </c>
      <c r="AI23" s="3">
        <f t="shared" si="17"/>
        <v>15125</v>
      </c>
      <c r="AJ23" s="3">
        <f t="shared" si="17"/>
        <v>15125</v>
      </c>
      <c r="AK23" s="3">
        <f t="shared" si="17"/>
        <v>15578.75</v>
      </c>
      <c r="AL23" s="3">
        <f t="shared" si="17"/>
        <v>15578.75</v>
      </c>
      <c r="AM23" s="3">
        <f t="shared" si="17"/>
        <v>15578.75</v>
      </c>
      <c r="AN23" s="3">
        <f t="shared" si="17"/>
        <v>15578.75</v>
      </c>
      <c r="AO23" s="3">
        <f t="shared" si="17"/>
        <v>15578.75</v>
      </c>
      <c r="AP23" s="3">
        <f t="shared" si="17"/>
        <v>15578.75</v>
      </c>
      <c r="AQ23" s="3">
        <f t="shared" si="17"/>
        <v>15578.75</v>
      </c>
      <c r="AR23" s="3">
        <f t="shared" si="17"/>
        <v>15578.75</v>
      </c>
      <c r="AS23" s="3">
        <f t="shared" si="18"/>
        <v>15578.75</v>
      </c>
      <c r="AT23" s="3">
        <f t="shared" si="18"/>
        <v>15578.75</v>
      </c>
      <c r="AU23" s="3">
        <f t="shared" si="18"/>
        <v>15578.75</v>
      </c>
      <c r="AV23" s="3">
        <f t="shared" si="18"/>
        <v>15578.75</v>
      </c>
      <c r="AW23" s="3">
        <f t="shared" si="18"/>
        <v>16046.112499999999</v>
      </c>
      <c r="AX23" s="3">
        <f t="shared" si="18"/>
        <v>16046.112499999999</v>
      </c>
      <c r="AY23" s="3">
        <f t="shared" si="18"/>
        <v>16046.112499999999</v>
      </c>
      <c r="AZ23" s="3">
        <f t="shared" si="18"/>
        <v>16046.112499999999</v>
      </c>
      <c r="BA23" s="3">
        <f t="shared" si="18"/>
        <v>16046.112499999999</v>
      </c>
      <c r="BB23" s="3">
        <f t="shared" si="18"/>
        <v>16046.112499999999</v>
      </c>
      <c r="BC23" s="3">
        <f t="shared" si="18"/>
        <v>16046.112499999999</v>
      </c>
      <c r="BD23" s="3">
        <f t="shared" si="18"/>
        <v>16046.112499999999</v>
      </c>
      <c r="BE23" s="3">
        <f t="shared" si="18"/>
        <v>16046.112499999999</v>
      </c>
      <c r="BF23" s="3">
        <f t="shared" si="18"/>
        <v>16046.112499999999</v>
      </c>
      <c r="BG23" s="3">
        <f t="shared" si="18"/>
        <v>16046.112499999999</v>
      </c>
      <c r="BH23" s="3">
        <f t="shared" si="18"/>
        <v>16046.112499999999</v>
      </c>
      <c r="BI23" s="3">
        <f t="shared" si="19"/>
        <v>16527.495875000001</v>
      </c>
      <c r="BJ23" s="3">
        <f t="shared" si="19"/>
        <v>16527.495875000001</v>
      </c>
      <c r="BK23" s="3">
        <f t="shared" si="19"/>
        <v>16527.495875000001</v>
      </c>
      <c r="BL23" s="3">
        <f t="shared" si="19"/>
        <v>16527.495875000001</v>
      </c>
      <c r="BM23" s="3">
        <f t="shared" si="19"/>
        <v>16527.495875000001</v>
      </c>
      <c r="BN23" s="3">
        <f t="shared" si="19"/>
        <v>16527.495875000001</v>
      </c>
      <c r="BO23" s="3">
        <f t="shared" si="19"/>
        <v>16527.495875000001</v>
      </c>
      <c r="BP23" s="3">
        <f t="shared" si="19"/>
        <v>16527.495875000001</v>
      </c>
      <c r="BQ23" s="3">
        <f t="shared" si="19"/>
        <v>16527.495875000001</v>
      </c>
      <c r="BR23" s="3">
        <f t="shared" si="19"/>
        <v>16527.495875000001</v>
      </c>
      <c r="BS23" s="3">
        <f t="shared" si="19"/>
        <v>16527.495875000001</v>
      </c>
      <c r="BT23" s="3">
        <f t="shared" si="19"/>
        <v>16527.495875000001</v>
      </c>
      <c r="BU23" s="3">
        <f t="shared" si="19"/>
        <v>17023.320751249998</v>
      </c>
      <c r="BV23" s="3">
        <f t="shared" si="19"/>
        <v>17023.320751249998</v>
      </c>
      <c r="BW23" s="3">
        <f t="shared" si="19"/>
        <v>17023.320751249998</v>
      </c>
      <c r="BX23" s="3">
        <f t="shared" si="19"/>
        <v>17023.320751249998</v>
      </c>
      <c r="BY23" s="3">
        <f t="shared" si="20"/>
        <v>17023.320751249998</v>
      </c>
      <c r="BZ23" s="3">
        <f t="shared" si="20"/>
        <v>17023.320751249998</v>
      </c>
      <c r="CA23" s="3">
        <f t="shared" si="20"/>
        <v>17023.320751249998</v>
      </c>
      <c r="CB23" s="3">
        <f t="shared" si="20"/>
        <v>17023.320751249998</v>
      </c>
      <c r="CC23" s="3">
        <f t="shared" si="20"/>
        <v>17023.320751249998</v>
      </c>
      <c r="CD23" s="3">
        <f t="shared" si="20"/>
        <v>17023.320751249998</v>
      </c>
      <c r="CE23" s="3">
        <f t="shared" si="20"/>
        <v>17023.320751249998</v>
      </c>
      <c r="CF23" s="3">
        <f t="shared" si="20"/>
        <v>17023.320751249998</v>
      </c>
      <c r="CG23" s="3">
        <f t="shared" si="20"/>
        <v>6545</v>
      </c>
      <c r="CH23" s="3" t="str">
        <f t="shared" si="20"/>
        <v/>
      </c>
      <c r="CI23" s="3" t="str">
        <f t="shared" si="20"/>
        <v/>
      </c>
      <c r="CJ23" s="3" t="str">
        <f t="shared" si="20"/>
        <v/>
      </c>
      <c r="CK23" s="3" t="str">
        <f t="shared" si="20"/>
        <v/>
      </c>
    </row>
    <row r="24" spans="2:89" x14ac:dyDescent="0.2">
      <c r="B24">
        <v>13</v>
      </c>
      <c r="C24" s="23">
        <f>INDEX('Rent Roll'!D:D,MATCH($B24,'Rent Roll'!$B:$B,0))</f>
        <v>850</v>
      </c>
      <c r="D24" s="3">
        <v>6</v>
      </c>
      <c r="E24" s="39">
        <v>44531</v>
      </c>
      <c r="F24" s="39">
        <v>45261</v>
      </c>
      <c r="G24" s="39">
        <v>46356</v>
      </c>
      <c r="H24" s="40">
        <f t="shared" si="21"/>
        <v>0.4</v>
      </c>
      <c r="I24">
        <v>9</v>
      </c>
      <c r="L24">
        <f t="shared" si="15"/>
        <v>13</v>
      </c>
      <c r="M24" s="3">
        <f>IF(M$6="","",_xlfn.LET(_xlpm.p,M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0</v>
      </c>
      <c r="N24" s="3">
        <f>IF(N$6="","",_xlfn.LET(_xlpm.p,N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0</v>
      </c>
      <c r="O24" s="3">
        <f>IF(O$6="","",_xlfn.LET(_xlpm.p,O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0</v>
      </c>
      <c r="P24" s="3">
        <f>IF(P$6="","",_xlfn.LET(_xlpm.p,P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0</v>
      </c>
      <c r="Q24" s="3">
        <f>IF(Q$6="","",_xlfn.LET(_xlpm.p,Q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0</v>
      </c>
      <c r="R24" s="3">
        <f>IF(R$6="","",_xlfn.LET(_xlpm.p,R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0</v>
      </c>
      <c r="S24" s="3">
        <f>IF(S$6="","",_xlfn.LET(_xlpm.p,S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0</v>
      </c>
      <c r="T24" s="3">
        <f>IF(T$6="","",_xlfn.LET(_xlpm.p,T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0</v>
      </c>
      <c r="U24" s="3">
        <f>IF(U$6="","",_xlfn.LET(_xlpm.p,U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0</v>
      </c>
      <c r="V24" s="3">
        <f>IF(V$6="","",_xlfn.LET(_xlpm.p,V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0</v>
      </c>
      <c r="W24" s="3">
        <f>IF(W$6="","",_xlfn.LET(_xlpm.p,W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X24" s="3">
        <f>IF(X$6="","",_xlfn.LET(_xlpm.p,X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Y24" s="3">
        <f>IF(Y$6="","",_xlfn.LET(_xlpm.p,Y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Z24" s="3">
        <f>IF(Z$6="","",_xlfn.LET(_xlpm.p,Z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A24" s="3">
        <f>IF(AA$6="","",_xlfn.LET(_xlpm.p,AA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B24" s="3">
        <f>IF(AB$6="","",_xlfn.LET(_xlpm.p,AB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C24" s="3">
        <f>IF(AC$6="","",_xlfn.LET(_xlpm.p,AC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D24" s="3">
        <f>IF(AD$6="","",_xlfn.LET(_xlpm.p,AD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E24" s="3">
        <f>IF(AE$6="","",_xlfn.LET(_xlpm.p,AE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F24" s="3">
        <f>IF(AF$6="","",_xlfn.LET(_xlpm.p,AF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G24" s="3">
        <f>IF(AG$6="","",_xlfn.LET(_xlpm.p,AG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H24" s="3">
        <f>IF(AH$6="","",_xlfn.LET(_xlpm.p,AH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I24" s="3">
        <f>IF(AI$6="","",_xlfn.LET(_xlpm.p,AI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J24" s="3">
        <f>IF(AJ$6="","",_xlfn.LET(_xlpm.p,AJ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K24" s="3">
        <f>IF(AK$6="","",_xlfn.LET(_xlpm.p,AK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L24" s="3">
        <f>IF(AL$6="","",_xlfn.LET(_xlpm.p,AL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M24" s="3">
        <f>IF(AM$6="","",_xlfn.LET(_xlpm.p,AM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N24" s="3">
        <f>IF(AN$6="","",_xlfn.LET(_xlpm.p,AN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O24" s="3">
        <f>IF(AO$6="","",_xlfn.LET(_xlpm.p,AO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P24" s="3">
        <f>IF(AP$6="","",_xlfn.LET(_xlpm.p,AP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Q24" s="3">
        <f>IF(AQ$6="","",_xlfn.LET(_xlpm.p,AQ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R24" s="3">
        <f>IF(AR$6="","",_xlfn.LET(_xlpm.p,AR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S24" s="3">
        <f>IF(AS$6="","",_xlfn.LET(_xlpm.p,AS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T24" s="3">
        <f>IF(AT$6="","",_xlfn.LET(_xlpm.p,AT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5100</v>
      </c>
      <c r="AU24" s="3">
        <f>IF(AU$6="","",_xlfn.LET(_xlpm.p,AU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5253</v>
      </c>
      <c r="AV24" s="3">
        <f>IF(AV$6="","",_xlfn.LET(_xlpm.p,AV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5253</v>
      </c>
      <c r="AW24" s="3">
        <f>IF(AW$6="","",_xlfn.LET(_xlpm.p,AW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5253</v>
      </c>
      <c r="AX24" s="3">
        <f>IF(AX$6="","",_xlfn.LET(_xlpm.p,AX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5253</v>
      </c>
      <c r="AY24" s="3">
        <f>IF(AY$6="","",_xlfn.LET(_xlpm.p,AY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5253</v>
      </c>
      <c r="AZ24" s="3">
        <f>IF(AZ$6="","",_xlfn.LET(_xlpm.p,AZ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5253</v>
      </c>
      <c r="BA24" s="3">
        <f>IF(BA$6="","",_xlfn.LET(_xlpm.p,BA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5253</v>
      </c>
      <c r="BB24" s="3">
        <f>IF(BB$6="","",_xlfn.LET(_xlpm.p,BB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5253</v>
      </c>
      <c r="BC24" s="3">
        <f>IF(BC$6="","",_xlfn.LET(_xlpm.p,BC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5253</v>
      </c>
      <c r="BD24" s="3">
        <f>IF(BD$6="","",_xlfn.LET(_xlpm.p,BD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5253</v>
      </c>
      <c r="BE24" s="3">
        <f>IF(BE$6="","",_xlfn.LET(_xlpm.p,BE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5253</v>
      </c>
      <c r="BF24" s="3">
        <f>IF(BF$6="","",_xlfn.LET(_xlpm.p,BF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5253</v>
      </c>
      <c r="BG24" s="3">
        <f>IF(BG$6="","",_xlfn.LET(_xlpm.p,BG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5410.59</v>
      </c>
      <c r="BH24" s="3">
        <f>IF(BH$6="","",_xlfn.LET(_xlpm.p,BH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5410.59</v>
      </c>
      <c r="BI24" s="3">
        <f>IF(BI$6="","",_xlfn.LET(_xlpm.p,BI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5410.59</v>
      </c>
      <c r="BJ24" s="3">
        <f>IF(BJ$6="","",_xlfn.LET(_xlpm.p,BJ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5410.59</v>
      </c>
      <c r="BK24" s="3">
        <f>IF(BK$6="","",_xlfn.LET(_xlpm.p,BK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5410.59</v>
      </c>
      <c r="BL24" s="3">
        <f>IF(BL$6="","",_xlfn.LET(_xlpm.p,BL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5410.59</v>
      </c>
      <c r="BM24" s="3">
        <f>IF(BM$6="","",_xlfn.LET(_xlpm.p,BM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5410.59</v>
      </c>
      <c r="BN24" s="3">
        <f>IF(BN$6="","",_xlfn.LET(_xlpm.p,BN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5410.59</v>
      </c>
      <c r="BO24" s="3">
        <f>IF(BO$6="","",_xlfn.LET(_xlpm.p,BO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5410.59</v>
      </c>
      <c r="BP24" s="3">
        <f>IF(BP$6="","",_xlfn.LET(_xlpm.p,BP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5410.59</v>
      </c>
      <c r="BQ24" s="3">
        <f>IF(BQ$6="","",_xlfn.LET(_xlpm.p,BQ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5410.59</v>
      </c>
      <c r="BR24" s="3">
        <f>IF(BR$6="","",_xlfn.LET(_xlpm.p,BR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5410.59</v>
      </c>
      <c r="BS24" s="3">
        <f>IF(BS$6="","",_xlfn.LET(_xlpm.p,BS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5572.9076999999997</v>
      </c>
      <c r="BT24" s="3">
        <f>IF(BT$6="","",_xlfn.LET(_xlpm.p,BT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5572.9076999999997</v>
      </c>
      <c r="BU24" s="3">
        <f>IF(BU$6="","",_xlfn.LET(_xlpm.p,BU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5572.9076999999997</v>
      </c>
      <c r="BV24" s="3">
        <f>IF(BV$6="","",_xlfn.LET(_xlpm.p,BV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5572.9076999999997</v>
      </c>
      <c r="BW24" s="3">
        <f>IF(BW$6="","",_xlfn.LET(_xlpm.p,BW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5572.9076999999997</v>
      </c>
      <c r="BX24" s="3">
        <f>IF(BX$6="","",_xlfn.LET(_xlpm.p,BX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5572.9076999999997</v>
      </c>
      <c r="BY24" s="3">
        <f>IF(BY$6="","",_xlfn.LET(_xlpm.p,BY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5572.9076999999997</v>
      </c>
      <c r="BZ24" s="3">
        <f>IF(BZ$6="","",_xlfn.LET(_xlpm.p,BZ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5572.9076999999997</v>
      </c>
      <c r="CA24" s="3">
        <f>IF(CA$6="","",_xlfn.LET(_xlpm.p,CA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5572.9076999999997</v>
      </c>
      <c r="CB24" s="3">
        <f>IF(CB$6="","",_xlfn.LET(_xlpm.p,CB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5572.9076999999997</v>
      </c>
      <c r="CC24" s="3">
        <f>IF(CC$6="","",_xlfn.LET(_xlpm.p,CC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5572.9076999999997</v>
      </c>
      <c r="CD24" s="3">
        <f>IF(CD$6="","",_xlfn.LET(_xlpm.p,CD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5572.9076999999997</v>
      </c>
      <c r="CE24" s="3">
        <f>IF(CE$6="","",_xlfn.LET(_xlpm.p,CE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2023</v>
      </c>
      <c r="CF24" s="3">
        <f>IF(CF$6="","",_xlfn.LET(_xlpm.p,CF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2023</v>
      </c>
      <c r="CG24" s="3">
        <f>IF(CG$6="","",_xlfn.LET(_xlpm.p,CG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2023</v>
      </c>
      <c r="CH24" s="3" t="str">
        <f>IF(CH$6="","",_xlfn.LET(_xlpm.p,CH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/>
      </c>
      <c r="CI24" s="3" t="str">
        <f>IF(CI$6="","",_xlfn.LET(_xlpm.p,CI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/>
      </c>
      <c r="CJ24" s="3" t="str">
        <f>IF(CJ$6="","",_xlfn.LET(_xlpm.p,CJ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/>
      </c>
      <c r="CK24" s="3" t="str">
        <f>IF(CK$6="","",_xlfn.LET(_xlpm.p,CK$6,_xlpm.sf,$C24,_xlpm.curpsf,$D24,_xlpm.start,$E24,_xlpm.reset,$F24,_xlpm.lend,$G24,_xlpm.renew,$H24,_xlpm.up,VALUE(SUBSTITUTE(LOWER($I24)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/>
      </c>
    </row>
    <row r="25" spans="2:89" x14ac:dyDescent="0.2">
      <c r="B25">
        <v>14</v>
      </c>
      <c r="C25" s="23">
        <f>INDEX('Rent Roll'!D:D,MATCH($B25,'Rent Roll'!$B:$B,0))</f>
        <v>5300</v>
      </c>
      <c r="D25" s="3">
        <f>INDEX('Rent Roll'!I:I,MATCH($B25,'Rent Roll'!$B:$B,0))</f>
        <v>0</v>
      </c>
      <c r="E25" s="3"/>
      <c r="G25" s="39"/>
      <c r="H25" s="40">
        <f t="shared" si="21"/>
        <v>0.4</v>
      </c>
      <c r="I25">
        <v>18</v>
      </c>
      <c r="L25">
        <f t="shared" si="15"/>
        <v>14</v>
      </c>
      <c r="M25" s="3">
        <f t="shared" ref="M25:AB26" si="22">IF(M$6="","",_xlfn.LET(_xlpm.p,M$6,_xlpm.sf,$C25,_xlpm.curpsf,$D25,_xlpm.start,$E25,_xlpm.reset,$F25,_xlpm.lend,$G25,_xlpm.renew,$H25,_xlpm.up,VALUE(SUBSTITUTE(LOWER($I25)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0</v>
      </c>
      <c r="N25" s="3">
        <f t="shared" si="22"/>
        <v>0</v>
      </c>
      <c r="O25" s="3">
        <f t="shared" si="22"/>
        <v>0</v>
      </c>
      <c r="P25" s="3">
        <f t="shared" si="22"/>
        <v>0</v>
      </c>
      <c r="Q25" s="3">
        <f t="shared" si="22"/>
        <v>0</v>
      </c>
      <c r="R25" s="3">
        <f t="shared" si="22"/>
        <v>0</v>
      </c>
      <c r="S25" s="3">
        <f t="shared" si="22"/>
        <v>0</v>
      </c>
      <c r="T25" s="3">
        <f t="shared" si="22"/>
        <v>0</v>
      </c>
      <c r="U25" s="3">
        <f t="shared" si="22"/>
        <v>0</v>
      </c>
      <c r="V25" s="3">
        <f t="shared" si="22"/>
        <v>0</v>
      </c>
      <c r="W25" s="3">
        <f t="shared" si="22"/>
        <v>0</v>
      </c>
      <c r="X25" s="3">
        <f t="shared" si="22"/>
        <v>0</v>
      </c>
      <c r="Y25" s="3">
        <f t="shared" si="22"/>
        <v>0</v>
      </c>
      <c r="Z25" s="3">
        <f t="shared" si="22"/>
        <v>0</v>
      </c>
      <c r="AA25" s="3">
        <f t="shared" si="22"/>
        <v>0</v>
      </c>
      <c r="AB25" s="3">
        <f t="shared" si="22"/>
        <v>0</v>
      </c>
      <c r="AC25" s="3">
        <f t="shared" ref="AC25:AR26" si="23">IF(AC$6="","",_xlfn.LET(_xlpm.p,AC$6,_xlpm.sf,$C25,_xlpm.curpsf,$D25,_xlpm.start,$E25,_xlpm.reset,$F25,_xlpm.lend,$G25,_xlpm.renew,$H25,_xlpm.up,VALUE(SUBSTITUTE(LOWER($I25)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0</v>
      </c>
      <c r="AD25" s="3">
        <f t="shared" si="23"/>
        <v>0</v>
      </c>
      <c r="AE25" s="3">
        <f t="shared" si="23"/>
        <v>0</v>
      </c>
      <c r="AF25" s="3">
        <f t="shared" si="23"/>
        <v>31535</v>
      </c>
      <c r="AG25" s="3">
        <f t="shared" si="23"/>
        <v>31535</v>
      </c>
      <c r="AH25" s="3">
        <f t="shared" si="23"/>
        <v>31535</v>
      </c>
      <c r="AI25" s="3">
        <f t="shared" si="23"/>
        <v>31535</v>
      </c>
      <c r="AJ25" s="3">
        <f t="shared" si="23"/>
        <v>31535</v>
      </c>
      <c r="AK25" s="3">
        <f t="shared" si="23"/>
        <v>31535</v>
      </c>
      <c r="AL25" s="3">
        <f t="shared" si="23"/>
        <v>31535</v>
      </c>
      <c r="AM25" s="3">
        <f t="shared" si="23"/>
        <v>31535</v>
      </c>
      <c r="AN25" s="3">
        <f t="shared" si="23"/>
        <v>31535</v>
      </c>
      <c r="AO25" s="3">
        <f t="shared" si="23"/>
        <v>31535</v>
      </c>
      <c r="AP25" s="3">
        <f t="shared" si="23"/>
        <v>31535</v>
      </c>
      <c r="AQ25" s="3">
        <f t="shared" si="23"/>
        <v>31535</v>
      </c>
      <c r="AR25" s="3">
        <f t="shared" si="23"/>
        <v>32481.05</v>
      </c>
      <c r="AS25" s="3">
        <f t="shared" ref="AS25:BH26" si="24">IF(AS$6="","",_xlfn.LET(_xlpm.p,AS$6,_xlpm.sf,$C25,_xlpm.curpsf,$D25,_xlpm.start,$E25,_xlpm.reset,$F25,_xlpm.lend,$G25,_xlpm.renew,$H25,_xlpm.up,VALUE(SUBSTITUTE(LOWER($I25)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32481.05</v>
      </c>
      <c r="AT25" s="3">
        <f t="shared" si="24"/>
        <v>32481.05</v>
      </c>
      <c r="AU25" s="3">
        <f t="shared" si="24"/>
        <v>32481.05</v>
      </c>
      <c r="AV25" s="3">
        <f t="shared" si="24"/>
        <v>32481.05</v>
      </c>
      <c r="AW25" s="3">
        <f t="shared" si="24"/>
        <v>32481.05</v>
      </c>
      <c r="AX25" s="3">
        <f t="shared" si="24"/>
        <v>32481.05</v>
      </c>
      <c r="AY25" s="3">
        <f t="shared" si="24"/>
        <v>32481.05</v>
      </c>
      <c r="AZ25" s="3">
        <f t="shared" si="24"/>
        <v>32481.05</v>
      </c>
      <c r="BA25" s="3">
        <f t="shared" si="24"/>
        <v>32481.05</v>
      </c>
      <c r="BB25" s="3">
        <f t="shared" si="24"/>
        <v>32481.05</v>
      </c>
      <c r="BC25" s="3">
        <f t="shared" si="24"/>
        <v>32481.05</v>
      </c>
      <c r="BD25" s="3">
        <f t="shared" si="24"/>
        <v>33455.481500000002</v>
      </c>
      <c r="BE25" s="3">
        <f t="shared" si="24"/>
        <v>33455.481500000002</v>
      </c>
      <c r="BF25" s="3">
        <f t="shared" si="24"/>
        <v>33455.481500000002</v>
      </c>
      <c r="BG25" s="3">
        <f t="shared" si="24"/>
        <v>33455.481500000002</v>
      </c>
      <c r="BH25" s="3">
        <f t="shared" si="24"/>
        <v>33455.481500000002</v>
      </c>
      <c r="BI25" s="3">
        <f t="shared" ref="BI25:BX26" si="25">IF(BI$6="","",_xlfn.LET(_xlpm.p,BI$6,_xlpm.sf,$C25,_xlpm.curpsf,$D25,_xlpm.start,$E25,_xlpm.reset,$F25,_xlpm.lend,$G25,_xlpm.renew,$H25,_xlpm.up,VALUE(SUBSTITUTE(LOWER($I25)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33455.481500000002</v>
      </c>
      <c r="BJ25" s="3">
        <f t="shared" si="25"/>
        <v>33455.481500000002</v>
      </c>
      <c r="BK25" s="3">
        <f t="shared" si="25"/>
        <v>33455.481500000002</v>
      </c>
      <c r="BL25" s="3">
        <f t="shared" si="25"/>
        <v>33455.481500000002</v>
      </c>
      <c r="BM25" s="3">
        <f t="shared" si="25"/>
        <v>33455.481500000002</v>
      </c>
      <c r="BN25" s="3">
        <f t="shared" si="25"/>
        <v>33455.481500000002</v>
      </c>
      <c r="BO25" s="3">
        <f t="shared" si="25"/>
        <v>33455.481500000002</v>
      </c>
      <c r="BP25" s="3">
        <f t="shared" si="25"/>
        <v>34459.145944999997</v>
      </c>
      <c r="BQ25" s="3">
        <f t="shared" si="25"/>
        <v>34459.145944999997</v>
      </c>
      <c r="BR25" s="3">
        <f t="shared" si="25"/>
        <v>34459.145944999997</v>
      </c>
      <c r="BS25" s="3">
        <f t="shared" si="25"/>
        <v>34459.145944999997</v>
      </c>
      <c r="BT25" s="3">
        <f t="shared" si="25"/>
        <v>34459.145944999997</v>
      </c>
      <c r="BU25" s="3">
        <f t="shared" si="25"/>
        <v>34459.145944999997</v>
      </c>
      <c r="BV25" s="3">
        <f t="shared" si="25"/>
        <v>34459.145944999997</v>
      </c>
      <c r="BW25" s="3">
        <f t="shared" si="25"/>
        <v>34459.145944999997</v>
      </c>
      <c r="BX25" s="3">
        <f t="shared" si="25"/>
        <v>34459.145944999997</v>
      </c>
      <c r="BY25" s="3">
        <f t="shared" ref="BY25:CK26" si="26">IF(BY$6="","",_xlfn.LET(_xlpm.p,BY$6,_xlpm.sf,$C25,_xlpm.curpsf,$D25,_xlpm.start,$E25,_xlpm.reset,$F25,_xlpm.lend,$G25,_xlpm.renew,$H25,_xlpm.up,VALUE(SUBSTITUTE(LOWER($I25)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,OR(_xlpm.start="",_xlpm.start=0,_xlpm.p&gt;=_xlpm.start)),_xlpm.sf*_xlpm.curpsf*(1+_xlpm.esc)^_xlpm.curEsc,0),_xlpm.renStart,IF(_xlpm.lend&gt;0,EOMONTH(_xlpm.lend,0)+1,0),_xlpm.newStart,IF(_xlpm.lend&gt;0,EDATE(_xlpm.renStart,_xlpm.up),EDATE($M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34459.145944999997</v>
      </c>
      <c r="BZ25" s="3">
        <f t="shared" si="26"/>
        <v>34459.145944999997</v>
      </c>
      <c r="CA25" s="3">
        <f t="shared" si="26"/>
        <v>34459.145944999997</v>
      </c>
      <c r="CB25" s="3">
        <f t="shared" si="26"/>
        <v>35492.920323349994</v>
      </c>
      <c r="CC25" s="3">
        <f t="shared" si="26"/>
        <v>35492.920323349994</v>
      </c>
      <c r="CD25" s="3">
        <f t="shared" si="26"/>
        <v>35492.920323349994</v>
      </c>
      <c r="CE25" s="3">
        <f t="shared" si="26"/>
        <v>35492.920323349994</v>
      </c>
      <c r="CF25" s="3">
        <f t="shared" si="26"/>
        <v>35492.920323349994</v>
      </c>
      <c r="CG25" s="3">
        <f t="shared" si="26"/>
        <v>35492.920323349994</v>
      </c>
      <c r="CH25" s="3" t="str">
        <f t="shared" si="26"/>
        <v/>
      </c>
      <c r="CI25" s="3" t="str">
        <f t="shared" si="26"/>
        <v/>
      </c>
      <c r="CJ25" s="3" t="str">
        <f t="shared" si="26"/>
        <v/>
      </c>
      <c r="CK25" s="3" t="str">
        <f t="shared" si="26"/>
        <v/>
      </c>
    </row>
    <row r="26" spans="2:89" x14ac:dyDescent="0.2">
      <c r="B26">
        <v>15</v>
      </c>
      <c r="C26" s="23">
        <f>INDEX('Rent Roll'!D:D,MATCH($B26,'Rent Roll'!$B:$B,0))</f>
        <v>4900</v>
      </c>
      <c r="D26" s="3">
        <f>INDEX('Rent Roll'!I:I,MATCH($B26,'Rent Roll'!$B:$B,0))</f>
        <v>0</v>
      </c>
      <c r="E26" s="3"/>
      <c r="G26" s="39"/>
      <c r="H26" s="40">
        <f t="shared" si="21"/>
        <v>0.4</v>
      </c>
      <c r="I26">
        <v>20</v>
      </c>
      <c r="L26">
        <f t="shared" si="15"/>
        <v>15</v>
      </c>
      <c r="M26" s="3">
        <f t="shared" si="22"/>
        <v>0</v>
      </c>
      <c r="N26" s="3">
        <f t="shared" si="22"/>
        <v>0</v>
      </c>
      <c r="O26" s="3">
        <f t="shared" si="22"/>
        <v>0</v>
      </c>
      <c r="P26" s="3">
        <f t="shared" si="22"/>
        <v>0</v>
      </c>
      <c r="Q26" s="3">
        <f t="shared" si="22"/>
        <v>0</v>
      </c>
      <c r="R26" s="3">
        <f t="shared" si="22"/>
        <v>0</v>
      </c>
      <c r="S26" s="3">
        <f t="shared" si="22"/>
        <v>0</v>
      </c>
      <c r="T26" s="3">
        <f t="shared" si="22"/>
        <v>0</v>
      </c>
      <c r="U26" s="3">
        <f t="shared" si="22"/>
        <v>0</v>
      </c>
      <c r="V26" s="3">
        <f t="shared" si="22"/>
        <v>0</v>
      </c>
      <c r="W26" s="3">
        <f t="shared" si="22"/>
        <v>0</v>
      </c>
      <c r="X26" s="3">
        <f t="shared" si="22"/>
        <v>0</v>
      </c>
      <c r="Y26" s="3">
        <f t="shared" si="22"/>
        <v>0</v>
      </c>
      <c r="Z26" s="3">
        <f t="shared" si="22"/>
        <v>0</v>
      </c>
      <c r="AA26" s="3">
        <f t="shared" si="22"/>
        <v>0</v>
      </c>
      <c r="AB26" s="3">
        <f t="shared" si="22"/>
        <v>0</v>
      </c>
      <c r="AC26" s="3">
        <f t="shared" si="23"/>
        <v>0</v>
      </c>
      <c r="AD26" s="3">
        <f t="shared" si="23"/>
        <v>0</v>
      </c>
      <c r="AE26" s="3">
        <f t="shared" si="23"/>
        <v>0</v>
      </c>
      <c r="AF26" s="3">
        <f t="shared" si="23"/>
        <v>0</v>
      </c>
      <c r="AG26" s="3">
        <f t="shared" si="23"/>
        <v>0</v>
      </c>
      <c r="AH26" s="3">
        <f t="shared" si="23"/>
        <v>29155</v>
      </c>
      <c r="AI26" s="3">
        <f t="shared" si="23"/>
        <v>29155</v>
      </c>
      <c r="AJ26" s="3">
        <f t="shared" si="23"/>
        <v>29155</v>
      </c>
      <c r="AK26" s="3">
        <f t="shared" si="23"/>
        <v>29155</v>
      </c>
      <c r="AL26" s="3">
        <f t="shared" si="23"/>
        <v>29155</v>
      </c>
      <c r="AM26" s="3">
        <f t="shared" si="23"/>
        <v>29155</v>
      </c>
      <c r="AN26" s="3">
        <f t="shared" si="23"/>
        <v>29155</v>
      </c>
      <c r="AO26" s="3">
        <f t="shared" si="23"/>
        <v>29155</v>
      </c>
      <c r="AP26" s="3">
        <f t="shared" si="23"/>
        <v>29155</v>
      </c>
      <c r="AQ26" s="3">
        <f t="shared" si="23"/>
        <v>29155</v>
      </c>
      <c r="AR26" s="3">
        <f t="shared" si="23"/>
        <v>29155</v>
      </c>
      <c r="AS26" s="3">
        <f t="shared" si="24"/>
        <v>29155</v>
      </c>
      <c r="AT26" s="3">
        <f t="shared" si="24"/>
        <v>30029.65</v>
      </c>
      <c r="AU26" s="3">
        <f t="shared" si="24"/>
        <v>30029.65</v>
      </c>
      <c r="AV26" s="3">
        <f t="shared" si="24"/>
        <v>30029.65</v>
      </c>
      <c r="AW26" s="3">
        <f t="shared" si="24"/>
        <v>30029.65</v>
      </c>
      <c r="AX26" s="3">
        <f t="shared" si="24"/>
        <v>30029.65</v>
      </c>
      <c r="AY26" s="3">
        <f t="shared" si="24"/>
        <v>30029.65</v>
      </c>
      <c r="AZ26" s="3">
        <f t="shared" si="24"/>
        <v>30029.65</v>
      </c>
      <c r="BA26" s="3">
        <f t="shared" si="24"/>
        <v>30029.65</v>
      </c>
      <c r="BB26" s="3">
        <f t="shared" si="24"/>
        <v>30029.65</v>
      </c>
      <c r="BC26" s="3">
        <f t="shared" si="24"/>
        <v>30029.65</v>
      </c>
      <c r="BD26" s="3">
        <f t="shared" si="24"/>
        <v>30029.65</v>
      </c>
      <c r="BE26" s="3">
        <f t="shared" si="24"/>
        <v>30029.65</v>
      </c>
      <c r="BF26" s="3">
        <f t="shared" si="24"/>
        <v>30930.539499999999</v>
      </c>
      <c r="BG26" s="3">
        <f t="shared" si="24"/>
        <v>30930.539499999999</v>
      </c>
      <c r="BH26" s="3">
        <f t="shared" si="24"/>
        <v>30930.539499999999</v>
      </c>
      <c r="BI26" s="3">
        <f t="shared" si="25"/>
        <v>30930.539499999999</v>
      </c>
      <c r="BJ26" s="3">
        <f t="shared" si="25"/>
        <v>30930.539499999999</v>
      </c>
      <c r="BK26" s="3">
        <f t="shared" si="25"/>
        <v>30930.539499999999</v>
      </c>
      <c r="BL26" s="3">
        <f t="shared" si="25"/>
        <v>30930.539499999999</v>
      </c>
      <c r="BM26" s="3">
        <f t="shared" si="25"/>
        <v>30930.539499999999</v>
      </c>
      <c r="BN26" s="3">
        <f t="shared" si="25"/>
        <v>30930.539499999999</v>
      </c>
      <c r="BO26" s="3">
        <f t="shared" si="25"/>
        <v>30930.539499999999</v>
      </c>
      <c r="BP26" s="3">
        <f t="shared" si="25"/>
        <v>30930.539499999999</v>
      </c>
      <c r="BQ26" s="3">
        <f t="shared" si="25"/>
        <v>30930.539499999999</v>
      </c>
      <c r="BR26" s="3">
        <f t="shared" si="25"/>
        <v>31858.455685000001</v>
      </c>
      <c r="BS26" s="3">
        <f t="shared" si="25"/>
        <v>31858.455685000001</v>
      </c>
      <c r="BT26" s="3">
        <f t="shared" si="25"/>
        <v>31858.455685000001</v>
      </c>
      <c r="BU26" s="3">
        <f t="shared" si="25"/>
        <v>31858.455685000001</v>
      </c>
      <c r="BV26" s="3">
        <f t="shared" si="25"/>
        <v>31858.455685000001</v>
      </c>
      <c r="BW26" s="3">
        <f t="shared" si="25"/>
        <v>31858.455685000001</v>
      </c>
      <c r="BX26" s="3">
        <f t="shared" si="25"/>
        <v>31858.455685000001</v>
      </c>
      <c r="BY26" s="3">
        <f t="shared" si="26"/>
        <v>31858.455685000001</v>
      </c>
      <c r="BZ26" s="3">
        <f t="shared" si="26"/>
        <v>31858.455685000001</v>
      </c>
      <c r="CA26" s="3">
        <f t="shared" si="26"/>
        <v>31858.455685000001</v>
      </c>
      <c r="CB26" s="3">
        <f t="shared" si="26"/>
        <v>31858.455685000001</v>
      </c>
      <c r="CC26" s="3">
        <f t="shared" si="26"/>
        <v>31858.455685000001</v>
      </c>
      <c r="CD26" s="3">
        <f t="shared" si="26"/>
        <v>32814.209355549996</v>
      </c>
      <c r="CE26" s="3">
        <f t="shared" si="26"/>
        <v>32814.209355549996</v>
      </c>
      <c r="CF26" s="3">
        <f t="shared" si="26"/>
        <v>32814.209355549996</v>
      </c>
      <c r="CG26" s="3">
        <f t="shared" si="26"/>
        <v>32814.209355549996</v>
      </c>
      <c r="CH26" s="3" t="str">
        <f t="shared" si="26"/>
        <v/>
      </c>
      <c r="CI26" s="3" t="str">
        <f t="shared" si="26"/>
        <v/>
      </c>
      <c r="CJ26" s="3" t="str">
        <f t="shared" si="26"/>
        <v/>
      </c>
      <c r="CK26" s="3" t="str">
        <f t="shared" si="26"/>
        <v/>
      </c>
    </row>
    <row r="27" spans="2:89" x14ac:dyDescent="0.2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</row>
    <row r="28" spans="2:89" x14ac:dyDescent="0.2">
      <c r="B28" s="24" t="s">
        <v>314</v>
      </c>
      <c r="C28" s="23">
        <f>SUM(C12:C26)</f>
        <v>39150</v>
      </c>
      <c r="L28" s="25" t="s">
        <v>258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</row>
    <row r="29" spans="2:89" x14ac:dyDescent="0.2">
      <c r="B29" s="24"/>
      <c r="L29">
        <f>L12</f>
        <v>1</v>
      </c>
      <c r="M29" s="3">
        <f>IF(M$6="","",_xlfn.LET(_xlpm.p,M$6,_xlpm.i,MATCH($L29,$B$12:$B$26,0),_xlpm.sf,INDEX($C$12:$C$26,_xlpm.i),_xlpm.curpsf,INDEX($D$12:$D$26,_xlpm.i),_xlpm.lend,INDEX($G$12:$G$26,_xlpm.i),_xlpm.renew,INDEX($H$12:$H$26,_xlpm.i),_xlpm.up,VALUE(SUBSTITUTE(LOWER(INDEX($I$12:$I$26,_xlpm.i)),"month","")),_xlpm.ti,$C$5,_xlpm.renStart,IF(_xlpm.lend&gt;0,EOMONTH(_xlpm.lend,0)+1,0),_xlpm.newStart,IF(_xlpm.lend&gt;0,EDATE(_xlpm.renStart,_xlpm.up),EDATE($M$6,_xlpm.up)),IF(AND(_xlpm.curpsf&gt;0,_xlpm.lend&gt;0,EOMONTH(_xlpm.p,0)=EOMONTH(_xlpm.renStart,0)),-_xlpm.sf*_xlpm.ti*_xlpm.renew,0)+IF(EOMONTH(_xlpm.p,0)=EOMONTH(_xlpm.newStart,0),-_xlpm.sf*_xlpm.ti*IF(_xlpm.curpsf&gt;0,1-_xlpm.renew,1),0)))</f>
        <v>0</v>
      </c>
      <c r="N29" s="3">
        <f t="shared" ref="N29:AC38" si="27">IF(N$6="","",_xlfn.LET(_xlpm.p,N$6,_xlpm.i,MATCH($L29,$B$12:$B$26,0),_xlpm.sf,INDEX($C$12:$C$26,_xlpm.i),_xlpm.curpsf,INDEX($D$12:$D$26,_xlpm.i),_xlpm.lend,INDEX($G$12:$G$26,_xlpm.i),_xlpm.renew,INDEX($H$12:$H$26,_xlpm.i),_xlpm.up,VALUE(SUBSTITUTE(LOWER(INDEX($I$12:$I$26,_xlpm.i)),"month","")),_xlpm.ti,$C$5,_xlpm.renStart,IF(_xlpm.lend&gt;0,EOMONTH(_xlpm.lend,0)+1,0),_xlpm.newStart,IF(_xlpm.lend&gt;0,EDATE(_xlpm.renStart,_xlpm.up),EDATE($M$6,_xlpm.up)),IF(AND(_xlpm.curpsf&gt;0,_xlpm.lend&gt;0,EOMONTH(_xlpm.p,0)=EOMONTH(_xlpm.renStart,0)),-_xlpm.sf*_xlpm.ti*_xlpm.renew,0)+IF(EOMONTH(_xlpm.p,0)=EOMONTH(_xlpm.newStart,0),-_xlpm.sf*_xlpm.ti*IF(_xlpm.curpsf&gt;0,1-_xlpm.renew,1),0)))</f>
        <v>0</v>
      </c>
      <c r="O29" s="3">
        <f t="shared" si="27"/>
        <v>0</v>
      </c>
      <c r="P29" s="3">
        <f t="shared" si="27"/>
        <v>0</v>
      </c>
      <c r="Q29" s="3">
        <f t="shared" si="27"/>
        <v>0</v>
      </c>
      <c r="R29" s="3">
        <f t="shared" si="27"/>
        <v>0</v>
      </c>
      <c r="S29" s="3">
        <f t="shared" si="27"/>
        <v>0</v>
      </c>
      <c r="T29" s="3">
        <f t="shared" si="27"/>
        <v>0</v>
      </c>
      <c r="U29" s="3">
        <f t="shared" si="27"/>
        <v>0</v>
      </c>
      <c r="V29" s="3">
        <f t="shared" si="27"/>
        <v>-192000</v>
      </c>
      <c r="W29" s="3">
        <f t="shared" si="27"/>
        <v>0</v>
      </c>
      <c r="X29" s="3">
        <f t="shared" si="27"/>
        <v>0</v>
      </c>
      <c r="Y29" s="3">
        <f t="shared" si="27"/>
        <v>0</v>
      </c>
      <c r="Z29" s="3">
        <f t="shared" si="27"/>
        <v>0</v>
      </c>
      <c r="AA29" s="3">
        <f t="shared" si="27"/>
        <v>0</v>
      </c>
      <c r="AB29" s="3">
        <f t="shared" si="27"/>
        <v>0</v>
      </c>
      <c r="AC29" s="3">
        <f t="shared" si="27"/>
        <v>0</v>
      </c>
      <c r="AD29" s="3">
        <f t="shared" ref="AD29:AS38" si="28">IF(AD$6="","",_xlfn.LET(_xlpm.p,AD$6,_xlpm.i,MATCH($L29,$B$12:$B$26,0),_xlpm.sf,INDEX($C$12:$C$26,_xlpm.i),_xlpm.curpsf,INDEX($D$12:$D$26,_xlpm.i),_xlpm.lend,INDEX($G$12:$G$26,_xlpm.i),_xlpm.renew,INDEX($H$12:$H$26,_xlpm.i),_xlpm.up,VALUE(SUBSTITUTE(LOWER(INDEX($I$12:$I$26,_xlpm.i)),"month","")),_xlpm.ti,$C$5,_xlpm.renStart,IF(_xlpm.lend&gt;0,EOMONTH(_xlpm.lend,0)+1,0),_xlpm.newStart,IF(_xlpm.lend&gt;0,EDATE(_xlpm.renStart,_xlpm.up),EDATE($M$6,_xlpm.up)),IF(AND(_xlpm.curpsf&gt;0,_xlpm.lend&gt;0,EOMONTH(_xlpm.p,0)=EOMONTH(_xlpm.renStart,0)),-_xlpm.sf*_xlpm.ti*_xlpm.renew,0)+IF(EOMONTH(_xlpm.p,0)=EOMONTH(_xlpm.newStart,0),-_xlpm.sf*_xlpm.ti*IF(_xlpm.curpsf&gt;0,1-_xlpm.renew,1),0)))</f>
        <v>0</v>
      </c>
      <c r="AE29" s="3">
        <f t="shared" si="28"/>
        <v>-288000</v>
      </c>
      <c r="AF29" s="3">
        <f t="shared" si="28"/>
        <v>0</v>
      </c>
      <c r="AG29" s="3">
        <f t="shared" si="28"/>
        <v>0</v>
      </c>
      <c r="AH29" s="3">
        <f t="shared" si="28"/>
        <v>0</v>
      </c>
      <c r="AI29" s="3">
        <f t="shared" si="28"/>
        <v>0</v>
      </c>
      <c r="AJ29" s="3">
        <f t="shared" si="28"/>
        <v>0</v>
      </c>
      <c r="AK29" s="3">
        <f t="shared" si="28"/>
        <v>0</v>
      </c>
      <c r="AL29" s="3">
        <f t="shared" si="28"/>
        <v>0</v>
      </c>
      <c r="AM29" s="3">
        <f t="shared" si="28"/>
        <v>0</v>
      </c>
      <c r="AN29" s="3">
        <f t="shared" si="28"/>
        <v>0</v>
      </c>
      <c r="AO29" s="3">
        <f t="shared" si="28"/>
        <v>0</v>
      </c>
      <c r="AP29" s="3">
        <f t="shared" si="28"/>
        <v>0</v>
      </c>
      <c r="AQ29" s="3">
        <f t="shared" si="28"/>
        <v>0</v>
      </c>
      <c r="AR29" s="3">
        <f t="shared" si="28"/>
        <v>0</v>
      </c>
      <c r="AS29" s="3">
        <f t="shared" si="28"/>
        <v>0</v>
      </c>
      <c r="AT29" s="3">
        <f t="shared" ref="AT29:BI38" si="29">IF(AT$6="","",_xlfn.LET(_xlpm.p,AT$6,_xlpm.i,MATCH($L29,$B$12:$B$26,0),_xlpm.sf,INDEX($C$12:$C$26,_xlpm.i),_xlpm.curpsf,INDEX($D$12:$D$26,_xlpm.i),_xlpm.lend,INDEX($G$12:$G$26,_xlpm.i),_xlpm.renew,INDEX($H$12:$H$26,_xlpm.i),_xlpm.up,VALUE(SUBSTITUTE(LOWER(INDEX($I$12:$I$26,_xlpm.i)),"month","")),_xlpm.ti,$C$5,_xlpm.renStart,IF(_xlpm.lend&gt;0,EOMONTH(_xlpm.lend,0)+1,0),_xlpm.newStart,IF(_xlpm.lend&gt;0,EDATE(_xlpm.renStart,_xlpm.up),EDATE($M$6,_xlpm.up)),IF(AND(_xlpm.curpsf&gt;0,_xlpm.lend&gt;0,EOMONTH(_xlpm.p,0)=EOMONTH(_xlpm.renStart,0)),-_xlpm.sf*_xlpm.ti*_xlpm.renew,0)+IF(EOMONTH(_xlpm.p,0)=EOMONTH(_xlpm.newStart,0),-_xlpm.sf*_xlpm.ti*IF(_xlpm.curpsf&gt;0,1-_xlpm.renew,1),0)))</f>
        <v>0</v>
      </c>
      <c r="AU29" s="3">
        <f t="shared" si="29"/>
        <v>0</v>
      </c>
      <c r="AV29" s="3">
        <f t="shared" si="29"/>
        <v>0</v>
      </c>
      <c r="AW29" s="3">
        <f t="shared" si="29"/>
        <v>0</v>
      </c>
      <c r="AX29" s="3">
        <f t="shared" si="29"/>
        <v>0</v>
      </c>
      <c r="AY29" s="3">
        <f t="shared" si="29"/>
        <v>0</v>
      </c>
      <c r="AZ29" s="3">
        <f t="shared" si="29"/>
        <v>0</v>
      </c>
      <c r="BA29" s="3">
        <f t="shared" si="29"/>
        <v>0</v>
      </c>
      <c r="BB29" s="3">
        <f t="shared" si="29"/>
        <v>0</v>
      </c>
      <c r="BC29" s="3">
        <f t="shared" si="29"/>
        <v>0</v>
      </c>
      <c r="BD29" s="3">
        <f t="shared" si="29"/>
        <v>0</v>
      </c>
      <c r="BE29" s="3">
        <f t="shared" si="29"/>
        <v>0</v>
      </c>
      <c r="BF29" s="3">
        <f t="shared" si="29"/>
        <v>0</v>
      </c>
      <c r="BG29" s="3">
        <f t="shared" si="29"/>
        <v>0</v>
      </c>
      <c r="BH29" s="3">
        <f t="shared" si="29"/>
        <v>0</v>
      </c>
      <c r="BI29" s="3">
        <f t="shared" si="29"/>
        <v>0</v>
      </c>
      <c r="BJ29" s="3">
        <f t="shared" ref="BJ29:BY38" si="30">IF(BJ$6="","",_xlfn.LET(_xlpm.p,BJ$6,_xlpm.i,MATCH($L29,$B$12:$B$26,0),_xlpm.sf,INDEX($C$12:$C$26,_xlpm.i),_xlpm.curpsf,INDEX($D$12:$D$26,_xlpm.i),_xlpm.lend,INDEX($G$12:$G$26,_xlpm.i),_xlpm.renew,INDEX($H$12:$H$26,_xlpm.i),_xlpm.up,VALUE(SUBSTITUTE(LOWER(INDEX($I$12:$I$26,_xlpm.i)),"month","")),_xlpm.ti,$C$5,_xlpm.renStart,IF(_xlpm.lend&gt;0,EOMONTH(_xlpm.lend,0)+1,0),_xlpm.newStart,IF(_xlpm.lend&gt;0,EDATE(_xlpm.renStart,_xlpm.up),EDATE($M$6,_xlpm.up)),IF(AND(_xlpm.curpsf&gt;0,_xlpm.lend&gt;0,EOMONTH(_xlpm.p,0)=EOMONTH(_xlpm.renStart,0)),-_xlpm.sf*_xlpm.ti*_xlpm.renew,0)+IF(EOMONTH(_xlpm.p,0)=EOMONTH(_xlpm.newStart,0),-_xlpm.sf*_xlpm.ti*IF(_xlpm.curpsf&gt;0,1-_xlpm.renew,1),0)))</f>
        <v>0</v>
      </c>
      <c r="BK29" s="3">
        <f t="shared" si="30"/>
        <v>0</v>
      </c>
      <c r="BL29" s="3">
        <f t="shared" si="30"/>
        <v>0</v>
      </c>
      <c r="BM29" s="3">
        <f t="shared" si="30"/>
        <v>0</v>
      </c>
      <c r="BN29" s="3">
        <f t="shared" si="30"/>
        <v>0</v>
      </c>
      <c r="BO29" s="3">
        <f t="shared" si="30"/>
        <v>0</v>
      </c>
      <c r="BP29" s="3">
        <f t="shared" si="30"/>
        <v>0</v>
      </c>
      <c r="BQ29" s="3">
        <f t="shared" si="30"/>
        <v>0</v>
      </c>
      <c r="BR29" s="3">
        <f t="shared" si="30"/>
        <v>0</v>
      </c>
      <c r="BS29" s="3">
        <f t="shared" si="30"/>
        <v>0</v>
      </c>
      <c r="BT29" s="3">
        <f t="shared" si="30"/>
        <v>0</v>
      </c>
      <c r="BU29" s="3">
        <f t="shared" si="30"/>
        <v>0</v>
      </c>
      <c r="BV29" s="3">
        <f t="shared" si="30"/>
        <v>0</v>
      </c>
      <c r="BW29" s="3">
        <f t="shared" si="30"/>
        <v>0</v>
      </c>
      <c r="BX29" s="3">
        <f t="shared" si="30"/>
        <v>0</v>
      </c>
      <c r="BY29" s="3">
        <f t="shared" si="30"/>
        <v>0</v>
      </c>
      <c r="BZ29" s="3">
        <f t="shared" ref="BV29:CK38" si="31">IF(BZ$6="","",_xlfn.LET(_xlpm.p,BZ$6,_xlpm.i,MATCH($L29,$B$12:$B$26,0),_xlpm.sf,INDEX($C$12:$C$26,_xlpm.i),_xlpm.curpsf,INDEX($D$12:$D$26,_xlpm.i),_xlpm.lend,INDEX($G$12:$G$26,_xlpm.i),_xlpm.renew,INDEX($H$12:$H$26,_xlpm.i),_xlpm.up,VALUE(SUBSTITUTE(LOWER(INDEX($I$12:$I$26,_xlpm.i)),"month","")),_xlpm.ti,$C$5,_xlpm.renStart,IF(_xlpm.lend&gt;0,EOMONTH(_xlpm.lend,0)+1,0),_xlpm.newStart,IF(_xlpm.lend&gt;0,EDATE(_xlpm.renStart,_xlpm.up),EDATE($M$6,_xlpm.up)),IF(AND(_xlpm.curpsf&gt;0,_xlpm.lend&gt;0,EOMONTH(_xlpm.p,0)=EOMONTH(_xlpm.renStart,0)),-_xlpm.sf*_xlpm.ti*_xlpm.renew,0)+IF(EOMONTH(_xlpm.p,0)=EOMONTH(_xlpm.newStart,0),-_xlpm.sf*_xlpm.ti*IF(_xlpm.curpsf&gt;0,1-_xlpm.renew,1),0)))</f>
        <v>0</v>
      </c>
      <c r="CA29" s="3">
        <f t="shared" si="31"/>
        <v>0</v>
      </c>
      <c r="CB29" s="3">
        <f t="shared" si="31"/>
        <v>0</v>
      </c>
      <c r="CC29" s="3">
        <f t="shared" si="31"/>
        <v>0</v>
      </c>
      <c r="CD29" s="3">
        <f t="shared" si="31"/>
        <v>0</v>
      </c>
      <c r="CE29" s="3">
        <f t="shared" si="31"/>
        <v>0</v>
      </c>
      <c r="CF29" s="3">
        <f t="shared" si="31"/>
        <v>0</v>
      </c>
      <c r="CG29" s="3">
        <f t="shared" si="31"/>
        <v>0</v>
      </c>
      <c r="CH29" s="3" t="str">
        <f t="shared" si="31"/>
        <v/>
      </c>
      <c r="CI29" s="3" t="str">
        <f t="shared" si="31"/>
        <v/>
      </c>
      <c r="CJ29" s="3" t="str">
        <f t="shared" si="31"/>
        <v/>
      </c>
      <c r="CK29" s="3" t="str">
        <f t="shared" si="31"/>
        <v/>
      </c>
    </row>
    <row r="30" spans="2:89" x14ac:dyDescent="0.2">
      <c r="L30">
        <f t="shared" ref="L30:L43" si="32">L13</f>
        <v>2</v>
      </c>
      <c r="M30" s="3">
        <f t="shared" ref="M30:M38" si="33">IF(M$6="","",_xlfn.LET(_xlpm.p,M$6,_xlpm.i,MATCH($L30,$B$12:$B$26,0),_xlpm.sf,INDEX($C$12:$C$26,_xlpm.i),_xlpm.curpsf,INDEX($D$12:$D$26,_xlpm.i),_xlpm.lend,INDEX($G$12:$G$26,_xlpm.i),_xlpm.renew,INDEX($H$12:$H$26,_xlpm.i),_xlpm.up,VALUE(SUBSTITUTE(LOWER(INDEX($I$12:$I$26,_xlpm.i)),"month","")),_xlpm.ti,$C$5,_xlpm.renStart,IF(_xlpm.lend&gt;0,EOMONTH(_xlpm.lend,0)+1,0),_xlpm.newStart,IF(_xlpm.lend&gt;0,EDATE(_xlpm.renStart,_xlpm.up),EDATE($M$6,_xlpm.up)),IF(AND(_xlpm.curpsf&gt;0,_xlpm.lend&gt;0,EOMONTH(_xlpm.p,0)=EOMONTH(_xlpm.renStart,0)),-_xlpm.sf*_xlpm.ti*_xlpm.renew,0)+IF(EOMONTH(_xlpm.p,0)=EOMONTH(_xlpm.newStart,0),-_xlpm.sf*_xlpm.ti*IF(_xlpm.curpsf&gt;0,1-_xlpm.renew,1),0)))</f>
        <v>0</v>
      </c>
      <c r="N30" s="3">
        <f t="shared" si="27"/>
        <v>0</v>
      </c>
      <c r="O30" s="3">
        <f t="shared" si="27"/>
        <v>0</v>
      </c>
      <c r="P30" s="3">
        <f t="shared" si="27"/>
        <v>0</v>
      </c>
      <c r="Q30" s="3">
        <f t="shared" si="27"/>
        <v>0</v>
      </c>
      <c r="R30" s="3">
        <f t="shared" si="27"/>
        <v>0</v>
      </c>
      <c r="S30" s="3">
        <f t="shared" si="27"/>
        <v>0</v>
      </c>
      <c r="T30" s="3">
        <f t="shared" si="27"/>
        <v>0</v>
      </c>
      <c r="U30" s="3">
        <f t="shared" si="27"/>
        <v>0</v>
      </c>
      <c r="V30" s="3">
        <f t="shared" si="27"/>
        <v>0</v>
      </c>
      <c r="W30" s="3">
        <f t="shared" si="27"/>
        <v>0</v>
      </c>
      <c r="X30" s="3">
        <f t="shared" si="27"/>
        <v>0</v>
      </c>
      <c r="Y30" s="3">
        <f t="shared" si="27"/>
        <v>0</v>
      </c>
      <c r="Z30" s="3">
        <f t="shared" si="27"/>
        <v>0</v>
      </c>
      <c r="AA30" s="3">
        <f t="shared" si="27"/>
        <v>0</v>
      </c>
      <c r="AB30" s="3">
        <f t="shared" si="27"/>
        <v>0</v>
      </c>
      <c r="AC30" s="3">
        <f t="shared" si="27"/>
        <v>0</v>
      </c>
      <c r="AD30" s="3">
        <f t="shared" si="28"/>
        <v>0</v>
      </c>
      <c r="AE30" s="3">
        <f t="shared" si="28"/>
        <v>0</v>
      </c>
      <c r="AF30" s="3">
        <f t="shared" si="28"/>
        <v>0</v>
      </c>
      <c r="AG30" s="3">
        <f t="shared" si="28"/>
        <v>0</v>
      </c>
      <c r="AH30" s="3">
        <f t="shared" si="28"/>
        <v>0</v>
      </c>
      <c r="AI30" s="3">
        <f t="shared" si="28"/>
        <v>0</v>
      </c>
      <c r="AJ30" s="3">
        <f t="shared" si="28"/>
        <v>0</v>
      </c>
      <c r="AK30" s="3">
        <f t="shared" si="28"/>
        <v>0</v>
      </c>
      <c r="AL30" s="3">
        <f t="shared" si="28"/>
        <v>0</v>
      </c>
      <c r="AM30" s="3">
        <f t="shared" si="28"/>
        <v>0</v>
      </c>
      <c r="AN30" s="3">
        <f t="shared" si="28"/>
        <v>0</v>
      </c>
      <c r="AO30" s="3">
        <f t="shared" si="28"/>
        <v>0</v>
      </c>
      <c r="AP30" s="3">
        <f t="shared" si="28"/>
        <v>0</v>
      </c>
      <c r="AQ30" s="3">
        <f t="shared" si="28"/>
        <v>0</v>
      </c>
      <c r="AR30" s="3">
        <f t="shared" si="28"/>
        <v>0</v>
      </c>
      <c r="AS30" s="3">
        <f t="shared" si="28"/>
        <v>0</v>
      </c>
      <c r="AT30" s="3">
        <f t="shared" si="29"/>
        <v>0</v>
      </c>
      <c r="AU30" s="3">
        <f t="shared" si="29"/>
        <v>0</v>
      </c>
      <c r="AV30" s="3">
        <f t="shared" si="29"/>
        <v>0</v>
      </c>
      <c r="AW30" s="3">
        <f t="shared" si="29"/>
        <v>0</v>
      </c>
      <c r="AX30" s="3">
        <f t="shared" si="29"/>
        <v>0</v>
      </c>
      <c r="AY30" s="3">
        <f t="shared" si="29"/>
        <v>0</v>
      </c>
      <c r="AZ30" s="3">
        <f t="shared" si="29"/>
        <v>0</v>
      </c>
      <c r="BA30" s="3">
        <f t="shared" si="29"/>
        <v>0</v>
      </c>
      <c r="BB30" s="3">
        <f t="shared" si="29"/>
        <v>0</v>
      </c>
      <c r="BC30" s="3">
        <f t="shared" si="29"/>
        <v>0</v>
      </c>
      <c r="BD30" s="3">
        <f t="shared" si="29"/>
        <v>0</v>
      </c>
      <c r="BE30" s="3">
        <f t="shared" si="29"/>
        <v>0</v>
      </c>
      <c r="BF30" s="3">
        <f t="shared" si="29"/>
        <v>0</v>
      </c>
      <c r="BG30" s="3">
        <f t="shared" si="29"/>
        <v>0</v>
      </c>
      <c r="BH30" s="3">
        <f t="shared" si="29"/>
        <v>0</v>
      </c>
      <c r="BI30" s="3">
        <f t="shared" si="29"/>
        <v>0</v>
      </c>
      <c r="BJ30" s="3">
        <f t="shared" si="30"/>
        <v>0</v>
      </c>
      <c r="BK30" s="3">
        <f t="shared" si="30"/>
        <v>0</v>
      </c>
      <c r="BL30" s="3">
        <f t="shared" si="30"/>
        <v>0</v>
      </c>
      <c r="BM30" s="3">
        <f t="shared" si="30"/>
        <v>0</v>
      </c>
      <c r="BN30" s="3">
        <f t="shared" si="30"/>
        <v>0</v>
      </c>
      <c r="BO30" s="3">
        <f t="shared" si="30"/>
        <v>0</v>
      </c>
      <c r="BP30" s="3">
        <f t="shared" si="30"/>
        <v>0</v>
      </c>
      <c r="BQ30" s="3">
        <f t="shared" si="30"/>
        <v>0</v>
      </c>
      <c r="BR30" s="3">
        <f t="shared" si="30"/>
        <v>0</v>
      </c>
      <c r="BS30" s="3">
        <f t="shared" si="30"/>
        <v>0</v>
      </c>
      <c r="BT30" s="3">
        <f t="shared" si="30"/>
        <v>0</v>
      </c>
      <c r="BU30" s="3">
        <f t="shared" si="30"/>
        <v>0</v>
      </c>
      <c r="BV30" s="3">
        <f t="shared" si="31"/>
        <v>0</v>
      </c>
      <c r="BW30" s="3">
        <f t="shared" si="31"/>
        <v>0</v>
      </c>
      <c r="BX30" s="3">
        <f t="shared" si="31"/>
        <v>0</v>
      </c>
      <c r="BY30" s="3">
        <f t="shared" si="31"/>
        <v>0</v>
      </c>
      <c r="BZ30" s="3">
        <f t="shared" si="31"/>
        <v>0</v>
      </c>
      <c r="CA30" s="3">
        <f t="shared" si="31"/>
        <v>0</v>
      </c>
      <c r="CB30" s="3">
        <f t="shared" si="31"/>
        <v>0</v>
      </c>
      <c r="CC30" s="3">
        <f t="shared" si="31"/>
        <v>0</v>
      </c>
      <c r="CD30" s="3">
        <f t="shared" si="31"/>
        <v>0</v>
      </c>
      <c r="CE30" s="3">
        <f t="shared" si="31"/>
        <v>0</v>
      </c>
      <c r="CF30" s="3">
        <f t="shared" si="31"/>
        <v>0</v>
      </c>
      <c r="CG30" s="3">
        <f t="shared" si="31"/>
        <v>0</v>
      </c>
      <c r="CH30" s="3" t="str">
        <f t="shared" si="31"/>
        <v/>
      </c>
      <c r="CI30" s="3" t="str">
        <f t="shared" si="31"/>
        <v/>
      </c>
      <c r="CJ30" s="3" t="str">
        <f t="shared" si="31"/>
        <v/>
      </c>
      <c r="CK30" s="3" t="str">
        <f t="shared" si="31"/>
        <v/>
      </c>
    </row>
    <row r="31" spans="2:89" x14ac:dyDescent="0.2">
      <c r="L31">
        <f t="shared" si="32"/>
        <v>3</v>
      </c>
      <c r="M31" s="3">
        <f t="shared" si="33"/>
        <v>0</v>
      </c>
      <c r="N31" s="3">
        <f t="shared" si="27"/>
        <v>0</v>
      </c>
      <c r="O31" s="3">
        <f t="shared" si="27"/>
        <v>0</v>
      </c>
      <c r="P31" s="3">
        <f t="shared" si="27"/>
        <v>0</v>
      </c>
      <c r="Q31" s="3">
        <f t="shared" si="27"/>
        <v>0</v>
      </c>
      <c r="R31" s="3">
        <f t="shared" si="27"/>
        <v>0</v>
      </c>
      <c r="S31" s="3">
        <f t="shared" si="27"/>
        <v>0</v>
      </c>
      <c r="T31" s="3">
        <f t="shared" si="27"/>
        <v>0</v>
      </c>
      <c r="U31" s="3">
        <f t="shared" si="27"/>
        <v>0</v>
      </c>
      <c r="V31" s="3">
        <f t="shared" si="27"/>
        <v>0</v>
      </c>
      <c r="W31" s="3">
        <f t="shared" si="27"/>
        <v>0</v>
      </c>
      <c r="X31" s="3">
        <f t="shared" si="27"/>
        <v>0</v>
      </c>
      <c r="Y31" s="3">
        <f t="shared" si="27"/>
        <v>0</v>
      </c>
      <c r="Z31" s="3">
        <f t="shared" si="27"/>
        <v>0</v>
      </c>
      <c r="AA31" s="3">
        <f t="shared" si="27"/>
        <v>0</v>
      </c>
      <c r="AB31" s="3">
        <f t="shared" si="27"/>
        <v>0</v>
      </c>
      <c r="AC31" s="3">
        <f t="shared" si="27"/>
        <v>0</v>
      </c>
      <c r="AD31" s="3">
        <f t="shared" si="28"/>
        <v>0</v>
      </c>
      <c r="AE31" s="3">
        <f t="shared" si="28"/>
        <v>0</v>
      </c>
      <c r="AF31" s="3">
        <f t="shared" si="28"/>
        <v>0</v>
      </c>
      <c r="AG31" s="3">
        <f t="shared" si="28"/>
        <v>0</v>
      </c>
      <c r="AH31" s="3">
        <f t="shared" si="28"/>
        <v>0</v>
      </c>
      <c r="AI31" s="3">
        <f t="shared" si="28"/>
        <v>0</v>
      </c>
      <c r="AJ31" s="3">
        <f t="shared" si="28"/>
        <v>0</v>
      </c>
      <c r="AK31" s="3">
        <f t="shared" si="28"/>
        <v>0</v>
      </c>
      <c r="AL31" s="3">
        <f t="shared" si="28"/>
        <v>0</v>
      </c>
      <c r="AM31" s="3">
        <f t="shared" si="28"/>
        <v>0</v>
      </c>
      <c r="AN31" s="3">
        <f t="shared" si="28"/>
        <v>0</v>
      </c>
      <c r="AO31" s="3">
        <f t="shared" si="28"/>
        <v>0</v>
      </c>
      <c r="AP31" s="3">
        <f t="shared" si="28"/>
        <v>0</v>
      </c>
      <c r="AQ31" s="3">
        <f t="shared" si="28"/>
        <v>0</v>
      </c>
      <c r="AR31" s="3">
        <f t="shared" si="28"/>
        <v>0</v>
      </c>
      <c r="AS31" s="3">
        <f t="shared" si="28"/>
        <v>0</v>
      </c>
      <c r="AT31" s="3">
        <f t="shared" si="29"/>
        <v>0</v>
      </c>
      <c r="AU31" s="3">
        <f t="shared" si="29"/>
        <v>0</v>
      </c>
      <c r="AV31" s="3">
        <f t="shared" si="29"/>
        <v>-180000</v>
      </c>
      <c r="AW31" s="3">
        <f t="shared" si="29"/>
        <v>0</v>
      </c>
      <c r="AX31" s="3">
        <f t="shared" si="29"/>
        <v>0</v>
      </c>
      <c r="AY31" s="3">
        <f t="shared" si="29"/>
        <v>0</v>
      </c>
      <c r="AZ31" s="3">
        <f t="shared" si="29"/>
        <v>0</v>
      </c>
      <c r="BA31" s="3">
        <f t="shared" si="29"/>
        <v>0</v>
      </c>
      <c r="BB31" s="3">
        <f t="shared" si="29"/>
        <v>0</v>
      </c>
      <c r="BC31" s="3">
        <f t="shared" si="29"/>
        <v>0</v>
      </c>
      <c r="BD31" s="3">
        <f t="shared" si="29"/>
        <v>0</v>
      </c>
      <c r="BE31" s="3">
        <f t="shared" si="29"/>
        <v>-270000</v>
      </c>
      <c r="BF31" s="3">
        <f t="shared" si="29"/>
        <v>0</v>
      </c>
      <c r="BG31" s="3">
        <f t="shared" si="29"/>
        <v>0</v>
      </c>
      <c r="BH31" s="3">
        <f t="shared" si="29"/>
        <v>0</v>
      </c>
      <c r="BI31" s="3">
        <f t="shared" si="29"/>
        <v>0</v>
      </c>
      <c r="BJ31" s="3">
        <f t="shared" si="30"/>
        <v>0</v>
      </c>
      <c r="BK31" s="3">
        <f t="shared" si="30"/>
        <v>0</v>
      </c>
      <c r="BL31" s="3">
        <f t="shared" si="30"/>
        <v>0</v>
      </c>
      <c r="BM31" s="3">
        <f t="shared" si="30"/>
        <v>0</v>
      </c>
      <c r="BN31" s="3">
        <f t="shared" si="30"/>
        <v>0</v>
      </c>
      <c r="BO31" s="3">
        <f t="shared" si="30"/>
        <v>0</v>
      </c>
      <c r="BP31" s="3">
        <f t="shared" si="30"/>
        <v>0</v>
      </c>
      <c r="BQ31" s="3">
        <f t="shared" si="30"/>
        <v>0</v>
      </c>
      <c r="BR31" s="3">
        <f t="shared" si="30"/>
        <v>0</v>
      </c>
      <c r="BS31" s="3">
        <f t="shared" si="30"/>
        <v>0</v>
      </c>
      <c r="BT31" s="3">
        <f t="shared" si="30"/>
        <v>0</v>
      </c>
      <c r="BU31" s="3">
        <f t="shared" si="30"/>
        <v>0</v>
      </c>
      <c r="BV31" s="3">
        <f t="shared" si="31"/>
        <v>0</v>
      </c>
      <c r="BW31" s="3">
        <f t="shared" si="31"/>
        <v>0</v>
      </c>
      <c r="BX31" s="3">
        <f t="shared" si="31"/>
        <v>0</v>
      </c>
      <c r="BY31" s="3">
        <f t="shared" si="31"/>
        <v>0</v>
      </c>
      <c r="BZ31" s="3">
        <f t="shared" si="31"/>
        <v>0</v>
      </c>
      <c r="CA31" s="3">
        <f t="shared" si="31"/>
        <v>0</v>
      </c>
      <c r="CB31" s="3">
        <f t="shared" si="31"/>
        <v>0</v>
      </c>
      <c r="CC31" s="3">
        <f t="shared" si="31"/>
        <v>0</v>
      </c>
      <c r="CD31" s="3">
        <f t="shared" si="31"/>
        <v>0</v>
      </c>
      <c r="CE31" s="3">
        <f t="shared" si="31"/>
        <v>0</v>
      </c>
      <c r="CF31" s="3">
        <f t="shared" si="31"/>
        <v>0</v>
      </c>
      <c r="CG31" s="3">
        <f t="shared" si="31"/>
        <v>0</v>
      </c>
      <c r="CH31" s="3" t="str">
        <f t="shared" si="31"/>
        <v/>
      </c>
      <c r="CI31" s="3" t="str">
        <f t="shared" si="31"/>
        <v/>
      </c>
      <c r="CJ31" s="3" t="str">
        <f t="shared" si="31"/>
        <v/>
      </c>
      <c r="CK31" s="3" t="str">
        <f t="shared" si="31"/>
        <v/>
      </c>
    </row>
    <row r="32" spans="2:89" x14ac:dyDescent="0.2">
      <c r="L32">
        <f t="shared" si="32"/>
        <v>4</v>
      </c>
      <c r="M32" s="3">
        <f t="shared" si="33"/>
        <v>0</v>
      </c>
      <c r="N32" s="3">
        <f t="shared" si="27"/>
        <v>0</v>
      </c>
      <c r="O32" s="3">
        <f t="shared" si="27"/>
        <v>0</v>
      </c>
      <c r="P32" s="3">
        <f t="shared" si="27"/>
        <v>0</v>
      </c>
      <c r="Q32" s="3">
        <f t="shared" si="27"/>
        <v>0</v>
      </c>
      <c r="R32" s="3">
        <f t="shared" si="27"/>
        <v>0</v>
      </c>
      <c r="S32" s="3">
        <f t="shared" si="27"/>
        <v>0</v>
      </c>
      <c r="T32" s="3">
        <f t="shared" si="27"/>
        <v>0</v>
      </c>
      <c r="U32" s="3">
        <f t="shared" si="27"/>
        <v>0</v>
      </c>
      <c r="V32" s="3">
        <f t="shared" si="27"/>
        <v>0</v>
      </c>
      <c r="W32" s="3">
        <f t="shared" si="27"/>
        <v>0</v>
      </c>
      <c r="X32" s="3">
        <f t="shared" si="27"/>
        <v>0</v>
      </c>
      <c r="Y32" s="3">
        <f t="shared" si="27"/>
        <v>0</v>
      </c>
      <c r="Z32" s="3">
        <f t="shared" si="27"/>
        <v>0</v>
      </c>
      <c r="AA32" s="3">
        <f t="shared" si="27"/>
        <v>0</v>
      </c>
      <c r="AB32" s="3">
        <f t="shared" si="27"/>
        <v>0</v>
      </c>
      <c r="AC32" s="3">
        <f t="shared" si="27"/>
        <v>0</v>
      </c>
      <c r="AD32" s="3">
        <f t="shared" si="28"/>
        <v>0</v>
      </c>
      <c r="AE32" s="3">
        <f t="shared" si="28"/>
        <v>0</v>
      </c>
      <c r="AF32" s="3">
        <f t="shared" si="28"/>
        <v>0</v>
      </c>
      <c r="AG32" s="3">
        <f t="shared" si="28"/>
        <v>0</v>
      </c>
      <c r="AH32" s="3">
        <f t="shared" si="28"/>
        <v>0</v>
      </c>
      <c r="AI32" s="3">
        <f t="shared" si="28"/>
        <v>0</v>
      </c>
      <c r="AJ32" s="3">
        <f t="shared" si="28"/>
        <v>0</v>
      </c>
      <c r="AK32" s="3">
        <f t="shared" si="28"/>
        <v>0</v>
      </c>
      <c r="AL32" s="3">
        <f t="shared" si="28"/>
        <v>-150000</v>
      </c>
      <c r="AM32" s="3">
        <f t="shared" si="28"/>
        <v>0</v>
      </c>
      <c r="AN32" s="3">
        <f t="shared" si="28"/>
        <v>0</v>
      </c>
      <c r="AO32" s="3">
        <f t="shared" si="28"/>
        <v>0</v>
      </c>
      <c r="AP32" s="3">
        <f t="shared" si="28"/>
        <v>0</v>
      </c>
      <c r="AQ32" s="3">
        <f t="shared" si="28"/>
        <v>0</v>
      </c>
      <c r="AR32" s="3">
        <f t="shared" si="28"/>
        <v>0</v>
      </c>
      <c r="AS32" s="3">
        <f t="shared" si="28"/>
        <v>0</v>
      </c>
      <c r="AT32" s="3">
        <f t="shared" si="29"/>
        <v>0</v>
      </c>
      <c r="AU32" s="3">
        <f t="shared" si="29"/>
        <v>-225000</v>
      </c>
      <c r="AV32" s="3">
        <f t="shared" si="29"/>
        <v>0</v>
      </c>
      <c r="AW32" s="3">
        <f t="shared" si="29"/>
        <v>0</v>
      </c>
      <c r="AX32" s="3">
        <f t="shared" si="29"/>
        <v>0</v>
      </c>
      <c r="AY32" s="3">
        <f t="shared" si="29"/>
        <v>0</v>
      </c>
      <c r="AZ32" s="3">
        <f t="shared" si="29"/>
        <v>0</v>
      </c>
      <c r="BA32" s="3">
        <f t="shared" si="29"/>
        <v>0</v>
      </c>
      <c r="BB32" s="3">
        <f t="shared" si="29"/>
        <v>0</v>
      </c>
      <c r="BC32" s="3">
        <f t="shared" si="29"/>
        <v>0</v>
      </c>
      <c r="BD32" s="3">
        <f t="shared" si="29"/>
        <v>0</v>
      </c>
      <c r="BE32" s="3">
        <f t="shared" si="29"/>
        <v>0</v>
      </c>
      <c r="BF32" s="3">
        <f t="shared" si="29"/>
        <v>0</v>
      </c>
      <c r="BG32" s="3">
        <f t="shared" si="29"/>
        <v>0</v>
      </c>
      <c r="BH32" s="3">
        <f t="shared" si="29"/>
        <v>0</v>
      </c>
      <c r="BI32" s="3">
        <f t="shared" si="29"/>
        <v>0</v>
      </c>
      <c r="BJ32" s="3">
        <f t="shared" si="30"/>
        <v>0</v>
      </c>
      <c r="BK32" s="3">
        <f t="shared" si="30"/>
        <v>0</v>
      </c>
      <c r="BL32" s="3">
        <f t="shared" si="30"/>
        <v>0</v>
      </c>
      <c r="BM32" s="3">
        <f t="shared" si="30"/>
        <v>0</v>
      </c>
      <c r="BN32" s="3">
        <f t="shared" si="30"/>
        <v>0</v>
      </c>
      <c r="BO32" s="3">
        <f t="shared" si="30"/>
        <v>0</v>
      </c>
      <c r="BP32" s="3">
        <f t="shared" si="30"/>
        <v>0</v>
      </c>
      <c r="BQ32" s="3">
        <f t="shared" si="30"/>
        <v>0</v>
      </c>
      <c r="BR32" s="3">
        <f t="shared" si="30"/>
        <v>0</v>
      </c>
      <c r="BS32" s="3">
        <f t="shared" si="30"/>
        <v>0</v>
      </c>
      <c r="BT32" s="3">
        <f t="shared" si="30"/>
        <v>0</v>
      </c>
      <c r="BU32" s="3">
        <f t="shared" si="30"/>
        <v>0</v>
      </c>
      <c r="BV32" s="3">
        <f t="shared" si="31"/>
        <v>0</v>
      </c>
      <c r="BW32" s="3">
        <f t="shared" si="31"/>
        <v>0</v>
      </c>
      <c r="BX32" s="3">
        <f t="shared" si="31"/>
        <v>0</v>
      </c>
      <c r="BY32" s="3">
        <f t="shared" si="31"/>
        <v>0</v>
      </c>
      <c r="BZ32" s="3">
        <f t="shared" si="31"/>
        <v>0</v>
      </c>
      <c r="CA32" s="3">
        <f t="shared" si="31"/>
        <v>0</v>
      </c>
      <c r="CB32" s="3">
        <f t="shared" si="31"/>
        <v>0</v>
      </c>
      <c r="CC32" s="3">
        <f t="shared" si="31"/>
        <v>0</v>
      </c>
      <c r="CD32" s="3">
        <f t="shared" si="31"/>
        <v>0</v>
      </c>
      <c r="CE32" s="3">
        <f t="shared" si="31"/>
        <v>0</v>
      </c>
      <c r="CF32" s="3">
        <f t="shared" si="31"/>
        <v>0</v>
      </c>
      <c r="CG32" s="3">
        <f t="shared" si="31"/>
        <v>0</v>
      </c>
      <c r="CH32" s="3" t="str">
        <f t="shared" si="31"/>
        <v/>
      </c>
      <c r="CI32" s="3" t="str">
        <f t="shared" si="31"/>
        <v/>
      </c>
      <c r="CJ32" s="3" t="str">
        <f t="shared" si="31"/>
        <v/>
      </c>
      <c r="CK32" s="3" t="str">
        <f t="shared" si="31"/>
        <v/>
      </c>
    </row>
    <row r="33" spans="12:89" x14ac:dyDescent="0.2">
      <c r="L33">
        <f t="shared" si="32"/>
        <v>5</v>
      </c>
      <c r="M33" s="3">
        <f t="shared" si="33"/>
        <v>0</v>
      </c>
      <c r="N33" s="3">
        <f t="shared" si="27"/>
        <v>0</v>
      </c>
      <c r="O33" s="3">
        <f t="shared" si="27"/>
        <v>0</v>
      </c>
      <c r="P33" s="3">
        <f t="shared" si="27"/>
        <v>0</v>
      </c>
      <c r="Q33" s="3">
        <f t="shared" si="27"/>
        <v>0</v>
      </c>
      <c r="R33" s="3">
        <f t="shared" si="27"/>
        <v>0</v>
      </c>
      <c r="S33" s="3">
        <f t="shared" si="27"/>
        <v>0</v>
      </c>
      <c r="T33" s="3">
        <f t="shared" si="27"/>
        <v>0</v>
      </c>
      <c r="U33" s="3">
        <f t="shared" si="27"/>
        <v>0</v>
      </c>
      <c r="V33" s="3">
        <f t="shared" si="27"/>
        <v>0</v>
      </c>
      <c r="W33" s="3">
        <f t="shared" si="27"/>
        <v>0</v>
      </c>
      <c r="X33" s="3">
        <f t="shared" si="27"/>
        <v>0</v>
      </c>
      <c r="Y33" s="3">
        <f t="shared" si="27"/>
        <v>0</v>
      </c>
      <c r="Z33" s="3">
        <f t="shared" si="27"/>
        <v>0</v>
      </c>
      <c r="AA33" s="3">
        <f t="shared" si="27"/>
        <v>0</v>
      </c>
      <c r="AB33" s="3">
        <f t="shared" si="27"/>
        <v>-60000</v>
      </c>
      <c r="AC33" s="3">
        <f t="shared" si="27"/>
        <v>0</v>
      </c>
      <c r="AD33" s="3">
        <f t="shared" si="28"/>
        <v>0</v>
      </c>
      <c r="AE33" s="3">
        <f t="shared" si="28"/>
        <v>0</v>
      </c>
      <c r="AF33" s="3">
        <f t="shared" si="28"/>
        <v>0</v>
      </c>
      <c r="AG33" s="3">
        <f t="shared" si="28"/>
        <v>0</v>
      </c>
      <c r="AH33" s="3">
        <f t="shared" si="28"/>
        <v>0</v>
      </c>
      <c r="AI33" s="3">
        <f t="shared" si="28"/>
        <v>0</v>
      </c>
      <c r="AJ33" s="3">
        <f t="shared" si="28"/>
        <v>0</v>
      </c>
      <c r="AK33" s="3">
        <f t="shared" si="28"/>
        <v>-90000</v>
      </c>
      <c r="AL33" s="3">
        <f t="shared" si="28"/>
        <v>0</v>
      </c>
      <c r="AM33" s="3">
        <f t="shared" si="28"/>
        <v>0</v>
      </c>
      <c r="AN33" s="3">
        <f t="shared" si="28"/>
        <v>0</v>
      </c>
      <c r="AO33" s="3">
        <f t="shared" si="28"/>
        <v>0</v>
      </c>
      <c r="AP33" s="3">
        <f t="shared" si="28"/>
        <v>0</v>
      </c>
      <c r="AQ33" s="3">
        <f t="shared" si="28"/>
        <v>0</v>
      </c>
      <c r="AR33" s="3">
        <f t="shared" si="28"/>
        <v>0</v>
      </c>
      <c r="AS33" s="3">
        <f t="shared" si="28"/>
        <v>0</v>
      </c>
      <c r="AT33" s="3">
        <f t="shared" si="29"/>
        <v>0</v>
      </c>
      <c r="AU33" s="3">
        <f t="shared" si="29"/>
        <v>0</v>
      </c>
      <c r="AV33" s="3">
        <f t="shared" si="29"/>
        <v>0</v>
      </c>
      <c r="AW33" s="3">
        <f t="shared" si="29"/>
        <v>0</v>
      </c>
      <c r="AX33" s="3">
        <f t="shared" si="29"/>
        <v>0</v>
      </c>
      <c r="AY33" s="3">
        <f t="shared" si="29"/>
        <v>0</v>
      </c>
      <c r="AZ33" s="3">
        <f t="shared" si="29"/>
        <v>0</v>
      </c>
      <c r="BA33" s="3">
        <f t="shared" si="29"/>
        <v>0</v>
      </c>
      <c r="BB33" s="3">
        <f t="shared" si="29"/>
        <v>0</v>
      </c>
      <c r="BC33" s="3">
        <f t="shared" si="29"/>
        <v>0</v>
      </c>
      <c r="BD33" s="3">
        <f t="shared" si="29"/>
        <v>0</v>
      </c>
      <c r="BE33" s="3">
        <f t="shared" si="29"/>
        <v>0</v>
      </c>
      <c r="BF33" s="3">
        <f t="shared" si="29"/>
        <v>0</v>
      </c>
      <c r="BG33" s="3">
        <f t="shared" si="29"/>
        <v>0</v>
      </c>
      <c r="BH33" s="3">
        <f t="shared" si="29"/>
        <v>0</v>
      </c>
      <c r="BI33" s="3">
        <f t="shared" si="29"/>
        <v>0</v>
      </c>
      <c r="BJ33" s="3">
        <f t="shared" si="30"/>
        <v>0</v>
      </c>
      <c r="BK33" s="3">
        <f t="shared" si="30"/>
        <v>0</v>
      </c>
      <c r="BL33" s="3">
        <f t="shared" si="30"/>
        <v>0</v>
      </c>
      <c r="BM33" s="3">
        <f t="shared" si="30"/>
        <v>0</v>
      </c>
      <c r="BN33" s="3">
        <f t="shared" si="30"/>
        <v>0</v>
      </c>
      <c r="BO33" s="3">
        <f t="shared" si="30"/>
        <v>0</v>
      </c>
      <c r="BP33" s="3">
        <f t="shared" si="30"/>
        <v>0</v>
      </c>
      <c r="BQ33" s="3">
        <f t="shared" si="30"/>
        <v>0</v>
      </c>
      <c r="BR33" s="3">
        <f t="shared" si="30"/>
        <v>0</v>
      </c>
      <c r="BS33" s="3">
        <f t="shared" si="30"/>
        <v>0</v>
      </c>
      <c r="BT33" s="3">
        <f t="shared" si="30"/>
        <v>0</v>
      </c>
      <c r="BU33" s="3">
        <f t="shared" si="30"/>
        <v>0</v>
      </c>
      <c r="BV33" s="3">
        <f t="shared" si="31"/>
        <v>0</v>
      </c>
      <c r="BW33" s="3">
        <f t="shared" si="31"/>
        <v>0</v>
      </c>
      <c r="BX33" s="3">
        <f t="shared" si="31"/>
        <v>0</v>
      </c>
      <c r="BY33" s="3">
        <f t="shared" si="31"/>
        <v>0</v>
      </c>
      <c r="BZ33" s="3">
        <f t="shared" si="31"/>
        <v>0</v>
      </c>
      <c r="CA33" s="3">
        <f t="shared" si="31"/>
        <v>0</v>
      </c>
      <c r="CB33" s="3">
        <f t="shared" si="31"/>
        <v>0</v>
      </c>
      <c r="CC33" s="3">
        <f t="shared" si="31"/>
        <v>0</v>
      </c>
      <c r="CD33" s="3">
        <f t="shared" si="31"/>
        <v>0</v>
      </c>
      <c r="CE33" s="3">
        <f t="shared" si="31"/>
        <v>0</v>
      </c>
      <c r="CF33" s="3">
        <f t="shared" si="31"/>
        <v>0</v>
      </c>
      <c r="CG33" s="3">
        <f t="shared" si="31"/>
        <v>0</v>
      </c>
      <c r="CH33" s="3" t="str">
        <f t="shared" si="31"/>
        <v/>
      </c>
      <c r="CI33" s="3" t="str">
        <f t="shared" si="31"/>
        <v/>
      </c>
      <c r="CJ33" s="3" t="str">
        <f t="shared" si="31"/>
        <v/>
      </c>
      <c r="CK33" s="3" t="str">
        <f t="shared" si="31"/>
        <v/>
      </c>
    </row>
    <row r="34" spans="12:89" x14ac:dyDescent="0.2">
      <c r="L34">
        <f t="shared" si="32"/>
        <v>6</v>
      </c>
      <c r="M34" s="3">
        <f t="shared" si="33"/>
        <v>0</v>
      </c>
      <c r="N34" s="3">
        <f t="shared" si="27"/>
        <v>0</v>
      </c>
      <c r="O34" s="3">
        <f t="shared" si="27"/>
        <v>0</v>
      </c>
      <c r="P34" s="3">
        <f t="shared" si="27"/>
        <v>0</v>
      </c>
      <c r="Q34" s="3">
        <f t="shared" si="27"/>
        <v>0</v>
      </c>
      <c r="R34" s="3">
        <f t="shared" si="27"/>
        <v>0</v>
      </c>
      <c r="S34" s="3">
        <f t="shared" si="27"/>
        <v>0</v>
      </c>
      <c r="T34" s="3">
        <f t="shared" si="27"/>
        <v>0</v>
      </c>
      <c r="U34" s="3">
        <f t="shared" si="27"/>
        <v>0</v>
      </c>
      <c r="V34" s="3">
        <f t="shared" si="27"/>
        <v>0</v>
      </c>
      <c r="W34" s="3">
        <f t="shared" si="27"/>
        <v>0</v>
      </c>
      <c r="X34" s="3">
        <f t="shared" si="27"/>
        <v>0</v>
      </c>
      <c r="Y34" s="3">
        <f t="shared" si="27"/>
        <v>0</v>
      </c>
      <c r="Z34" s="3">
        <f t="shared" si="27"/>
        <v>0</v>
      </c>
      <c r="AA34" s="3">
        <f t="shared" si="27"/>
        <v>0</v>
      </c>
      <c r="AB34" s="3">
        <f t="shared" si="27"/>
        <v>0</v>
      </c>
      <c r="AC34" s="3">
        <f t="shared" si="27"/>
        <v>0</v>
      </c>
      <c r="AD34" s="3">
        <f t="shared" si="28"/>
        <v>0</v>
      </c>
      <c r="AE34" s="3">
        <f t="shared" si="28"/>
        <v>0</v>
      </c>
      <c r="AF34" s="3">
        <f t="shared" si="28"/>
        <v>0</v>
      </c>
      <c r="AG34" s="3">
        <f t="shared" si="28"/>
        <v>0</v>
      </c>
      <c r="AH34" s="3">
        <f t="shared" si="28"/>
        <v>0</v>
      </c>
      <c r="AI34" s="3">
        <f t="shared" si="28"/>
        <v>0</v>
      </c>
      <c r="AJ34" s="3">
        <f t="shared" si="28"/>
        <v>0</v>
      </c>
      <c r="AK34" s="3">
        <f t="shared" si="28"/>
        <v>0</v>
      </c>
      <c r="AL34" s="3">
        <f t="shared" si="28"/>
        <v>0</v>
      </c>
      <c r="AM34" s="3">
        <f t="shared" si="28"/>
        <v>0</v>
      </c>
      <c r="AN34" s="3">
        <f t="shared" si="28"/>
        <v>0</v>
      </c>
      <c r="AO34" s="3">
        <f t="shared" si="28"/>
        <v>0</v>
      </c>
      <c r="AP34" s="3">
        <f t="shared" si="28"/>
        <v>0</v>
      </c>
      <c r="AQ34" s="3">
        <f t="shared" si="28"/>
        <v>-258000</v>
      </c>
      <c r="AR34" s="3">
        <f t="shared" si="28"/>
        <v>0</v>
      </c>
      <c r="AS34" s="3">
        <f t="shared" si="28"/>
        <v>0</v>
      </c>
      <c r="AT34" s="3">
        <f t="shared" si="29"/>
        <v>0</v>
      </c>
      <c r="AU34" s="3">
        <f t="shared" si="29"/>
        <v>0</v>
      </c>
      <c r="AV34" s="3">
        <f t="shared" si="29"/>
        <v>0</v>
      </c>
      <c r="AW34" s="3">
        <f t="shared" si="29"/>
        <v>0</v>
      </c>
      <c r="AX34" s="3">
        <f t="shared" si="29"/>
        <v>0</v>
      </c>
      <c r="AY34" s="3">
        <f t="shared" si="29"/>
        <v>0</v>
      </c>
      <c r="AZ34" s="3">
        <f t="shared" si="29"/>
        <v>-387000</v>
      </c>
      <c r="BA34" s="3">
        <f t="shared" si="29"/>
        <v>0</v>
      </c>
      <c r="BB34" s="3">
        <f t="shared" si="29"/>
        <v>0</v>
      </c>
      <c r="BC34" s="3">
        <f t="shared" si="29"/>
        <v>0</v>
      </c>
      <c r="BD34" s="3">
        <f t="shared" si="29"/>
        <v>0</v>
      </c>
      <c r="BE34" s="3">
        <f t="shared" si="29"/>
        <v>0</v>
      </c>
      <c r="BF34" s="3">
        <f t="shared" si="29"/>
        <v>0</v>
      </c>
      <c r="BG34" s="3">
        <f t="shared" si="29"/>
        <v>0</v>
      </c>
      <c r="BH34" s="3">
        <f t="shared" si="29"/>
        <v>0</v>
      </c>
      <c r="BI34" s="3">
        <f t="shared" si="29"/>
        <v>0</v>
      </c>
      <c r="BJ34" s="3">
        <f t="shared" si="30"/>
        <v>0</v>
      </c>
      <c r="BK34" s="3">
        <f t="shared" si="30"/>
        <v>0</v>
      </c>
      <c r="BL34" s="3">
        <f t="shared" si="30"/>
        <v>0</v>
      </c>
      <c r="BM34" s="3">
        <f t="shared" si="30"/>
        <v>0</v>
      </c>
      <c r="BN34" s="3">
        <f t="shared" si="30"/>
        <v>0</v>
      </c>
      <c r="BO34" s="3">
        <f t="shared" si="30"/>
        <v>0</v>
      </c>
      <c r="BP34" s="3">
        <f t="shared" si="30"/>
        <v>0</v>
      </c>
      <c r="BQ34" s="3">
        <f t="shared" si="30"/>
        <v>0</v>
      </c>
      <c r="BR34" s="3">
        <f t="shared" si="30"/>
        <v>0</v>
      </c>
      <c r="BS34" s="3">
        <f t="shared" si="30"/>
        <v>0</v>
      </c>
      <c r="BT34" s="3">
        <f t="shared" si="30"/>
        <v>0</v>
      </c>
      <c r="BU34" s="3">
        <f t="shared" si="30"/>
        <v>0</v>
      </c>
      <c r="BV34" s="3">
        <f t="shared" si="31"/>
        <v>0</v>
      </c>
      <c r="BW34" s="3">
        <f t="shared" si="31"/>
        <v>0</v>
      </c>
      <c r="BX34" s="3">
        <f t="shared" si="31"/>
        <v>0</v>
      </c>
      <c r="BY34" s="3">
        <f t="shared" si="31"/>
        <v>0</v>
      </c>
      <c r="BZ34" s="3">
        <f t="shared" si="31"/>
        <v>0</v>
      </c>
      <c r="CA34" s="3">
        <f t="shared" si="31"/>
        <v>0</v>
      </c>
      <c r="CB34" s="3">
        <f t="shared" si="31"/>
        <v>0</v>
      </c>
      <c r="CC34" s="3">
        <f t="shared" si="31"/>
        <v>0</v>
      </c>
      <c r="CD34" s="3">
        <f t="shared" si="31"/>
        <v>0</v>
      </c>
      <c r="CE34" s="3">
        <f t="shared" si="31"/>
        <v>0</v>
      </c>
      <c r="CF34" s="3">
        <f t="shared" si="31"/>
        <v>0</v>
      </c>
      <c r="CG34" s="3">
        <f t="shared" si="31"/>
        <v>0</v>
      </c>
      <c r="CH34" s="3" t="str">
        <f t="shared" si="31"/>
        <v/>
      </c>
      <c r="CI34" s="3" t="str">
        <f t="shared" si="31"/>
        <v/>
      </c>
      <c r="CJ34" s="3" t="str">
        <f t="shared" si="31"/>
        <v/>
      </c>
      <c r="CK34" s="3" t="str">
        <f t="shared" si="31"/>
        <v/>
      </c>
    </row>
    <row r="35" spans="12:89" x14ac:dyDescent="0.2">
      <c r="L35">
        <f t="shared" si="32"/>
        <v>7</v>
      </c>
      <c r="M35" s="3">
        <f t="shared" si="33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  <c r="R35" s="3">
        <f t="shared" si="27"/>
        <v>0</v>
      </c>
      <c r="S35" s="3">
        <f t="shared" si="27"/>
        <v>0</v>
      </c>
      <c r="T35" s="3">
        <f t="shared" si="27"/>
        <v>0</v>
      </c>
      <c r="U35" s="3">
        <f t="shared" si="27"/>
        <v>0</v>
      </c>
      <c r="V35" s="3">
        <f t="shared" si="27"/>
        <v>0</v>
      </c>
      <c r="W35" s="3">
        <f t="shared" si="27"/>
        <v>0</v>
      </c>
      <c r="X35" s="3">
        <f t="shared" si="27"/>
        <v>0</v>
      </c>
      <c r="Y35" s="3">
        <f t="shared" si="27"/>
        <v>0</v>
      </c>
      <c r="Z35" s="3">
        <f t="shared" si="27"/>
        <v>0</v>
      </c>
      <c r="AA35" s="3">
        <f t="shared" si="27"/>
        <v>0</v>
      </c>
      <c r="AB35" s="3">
        <f t="shared" si="27"/>
        <v>0</v>
      </c>
      <c r="AC35" s="3">
        <f t="shared" si="27"/>
        <v>0</v>
      </c>
      <c r="AD35" s="3">
        <f t="shared" si="28"/>
        <v>0</v>
      </c>
      <c r="AE35" s="3">
        <f t="shared" si="28"/>
        <v>0</v>
      </c>
      <c r="AF35" s="3">
        <f t="shared" si="28"/>
        <v>0</v>
      </c>
      <c r="AG35" s="3">
        <f t="shared" si="28"/>
        <v>0</v>
      </c>
      <c r="AH35" s="3">
        <f t="shared" si="28"/>
        <v>0</v>
      </c>
      <c r="AI35" s="3">
        <f t="shared" si="28"/>
        <v>0</v>
      </c>
      <c r="AJ35" s="3">
        <f t="shared" si="28"/>
        <v>0</v>
      </c>
      <c r="AK35" s="3">
        <f t="shared" si="28"/>
        <v>0</v>
      </c>
      <c r="AL35" s="3">
        <f t="shared" si="28"/>
        <v>0</v>
      </c>
      <c r="AM35" s="3">
        <f t="shared" si="28"/>
        <v>0</v>
      </c>
      <c r="AN35" s="3">
        <f t="shared" si="28"/>
        <v>0</v>
      </c>
      <c r="AO35" s="3">
        <f t="shared" si="28"/>
        <v>0</v>
      </c>
      <c r="AP35" s="3">
        <f t="shared" si="28"/>
        <v>-168000</v>
      </c>
      <c r="AQ35" s="3">
        <f t="shared" si="28"/>
        <v>0</v>
      </c>
      <c r="AR35" s="3">
        <f t="shared" si="28"/>
        <v>0</v>
      </c>
      <c r="AS35" s="3">
        <f t="shared" si="28"/>
        <v>0</v>
      </c>
      <c r="AT35" s="3">
        <f t="shared" si="29"/>
        <v>0</v>
      </c>
      <c r="AU35" s="3">
        <f t="shared" si="29"/>
        <v>0</v>
      </c>
      <c r="AV35" s="3">
        <f t="shared" si="29"/>
        <v>0</v>
      </c>
      <c r="AW35" s="3">
        <f t="shared" si="29"/>
        <v>0</v>
      </c>
      <c r="AX35" s="3">
        <f t="shared" si="29"/>
        <v>0</v>
      </c>
      <c r="AY35" s="3">
        <f t="shared" si="29"/>
        <v>-252000</v>
      </c>
      <c r="AZ35" s="3">
        <f t="shared" si="29"/>
        <v>0</v>
      </c>
      <c r="BA35" s="3">
        <f t="shared" si="29"/>
        <v>0</v>
      </c>
      <c r="BB35" s="3">
        <f t="shared" si="29"/>
        <v>0</v>
      </c>
      <c r="BC35" s="3">
        <f t="shared" si="29"/>
        <v>0</v>
      </c>
      <c r="BD35" s="3">
        <f t="shared" si="29"/>
        <v>0</v>
      </c>
      <c r="BE35" s="3">
        <f t="shared" si="29"/>
        <v>0</v>
      </c>
      <c r="BF35" s="3">
        <f t="shared" si="29"/>
        <v>0</v>
      </c>
      <c r="BG35" s="3">
        <f t="shared" si="29"/>
        <v>0</v>
      </c>
      <c r="BH35" s="3">
        <f t="shared" si="29"/>
        <v>0</v>
      </c>
      <c r="BI35" s="3">
        <f t="shared" si="29"/>
        <v>0</v>
      </c>
      <c r="BJ35" s="3">
        <f t="shared" si="30"/>
        <v>0</v>
      </c>
      <c r="BK35" s="3">
        <f t="shared" si="30"/>
        <v>0</v>
      </c>
      <c r="BL35" s="3">
        <f t="shared" si="30"/>
        <v>0</v>
      </c>
      <c r="BM35" s="3">
        <f t="shared" si="30"/>
        <v>0</v>
      </c>
      <c r="BN35" s="3">
        <f t="shared" si="30"/>
        <v>0</v>
      </c>
      <c r="BO35" s="3">
        <f t="shared" si="30"/>
        <v>0</v>
      </c>
      <c r="BP35" s="3">
        <f t="shared" si="30"/>
        <v>0</v>
      </c>
      <c r="BQ35" s="3">
        <f t="shared" si="30"/>
        <v>0</v>
      </c>
      <c r="BR35" s="3">
        <f t="shared" si="30"/>
        <v>0</v>
      </c>
      <c r="BS35" s="3">
        <f t="shared" si="30"/>
        <v>0</v>
      </c>
      <c r="BT35" s="3">
        <f t="shared" si="30"/>
        <v>0</v>
      </c>
      <c r="BU35" s="3">
        <f t="shared" si="30"/>
        <v>0</v>
      </c>
      <c r="BV35" s="3">
        <f t="shared" si="31"/>
        <v>0</v>
      </c>
      <c r="BW35" s="3">
        <f t="shared" si="31"/>
        <v>0</v>
      </c>
      <c r="BX35" s="3">
        <f t="shared" si="31"/>
        <v>0</v>
      </c>
      <c r="BY35" s="3">
        <f t="shared" si="31"/>
        <v>0</v>
      </c>
      <c r="BZ35" s="3">
        <f t="shared" si="31"/>
        <v>0</v>
      </c>
      <c r="CA35" s="3">
        <f t="shared" si="31"/>
        <v>0</v>
      </c>
      <c r="CB35" s="3">
        <f t="shared" si="31"/>
        <v>0</v>
      </c>
      <c r="CC35" s="3">
        <f t="shared" si="31"/>
        <v>0</v>
      </c>
      <c r="CD35" s="3">
        <f t="shared" si="31"/>
        <v>0</v>
      </c>
      <c r="CE35" s="3">
        <f t="shared" si="31"/>
        <v>0</v>
      </c>
      <c r="CF35" s="3">
        <f t="shared" si="31"/>
        <v>0</v>
      </c>
      <c r="CG35" s="3">
        <f t="shared" si="31"/>
        <v>0</v>
      </c>
      <c r="CH35" s="3" t="str">
        <f t="shared" si="31"/>
        <v/>
      </c>
      <c r="CI35" s="3" t="str">
        <f t="shared" si="31"/>
        <v/>
      </c>
      <c r="CJ35" s="3" t="str">
        <f t="shared" si="31"/>
        <v/>
      </c>
      <c r="CK35" s="3" t="str">
        <f t="shared" si="31"/>
        <v/>
      </c>
    </row>
    <row r="36" spans="12:89" x14ac:dyDescent="0.2">
      <c r="L36">
        <f t="shared" si="32"/>
        <v>8</v>
      </c>
      <c r="M36" s="3">
        <f t="shared" si="33"/>
        <v>0</v>
      </c>
      <c r="N36" s="3">
        <f t="shared" si="27"/>
        <v>0</v>
      </c>
      <c r="O36" s="3">
        <f t="shared" si="27"/>
        <v>0</v>
      </c>
      <c r="P36" s="3">
        <f t="shared" si="27"/>
        <v>0</v>
      </c>
      <c r="Q36" s="3">
        <f t="shared" si="27"/>
        <v>0</v>
      </c>
      <c r="R36" s="3">
        <f t="shared" si="27"/>
        <v>0</v>
      </c>
      <c r="S36" s="3">
        <f t="shared" si="27"/>
        <v>0</v>
      </c>
      <c r="T36" s="3">
        <f t="shared" si="27"/>
        <v>0</v>
      </c>
      <c r="U36" s="3">
        <f t="shared" si="27"/>
        <v>0</v>
      </c>
      <c r="V36" s="3">
        <f t="shared" si="27"/>
        <v>0</v>
      </c>
      <c r="W36" s="3">
        <f t="shared" si="27"/>
        <v>0</v>
      </c>
      <c r="X36" s="3">
        <f t="shared" si="27"/>
        <v>0</v>
      </c>
      <c r="Y36" s="3">
        <f t="shared" si="27"/>
        <v>0</v>
      </c>
      <c r="Z36" s="3">
        <f t="shared" si="27"/>
        <v>0</v>
      </c>
      <c r="AA36" s="3">
        <f t="shared" si="27"/>
        <v>0</v>
      </c>
      <c r="AB36" s="3">
        <f t="shared" si="27"/>
        <v>0</v>
      </c>
      <c r="AC36" s="3">
        <f t="shared" si="27"/>
        <v>0</v>
      </c>
      <c r="AD36" s="3">
        <f t="shared" si="28"/>
        <v>0</v>
      </c>
      <c r="AE36" s="3">
        <f t="shared" si="28"/>
        <v>0</v>
      </c>
      <c r="AF36" s="3">
        <f t="shared" si="28"/>
        <v>0</v>
      </c>
      <c r="AG36" s="3">
        <f t="shared" si="28"/>
        <v>-105000</v>
      </c>
      <c r="AH36" s="3">
        <f t="shared" si="28"/>
        <v>0</v>
      </c>
      <c r="AI36" s="3">
        <f t="shared" si="28"/>
        <v>0</v>
      </c>
      <c r="AJ36" s="3">
        <f t="shared" si="28"/>
        <v>0</v>
      </c>
      <c r="AK36" s="3">
        <f t="shared" si="28"/>
        <v>0</v>
      </c>
      <c r="AL36" s="3">
        <f t="shared" si="28"/>
        <v>0</v>
      </c>
      <c r="AM36" s="3">
        <f t="shared" si="28"/>
        <v>0</v>
      </c>
      <c r="AN36" s="3">
        <f t="shared" si="28"/>
        <v>0</v>
      </c>
      <c r="AO36" s="3">
        <f t="shared" si="28"/>
        <v>0</v>
      </c>
      <c r="AP36" s="3">
        <f t="shared" si="28"/>
        <v>-157500</v>
      </c>
      <c r="AQ36" s="3">
        <f t="shared" si="28"/>
        <v>0</v>
      </c>
      <c r="AR36" s="3">
        <f t="shared" si="28"/>
        <v>0</v>
      </c>
      <c r="AS36" s="3">
        <f t="shared" si="28"/>
        <v>0</v>
      </c>
      <c r="AT36" s="3">
        <f t="shared" si="29"/>
        <v>0</v>
      </c>
      <c r="AU36" s="3">
        <f t="shared" si="29"/>
        <v>0</v>
      </c>
      <c r="AV36" s="3">
        <f t="shared" si="29"/>
        <v>0</v>
      </c>
      <c r="AW36" s="3">
        <f t="shared" si="29"/>
        <v>0</v>
      </c>
      <c r="AX36" s="3">
        <f t="shared" si="29"/>
        <v>0</v>
      </c>
      <c r="AY36" s="3">
        <f t="shared" si="29"/>
        <v>0</v>
      </c>
      <c r="AZ36" s="3">
        <f t="shared" si="29"/>
        <v>0</v>
      </c>
      <c r="BA36" s="3">
        <f t="shared" si="29"/>
        <v>0</v>
      </c>
      <c r="BB36" s="3">
        <f t="shared" si="29"/>
        <v>0</v>
      </c>
      <c r="BC36" s="3">
        <f t="shared" si="29"/>
        <v>0</v>
      </c>
      <c r="BD36" s="3">
        <f t="shared" si="29"/>
        <v>0</v>
      </c>
      <c r="BE36" s="3">
        <f t="shared" si="29"/>
        <v>0</v>
      </c>
      <c r="BF36" s="3">
        <f t="shared" si="29"/>
        <v>0</v>
      </c>
      <c r="BG36" s="3">
        <f t="shared" si="29"/>
        <v>0</v>
      </c>
      <c r="BH36" s="3">
        <f t="shared" si="29"/>
        <v>0</v>
      </c>
      <c r="BI36" s="3">
        <f t="shared" si="29"/>
        <v>0</v>
      </c>
      <c r="BJ36" s="3">
        <f t="shared" si="30"/>
        <v>0</v>
      </c>
      <c r="BK36" s="3">
        <f t="shared" si="30"/>
        <v>0</v>
      </c>
      <c r="BL36" s="3">
        <f t="shared" si="30"/>
        <v>0</v>
      </c>
      <c r="BM36" s="3">
        <f t="shared" si="30"/>
        <v>0</v>
      </c>
      <c r="BN36" s="3">
        <f t="shared" si="30"/>
        <v>0</v>
      </c>
      <c r="BO36" s="3">
        <f t="shared" si="30"/>
        <v>0</v>
      </c>
      <c r="BP36" s="3">
        <f t="shared" si="30"/>
        <v>0</v>
      </c>
      <c r="BQ36" s="3">
        <f t="shared" si="30"/>
        <v>0</v>
      </c>
      <c r="BR36" s="3">
        <f t="shared" si="30"/>
        <v>0</v>
      </c>
      <c r="BS36" s="3">
        <f t="shared" si="30"/>
        <v>0</v>
      </c>
      <c r="BT36" s="3">
        <f t="shared" si="30"/>
        <v>0</v>
      </c>
      <c r="BU36" s="3">
        <f t="shared" si="30"/>
        <v>0</v>
      </c>
      <c r="BV36" s="3">
        <f t="shared" si="31"/>
        <v>0</v>
      </c>
      <c r="BW36" s="3">
        <f t="shared" si="31"/>
        <v>0</v>
      </c>
      <c r="BX36" s="3">
        <f t="shared" si="31"/>
        <v>0</v>
      </c>
      <c r="BY36" s="3">
        <f t="shared" si="31"/>
        <v>0</v>
      </c>
      <c r="BZ36" s="3">
        <f t="shared" si="31"/>
        <v>0</v>
      </c>
      <c r="CA36" s="3">
        <f t="shared" si="31"/>
        <v>0</v>
      </c>
      <c r="CB36" s="3">
        <f t="shared" si="31"/>
        <v>0</v>
      </c>
      <c r="CC36" s="3">
        <f t="shared" si="31"/>
        <v>0</v>
      </c>
      <c r="CD36" s="3">
        <f t="shared" si="31"/>
        <v>0</v>
      </c>
      <c r="CE36" s="3">
        <f t="shared" si="31"/>
        <v>0</v>
      </c>
      <c r="CF36" s="3">
        <f t="shared" si="31"/>
        <v>0</v>
      </c>
      <c r="CG36" s="3">
        <f t="shared" si="31"/>
        <v>0</v>
      </c>
      <c r="CH36" s="3" t="str">
        <f t="shared" si="31"/>
        <v/>
      </c>
      <c r="CI36" s="3" t="str">
        <f t="shared" si="31"/>
        <v/>
      </c>
      <c r="CJ36" s="3" t="str">
        <f t="shared" si="31"/>
        <v/>
      </c>
      <c r="CK36" s="3" t="str">
        <f t="shared" si="31"/>
        <v/>
      </c>
    </row>
    <row r="37" spans="12:89" x14ac:dyDescent="0.2">
      <c r="L37">
        <f t="shared" si="32"/>
        <v>9</v>
      </c>
      <c r="M37" s="3">
        <f t="shared" si="33"/>
        <v>0</v>
      </c>
      <c r="N37" s="3">
        <f t="shared" si="27"/>
        <v>0</v>
      </c>
      <c r="O37" s="3">
        <f t="shared" si="27"/>
        <v>0</v>
      </c>
      <c r="P37" s="3">
        <f t="shared" si="27"/>
        <v>0</v>
      </c>
      <c r="Q37" s="3">
        <f t="shared" si="27"/>
        <v>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  <c r="AA37" s="3">
        <f t="shared" si="27"/>
        <v>0</v>
      </c>
      <c r="AB37" s="3">
        <f t="shared" si="27"/>
        <v>0</v>
      </c>
      <c r="AC37" s="3">
        <f t="shared" si="27"/>
        <v>0</v>
      </c>
      <c r="AD37" s="3">
        <f t="shared" si="28"/>
        <v>0</v>
      </c>
      <c r="AE37" s="3">
        <f t="shared" si="28"/>
        <v>0</v>
      </c>
      <c r="AF37" s="3">
        <f t="shared" si="28"/>
        <v>0</v>
      </c>
      <c r="AG37" s="3">
        <f t="shared" si="28"/>
        <v>0</v>
      </c>
      <c r="AH37" s="3">
        <f t="shared" si="28"/>
        <v>0</v>
      </c>
      <c r="AI37" s="3">
        <f t="shared" si="28"/>
        <v>0</v>
      </c>
      <c r="AJ37" s="3">
        <f t="shared" si="28"/>
        <v>0</v>
      </c>
      <c r="AK37" s="3">
        <f t="shared" si="28"/>
        <v>0</v>
      </c>
      <c r="AL37" s="3">
        <f t="shared" si="28"/>
        <v>0</v>
      </c>
      <c r="AM37" s="3">
        <f t="shared" si="28"/>
        <v>0</v>
      </c>
      <c r="AN37" s="3">
        <f t="shared" si="28"/>
        <v>0</v>
      </c>
      <c r="AO37" s="3">
        <f t="shared" si="28"/>
        <v>0</v>
      </c>
      <c r="AP37" s="3">
        <f t="shared" si="28"/>
        <v>0</v>
      </c>
      <c r="AQ37" s="3">
        <f t="shared" si="28"/>
        <v>0</v>
      </c>
      <c r="AR37" s="3">
        <f t="shared" si="28"/>
        <v>0</v>
      </c>
      <c r="AS37" s="3">
        <f t="shared" si="28"/>
        <v>0</v>
      </c>
      <c r="AT37" s="3">
        <f t="shared" si="29"/>
        <v>0</v>
      </c>
      <c r="AU37" s="3">
        <f t="shared" si="29"/>
        <v>0</v>
      </c>
      <c r="AV37" s="3">
        <f t="shared" si="29"/>
        <v>0</v>
      </c>
      <c r="AW37" s="3">
        <f t="shared" si="29"/>
        <v>0</v>
      </c>
      <c r="AX37" s="3">
        <f t="shared" si="29"/>
        <v>0</v>
      </c>
      <c r="AY37" s="3">
        <f t="shared" si="29"/>
        <v>0</v>
      </c>
      <c r="AZ37" s="3">
        <f t="shared" si="29"/>
        <v>0</v>
      </c>
      <c r="BA37" s="3">
        <f t="shared" si="29"/>
        <v>0</v>
      </c>
      <c r="BB37" s="3">
        <f t="shared" si="29"/>
        <v>0</v>
      </c>
      <c r="BC37" s="3">
        <f t="shared" si="29"/>
        <v>0</v>
      </c>
      <c r="BD37" s="3">
        <f t="shared" si="29"/>
        <v>0</v>
      </c>
      <c r="BE37" s="3">
        <f t="shared" si="29"/>
        <v>0</v>
      </c>
      <c r="BF37" s="3">
        <f t="shared" si="29"/>
        <v>0</v>
      </c>
      <c r="BG37" s="3">
        <f t="shared" si="29"/>
        <v>0</v>
      </c>
      <c r="BH37" s="3">
        <f t="shared" si="29"/>
        <v>0</v>
      </c>
      <c r="BI37" s="3">
        <f t="shared" si="29"/>
        <v>0</v>
      </c>
      <c r="BJ37" s="3">
        <f t="shared" si="30"/>
        <v>0</v>
      </c>
      <c r="BK37" s="3">
        <f t="shared" si="30"/>
        <v>0</v>
      </c>
      <c r="BL37" s="3">
        <f t="shared" si="30"/>
        <v>0</v>
      </c>
      <c r="BM37" s="3">
        <f t="shared" si="30"/>
        <v>0</v>
      </c>
      <c r="BN37" s="3">
        <f t="shared" si="30"/>
        <v>0</v>
      </c>
      <c r="BO37" s="3">
        <f t="shared" si="30"/>
        <v>0</v>
      </c>
      <c r="BP37" s="3">
        <f t="shared" si="30"/>
        <v>0</v>
      </c>
      <c r="BQ37" s="3">
        <f t="shared" si="30"/>
        <v>0</v>
      </c>
      <c r="BR37" s="3">
        <f t="shared" si="30"/>
        <v>0</v>
      </c>
      <c r="BS37" s="3">
        <f t="shared" si="30"/>
        <v>0</v>
      </c>
      <c r="BT37" s="3">
        <f t="shared" si="30"/>
        <v>0</v>
      </c>
      <c r="BU37" s="3">
        <f t="shared" si="30"/>
        <v>0</v>
      </c>
      <c r="BV37" s="3">
        <f t="shared" si="31"/>
        <v>0</v>
      </c>
      <c r="BW37" s="3">
        <f t="shared" si="31"/>
        <v>0</v>
      </c>
      <c r="BX37" s="3">
        <f t="shared" si="31"/>
        <v>0</v>
      </c>
      <c r="BY37" s="3">
        <f t="shared" si="31"/>
        <v>0</v>
      </c>
      <c r="BZ37" s="3">
        <f t="shared" si="31"/>
        <v>0</v>
      </c>
      <c r="CA37" s="3">
        <f t="shared" si="31"/>
        <v>0</v>
      </c>
      <c r="CB37" s="3">
        <f t="shared" si="31"/>
        <v>0</v>
      </c>
      <c r="CC37" s="3">
        <f t="shared" si="31"/>
        <v>0</v>
      </c>
      <c r="CD37" s="3">
        <f t="shared" si="31"/>
        <v>0</v>
      </c>
      <c r="CE37" s="3">
        <f t="shared" si="31"/>
        <v>0</v>
      </c>
      <c r="CF37" s="3">
        <f t="shared" si="31"/>
        <v>0</v>
      </c>
      <c r="CG37" s="3">
        <f t="shared" si="31"/>
        <v>0</v>
      </c>
      <c r="CH37" s="3" t="str">
        <f t="shared" si="31"/>
        <v/>
      </c>
      <c r="CI37" s="3" t="str">
        <f t="shared" si="31"/>
        <v/>
      </c>
      <c r="CJ37" s="3" t="str">
        <f t="shared" si="31"/>
        <v/>
      </c>
      <c r="CK37" s="3" t="str">
        <f t="shared" si="31"/>
        <v/>
      </c>
    </row>
    <row r="38" spans="12:89" x14ac:dyDescent="0.2">
      <c r="L38">
        <f t="shared" si="32"/>
        <v>10</v>
      </c>
      <c r="M38" s="3">
        <f t="shared" si="33"/>
        <v>0</v>
      </c>
      <c r="N38" s="3">
        <f t="shared" si="27"/>
        <v>0</v>
      </c>
      <c r="O38" s="3">
        <f t="shared" si="27"/>
        <v>0</v>
      </c>
      <c r="P38" s="3">
        <f t="shared" si="27"/>
        <v>0</v>
      </c>
      <c r="Q38" s="3">
        <f t="shared" si="27"/>
        <v>0</v>
      </c>
      <c r="R38" s="3">
        <f t="shared" si="27"/>
        <v>0</v>
      </c>
      <c r="S38" s="3">
        <f t="shared" si="27"/>
        <v>0</v>
      </c>
      <c r="T38" s="3">
        <f t="shared" si="27"/>
        <v>0</v>
      </c>
      <c r="U38" s="3">
        <f t="shared" si="27"/>
        <v>0</v>
      </c>
      <c r="V38" s="3">
        <f t="shared" si="27"/>
        <v>0</v>
      </c>
      <c r="W38" s="3">
        <f t="shared" si="27"/>
        <v>0</v>
      </c>
      <c r="X38" s="3">
        <f t="shared" si="27"/>
        <v>0</v>
      </c>
      <c r="Y38" s="3">
        <f t="shared" si="27"/>
        <v>0</v>
      </c>
      <c r="Z38" s="3">
        <f t="shared" si="27"/>
        <v>0</v>
      </c>
      <c r="AA38" s="3">
        <f t="shared" si="27"/>
        <v>0</v>
      </c>
      <c r="AB38" s="3">
        <f t="shared" si="27"/>
        <v>0</v>
      </c>
      <c r="AC38" s="3">
        <f t="shared" si="27"/>
        <v>0</v>
      </c>
      <c r="AD38" s="3">
        <f t="shared" si="28"/>
        <v>0</v>
      </c>
      <c r="AE38" s="3">
        <f t="shared" si="28"/>
        <v>0</v>
      </c>
      <c r="AF38" s="3">
        <f t="shared" si="28"/>
        <v>0</v>
      </c>
      <c r="AG38" s="3">
        <f t="shared" si="28"/>
        <v>0</v>
      </c>
      <c r="AH38" s="3">
        <f t="shared" si="28"/>
        <v>0</v>
      </c>
      <c r="AI38" s="3">
        <f t="shared" si="28"/>
        <v>0</v>
      </c>
      <c r="AJ38" s="3">
        <f t="shared" si="28"/>
        <v>0</v>
      </c>
      <c r="AK38" s="3">
        <f t="shared" si="28"/>
        <v>0</v>
      </c>
      <c r="AL38" s="3">
        <f t="shared" si="28"/>
        <v>0</v>
      </c>
      <c r="AM38" s="3">
        <f t="shared" si="28"/>
        <v>0</v>
      </c>
      <c r="AN38" s="3">
        <f t="shared" si="28"/>
        <v>0</v>
      </c>
      <c r="AO38" s="3">
        <f t="shared" si="28"/>
        <v>0</v>
      </c>
      <c r="AP38" s="3">
        <f t="shared" si="28"/>
        <v>0</v>
      </c>
      <c r="AQ38" s="3">
        <f t="shared" si="28"/>
        <v>0</v>
      </c>
      <c r="AR38" s="3">
        <f t="shared" si="28"/>
        <v>0</v>
      </c>
      <c r="AS38" s="3">
        <f t="shared" si="28"/>
        <v>0</v>
      </c>
      <c r="AT38" s="3">
        <f t="shared" si="29"/>
        <v>0</v>
      </c>
      <c r="AU38" s="3">
        <f t="shared" si="29"/>
        <v>0</v>
      </c>
      <c r="AV38" s="3">
        <f t="shared" si="29"/>
        <v>0</v>
      </c>
      <c r="AW38" s="3">
        <f t="shared" si="29"/>
        <v>0</v>
      </c>
      <c r="AX38" s="3">
        <f t="shared" si="29"/>
        <v>0</v>
      </c>
      <c r="AY38" s="3">
        <f t="shared" si="29"/>
        <v>0</v>
      </c>
      <c r="AZ38" s="3">
        <f t="shared" si="29"/>
        <v>0</v>
      </c>
      <c r="BA38" s="3">
        <f t="shared" si="29"/>
        <v>0</v>
      </c>
      <c r="BB38" s="3">
        <f t="shared" si="29"/>
        <v>0</v>
      </c>
      <c r="BC38" s="3">
        <f t="shared" si="29"/>
        <v>0</v>
      </c>
      <c r="BD38" s="3">
        <f t="shared" si="29"/>
        <v>0</v>
      </c>
      <c r="BE38" s="3">
        <f t="shared" si="29"/>
        <v>0</v>
      </c>
      <c r="BF38" s="3">
        <f t="shared" si="29"/>
        <v>0</v>
      </c>
      <c r="BG38" s="3">
        <f t="shared" si="29"/>
        <v>0</v>
      </c>
      <c r="BH38" s="3">
        <f t="shared" si="29"/>
        <v>0</v>
      </c>
      <c r="BI38" s="3">
        <f t="shared" si="29"/>
        <v>0</v>
      </c>
      <c r="BJ38" s="3">
        <f t="shared" si="30"/>
        <v>0</v>
      </c>
      <c r="BK38" s="3">
        <f t="shared" si="30"/>
        <v>0</v>
      </c>
      <c r="BL38" s="3">
        <f t="shared" si="30"/>
        <v>0</v>
      </c>
      <c r="BM38" s="3">
        <f t="shared" si="30"/>
        <v>0</v>
      </c>
      <c r="BN38" s="3">
        <f t="shared" si="30"/>
        <v>0</v>
      </c>
      <c r="BO38" s="3">
        <f t="shared" si="30"/>
        <v>0</v>
      </c>
      <c r="BP38" s="3">
        <f t="shared" si="30"/>
        <v>0</v>
      </c>
      <c r="BQ38" s="3">
        <f t="shared" si="30"/>
        <v>0</v>
      </c>
      <c r="BR38" s="3">
        <f t="shared" si="30"/>
        <v>0</v>
      </c>
      <c r="BS38" s="3">
        <f t="shared" si="30"/>
        <v>0</v>
      </c>
      <c r="BT38" s="3">
        <f t="shared" si="30"/>
        <v>0</v>
      </c>
      <c r="BU38" s="3">
        <f t="shared" si="30"/>
        <v>0</v>
      </c>
      <c r="BV38" s="3">
        <f t="shared" si="31"/>
        <v>0</v>
      </c>
      <c r="BW38" s="3">
        <f t="shared" si="31"/>
        <v>0</v>
      </c>
      <c r="BX38" s="3">
        <f t="shared" si="31"/>
        <v>0</v>
      </c>
      <c r="BY38" s="3">
        <f t="shared" si="31"/>
        <v>0</v>
      </c>
      <c r="BZ38" s="3">
        <f t="shared" si="31"/>
        <v>0</v>
      </c>
      <c r="CA38" s="3">
        <f t="shared" si="31"/>
        <v>0</v>
      </c>
      <c r="CB38" s="3">
        <f t="shared" si="31"/>
        <v>0</v>
      </c>
      <c r="CC38" s="3">
        <f t="shared" si="31"/>
        <v>0</v>
      </c>
      <c r="CD38" s="3">
        <f t="shared" si="31"/>
        <v>0</v>
      </c>
      <c r="CE38" s="3">
        <f t="shared" si="31"/>
        <v>0</v>
      </c>
      <c r="CF38" s="3">
        <f t="shared" si="31"/>
        <v>0</v>
      </c>
      <c r="CG38" s="3">
        <f t="shared" si="31"/>
        <v>0</v>
      </c>
      <c r="CH38" s="3" t="str">
        <f t="shared" si="31"/>
        <v/>
      </c>
      <c r="CI38" s="3" t="str">
        <f t="shared" si="31"/>
        <v/>
      </c>
      <c r="CJ38" s="3" t="str">
        <f t="shared" si="31"/>
        <v/>
      </c>
      <c r="CK38" s="3" t="str">
        <f t="shared" si="31"/>
        <v/>
      </c>
    </row>
    <row r="39" spans="12:89" x14ac:dyDescent="0.2">
      <c r="L39">
        <f t="shared" si="32"/>
        <v>11</v>
      </c>
      <c r="M39" s="3">
        <f>IF(M$6="","",_xlfn.LET(_xlpm.p,M$6,_xlpm.i,MATCH($L39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ti,$C$5,_xlpm.renStart,IF(_xlpm.lend&gt;0,EOMONTH(_xlpm.lend,0)+1,0),_xlpm.leaseStart,IF(AND(_xlpm.start&lt;&gt;"",_xlpm.start&gt;0),_xlpm.start,IF(_xlpm.lend&gt;0,EDATE(_xlpm.renStart,_xlpm.up),EDATE($M$6,_xlpm.up))),IF(AND(_xlpm.curpsf&gt;0,_xlpm.lend&gt;0,EOMONTH(_xlpm.p,0)=EOMONTH(_xlpm.renStart,0)),-_xlpm.sf*_xlpm.ti*_xlpm.renew,0)+IF(EOMONTH(_xlpm.p,0)=EOMONTH(_xlpm.leaseStart,0),-_xlpm.sf*_xlpm.ti*IF(_xlpm.curpsf&gt;0,1-_xlpm.renew,1),0)))</f>
        <v>0</v>
      </c>
      <c r="N39" s="3">
        <f t="shared" ref="N39:BY42" si="34">IF(N$6="","",_xlfn.LET(_xlpm.p,N$6,_xlpm.i,MATCH($L39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ti,$C$5,_xlpm.renStart,IF(_xlpm.lend&gt;0,EOMONTH(_xlpm.lend,0)+1,0),_xlpm.leaseStart,IF(AND(_xlpm.start&lt;&gt;"",_xlpm.start&gt;0),_xlpm.start,IF(_xlpm.lend&gt;0,EDATE(_xlpm.renStart,_xlpm.up),EDATE($M$6,_xlpm.up))),IF(AND(_xlpm.curpsf&gt;0,_xlpm.lend&gt;0,EOMONTH(_xlpm.p,0)=EOMONTH(_xlpm.renStart,0)),-_xlpm.sf*_xlpm.ti*_xlpm.renew,0)+IF(EOMONTH(_xlpm.p,0)=EOMONTH(_xlpm.leaseStart,0),-_xlpm.sf*_xlpm.ti*IF(_xlpm.curpsf&gt;0,1-_xlpm.renew,1),0)))</f>
        <v>0</v>
      </c>
      <c r="O39" s="3">
        <f t="shared" si="34"/>
        <v>0</v>
      </c>
      <c r="P39" s="3">
        <f t="shared" si="34"/>
        <v>0</v>
      </c>
      <c r="Q39" s="3">
        <f t="shared" si="34"/>
        <v>0</v>
      </c>
      <c r="R39" s="3">
        <f t="shared" si="34"/>
        <v>0</v>
      </c>
      <c r="S39" s="3">
        <f t="shared" si="34"/>
        <v>0</v>
      </c>
      <c r="T39" s="3">
        <f t="shared" si="34"/>
        <v>0</v>
      </c>
      <c r="U39" s="3">
        <f t="shared" si="34"/>
        <v>0</v>
      </c>
      <c r="V39" s="3">
        <f t="shared" si="34"/>
        <v>0</v>
      </c>
      <c r="W39" s="3">
        <f t="shared" si="34"/>
        <v>-165000</v>
      </c>
      <c r="X39" s="3">
        <f t="shared" si="34"/>
        <v>0</v>
      </c>
      <c r="Y39" s="3">
        <f t="shared" si="34"/>
        <v>0</v>
      </c>
      <c r="Z39" s="3">
        <f t="shared" si="34"/>
        <v>0</v>
      </c>
      <c r="AA39" s="3">
        <f t="shared" si="34"/>
        <v>0</v>
      </c>
      <c r="AB39" s="3">
        <f t="shared" si="34"/>
        <v>0</v>
      </c>
      <c r="AC39" s="3">
        <f t="shared" si="34"/>
        <v>0</v>
      </c>
      <c r="AD39" s="3">
        <f t="shared" si="34"/>
        <v>0</v>
      </c>
      <c r="AE39" s="3">
        <f t="shared" si="34"/>
        <v>0</v>
      </c>
      <c r="AF39" s="3">
        <f t="shared" si="34"/>
        <v>0</v>
      </c>
      <c r="AG39" s="3">
        <f t="shared" si="34"/>
        <v>0</v>
      </c>
      <c r="AH39" s="3">
        <f t="shared" si="34"/>
        <v>0</v>
      </c>
      <c r="AI39" s="3">
        <f t="shared" si="34"/>
        <v>0</v>
      </c>
      <c r="AJ39" s="3">
        <f t="shared" si="34"/>
        <v>0</v>
      </c>
      <c r="AK39" s="3">
        <f t="shared" si="34"/>
        <v>0</v>
      </c>
      <c r="AL39" s="3">
        <f t="shared" si="34"/>
        <v>0</v>
      </c>
      <c r="AM39" s="3">
        <f t="shared" si="34"/>
        <v>0</v>
      </c>
      <c r="AN39" s="3">
        <f t="shared" si="34"/>
        <v>0</v>
      </c>
      <c r="AO39" s="3">
        <f t="shared" si="34"/>
        <v>0</v>
      </c>
      <c r="AP39" s="3">
        <f t="shared" si="34"/>
        <v>0</v>
      </c>
      <c r="AQ39" s="3">
        <f t="shared" si="34"/>
        <v>0</v>
      </c>
      <c r="AR39" s="3">
        <f t="shared" si="34"/>
        <v>0</v>
      </c>
      <c r="AS39" s="3">
        <f t="shared" si="34"/>
        <v>0</v>
      </c>
      <c r="AT39" s="3">
        <f t="shared" si="34"/>
        <v>0</v>
      </c>
      <c r="AU39" s="3">
        <f t="shared" si="34"/>
        <v>0</v>
      </c>
      <c r="AV39" s="3">
        <f t="shared" si="34"/>
        <v>0</v>
      </c>
      <c r="AW39" s="3">
        <f t="shared" si="34"/>
        <v>0</v>
      </c>
      <c r="AX39" s="3">
        <f t="shared" si="34"/>
        <v>0</v>
      </c>
      <c r="AY39" s="3">
        <f t="shared" si="34"/>
        <v>0</v>
      </c>
      <c r="AZ39" s="3">
        <f t="shared" si="34"/>
        <v>0</v>
      </c>
      <c r="BA39" s="3">
        <f t="shared" si="34"/>
        <v>0</v>
      </c>
      <c r="BB39" s="3">
        <f t="shared" si="34"/>
        <v>0</v>
      </c>
      <c r="BC39" s="3">
        <f t="shared" si="34"/>
        <v>0</v>
      </c>
      <c r="BD39" s="3">
        <f t="shared" si="34"/>
        <v>0</v>
      </c>
      <c r="BE39" s="3">
        <f t="shared" si="34"/>
        <v>0</v>
      </c>
      <c r="BF39" s="3">
        <f t="shared" si="34"/>
        <v>0</v>
      </c>
      <c r="BG39" s="3">
        <f t="shared" si="34"/>
        <v>0</v>
      </c>
      <c r="BH39" s="3">
        <f t="shared" si="34"/>
        <v>0</v>
      </c>
      <c r="BI39" s="3">
        <f t="shared" si="34"/>
        <v>0</v>
      </c>
      <c r="BJ39" s="3">
        <f t="shared" si="34"/>
        <v>0</v>
      </c>
      <c r="BK39" s="3">
        <f t="shared" si="34"/>
        <v>0</v>
      </c>
      <c r="BL39" s="3">
        <f t="shared" si="34"/>
        <v>0</v>
      </c>
      <c r="BM39" s="3">
        <f t="shared" si="34"/>
        <v>0</v>
      </c>
      <c r="BN39" s="3">
        <f t="shared" si="34"/>
        <v>0</v>
      </c>
      <c r="BO39" s="3">
        <f t="shared" si="34"/>
        <v>0</v>
      </c>
      <c r="BP39" s="3">
        <f t="shared" si="34"/>
        <v>0</v>
      </c>
      <c r="BQ39" s="3">
        <f t="shared" si="34"/>
        <v>0</v>
      </c>
      <c r="BR39" s="3">
        <f t="shared" si="34"/>
        <v>0</v>
      </c>
      <c r="BS39" s="3">
        <f t="shared" si="34"/>
        <v>0</v>
      </c>
      <c r="BT39" s="3">
        <f t="shared" si="34"/>
        <v>0</v>
      </c>
      <c r="BU39" s="3">
        <f t="shared" si="34"/>
        <v>0</v>
      </c>
      <c r="BV39" s="3">
        <f t="shared" si="34"/>
        <v>0</v>
      </c>
      <c r="BW39" s="3">
        <f t="shared" si="34"/>
        <v>0</v>
      </c>
      <c r="BX39" s="3">
        <f t="shared" si="34"/>
        <v>0</v>
      </c>
      <c r="BY39" s="3">
        <f t="shared" si="34"/>
        <v>0</v>
      </c>
      <c r="BZ39" s="3">
        <f t="shared" ref="BZ39:CK43" si="35">IF(BZ$6="","",_xlfn.LET(_xlpm.p,BZ$6,_xlpm.i,MATCH($L39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ti,$C$5,_xlpm.renStart,IF(_xlpm.lend&gt;0,EOMONTH(_xlpm.lend,0)+1,0),_xlpm.leaseStart,IF(AND(_xlpm.start&lt;&gt;"",_xlpm.start&gt;0),_xlpm.start,IF(_xlpm.lend&gt;0,EDATE(_xlpm.renStart,_xlpm.up),EDATE($M$6,_xlpm.up))),IF(AND(_xlpm.curpsf&gt;0,_xlpm.lend&gt;0,EOMONTH(_xlpm.p,0)=EOMONTH(_xlpm.renStart,0)),-_xlpm.sf*_xlpm.ti*_xlpm.renew,0)+IF(EOMONTH(_xlpm.p,0)=EOMONTH(_xlpm.leaseStart,0),-_xlpm.sf*_xlpm.ti*IF(_xlpm.curpsf&gt;0,1-_xlpm.renew,1),0)))</f>
        <v>0</v>
      </c>
      <c r="CA39" s="3">
        <f t="shared" si="35"/>
        <v>0</v>
      </c>
      <c r="CB39" s="3">
        <f t="shared" si="35"/>
        <v>0</v>
      </c>
      <c r="CC39" s="3">
        <f t="shared" si="35"/>
        <v>0</v>
      </c>
      <c r="CD39" s="3">
        <f t="shared" si="35"/>
        <v>0</v>
      </c>
      <c r="CE39" s="3">
        <f t="shared" si="35"/>
        <v>0</v>
      </c>
      <c r="CF39" s="3">
        <f t="shared" si="35"/>
        <v>0</v>
      </c>
      <c r="CG39" s="3">
        <f t="shared" si="35"/>
        <v>0</v>
      </c>
      <c r="CH39" s="3" t="str">
        <f t="shared" si="35"/>
        <v/>
      </c>
      <c r="CI39" s="3" t="str">
        <f t="shared" si="35"/>
        <v/>
      </c>
      <c r="CJ39" s="3" t="str">
        <f t="shared" si="35"/>
        <v/>
      </c>
      <c r="CK39" s="3" t="str">
        <f t="shared" si="35"/>
        <v/>
      </c>
    </row>
    <row r="40" spans="12:89" x14ac:dyDescent="0.2">
      <c r="L40">
        <f t="shared" si="32"/>
        <v>12</v>
      </c>
      <c r="M40" s="3">
        <f>IF(M$6="","",_xlfn.LET(_xlpm.p,M$6,_xlpm.i,MATCH($L40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ti,$C$5,_xlpm.renStart,IF(_xlpm.lend&gt;0,EOMONTH(_xlpm.lend,0)+1,0),_xlpm.leaseStart,IF(AND(_xlpm.start&lt;&gt;"",_xlpm.start&gt;0),_xlpm.start,IF(_xlpm.lend&gt;0,EDATE(_xlpm.renStart,_xlpm.up),EDATE($M$6,_xlpm.up))),IF(AND(_xlpm.curpsf&gt;0,_xlpm.lend&gt;0,EOMONTH(_xlpm.p,0)=EOMONTH(_xlpm.renStart,0)),-_xlpm.sf*_xlpm.ti*_xlpm.renew,0)+IF(EOMONTH(_xlpm.p,0)=EOMONTH(_xlpm.leaseStart,0),-_xlpm.sf*_xlpm.ti*IF(_xlpm.curpsf&gt;0,1-_xlpm.renew,1),0)))</f>
        <v>0</v>
      </c>
      <c r="N40" s="3">
        <f t="shared" si="34"/>
        <v>0</v>
      </c>
      <c r="O40" s="3">
        <f t="shared" si="34"/>
        <v>0</v>
      </c>
      <c r="P40" s="3">
        <f t="shared" si="34"/>
        <v>0</v>
      </c>
      <c r="Q40" s="3">
        <f t="shared" si="34"/>
        <v>0</v>
      </c>
      <c r="R40" s="3">
        <f t="shared" si="34"/>
        <v>0</v>
      </c>
      <c r="S40" s="3">
        <f t="shared" si="34"/>
        <v>0</v>
      </c>
      <c r="T40" s="3">
        <f t="shared" si="34"/>
        <v>0</v>
      </c>
      <c r="U40" s="3">
        <f t="shared" si="34"/>
        <v>0</v>
      </c>
      <c r="V40" s="3">
        <f t="shared" si="34"/>
        <v>0</v>
      </c>
      <c r="W40" s="3">
        <f t="shared" si="34"/>
        <v>0</v>
      </c>
      <c r="X40" s="3">
        <f t="shared" si="34"/>
        <v>0</v>
      </c>
      <c r="Y40" s="3">
        <f t="shared" si="34"/>
        <v>-247500</v>
      </c>
      <c r="Z40" s="3">
        <f t="shared" si="34"/>
        <v>0</v>
      </c>
      <c r="AA40" s="3">
        <f t="shared" si="34"/>
        <v>0</v>
      </c>
      <c r="AB40" s="3">
        <f t="shared" si="34"/>
        <v>0</v>
      </c>
      <c r="AC40" s="3">
        <f t="shared" si="34"/>
        <v>0</v>
      </c>
      <c r="AD40" s="3">
        <f t="shared" si="34"/>
        <v>0</v>
      </c>
      <c r="AE40" s="3">
        <f t="shared" si="34"/>
        <v>0</v>
      </c>
      <c r="AF40" s="3">
        <f t="shared" si="34"/>
        <v>0</v>
      </c>
      <c r="AG40" s="3">
        <f t="shared" si="34"/>
        <v>0</v>
      </c>
      <c r="AH40" s="3">
        <f t="shared" si="34"/>
        <v>0</v>
      </c>
      <c r="AI40" s="3">
        <f t="shared" si="34"/>
        <v>0</v>
      </c>
      <c r="AJ40" s="3">
        <f t="shared" si="34"/>
        <v>0</v>
      </c>
      <c r="AK40" s="3">
        <f t="shared" si="34"/>
        <v>0</v>
      </c>
      <c r="AL40" s="3">
        <f t="shared" si="34"/>
        <v>0</v>
      </c>
      <c r="AM40" s="3">
        <f t="shared" si="34"/>
        <v>0</v>
      </c>
      <c r="AN40" s="3">
        <f t="shared" si="34"/>
        <v>0</v>
      </c>
      <c r="AO40" s="3">
        <f t="shared" si="34"/>
        <v>0</v>
      </c>
      <c r="AP40" s="3">
        <f t="shared" si="34"/>
        <v>0</v>
      </c>
      <c r="AQ40" s="3">
        <f t="shared" si="34"/>
        <v>0</v>
      </c>
      <c r="AR40" s="3">
        <f t="shared" si="34"/>
        <v>0</v>
      </c>
      <c r="AS40" s="3">
        <f t="shared" si="34"/>
        <v>0</v>
      </c>
      <c r="AT40" s="3">
        <f t="shared" si="34"/>
        <v>0</v>
      </c>
      <c r="AU40" s="3">
        <f t="shared" si="34"/>
        <v>0</v>
      </c>
      <c r="AV40" s="3">
        <f t="shared" si="34"/>
        <v>0</v>
      </c>
      <c r="AW40" s="3">
        <f t="shared" si="34"/>
        <v>0</v>
      </c>
      <c r="AX40" s="3">
        <f t="shared" si="34"/>
        <v>0</v>
      </c>
      <c r="AY40" s="3">
        <f t="shared" si="34"/>
        <v>0</v>
      </c>
      <c r="AZ40" s="3">
        <f t="shared" si="34"/>
        <v>0</v>
      </c>
      <c r="BA40" s="3">
        <f t="shared" si="34"/>
        <v>0</v>
      </c>
      <c r="BB40" s="3">
        <f t="shared" si="34"/>
        <v>0</v>
      </c>
      <c r="BC40" s="3">
        <f t="shared" si="34"/>
        <v>0</v>
      </c>
      <c r="BD40" s="3">
        <f t="shared" si="34"/>
        <v>0</v>
      </c>
      <c r="BE40" s="3">
        <f t="shared" si="34"/>
        <v>0</v>
      </c>
      <c r="BF40" s="3">
        <f t="shared" si="34"/>
        <v>0</v>
      </c>
      <c r="BG40" s="3">
        <f t="shared" si="34"/>
        <v>0</v>
      </c>
      <c r="BH40" s="3">
        <f t="shared" si="34"/>
        <v>0</v>
      </c>
      <c r="BI40" s="3">
        <f t="shared" si="34"/>
        <v>0</v>
      </c>
      <c r="BJ40" s="3">
        <f t="shared" si="34"/>
        <v>0</v>
      </c>
      <c r="BK40" s="3">
        <f t="shared" si="34"/>
        <v>0</v>
      </c>
      <c r="BL40" s="3">
        <f t="shared" si="34"/>
        <v>0</v>
      </c>
      <c r="BM40" s="3">
        <f t="shared" si="34"/>
        <v>0</v>
      </c>
      <c r="BN40" s="3">
        <f t="shared" si="34"/>
        <v>0</v>
      </c>
      <c r="BO40" s="3">
        <f t="shared" si="34"/>
        <v>0</v>
      </c>
      <c r="BP40" s="3">
        <f t="shared" si="34"/>
        <v>0</v>
      </c>
      <c r="BQ40" s="3">
        <f t="shared" si="34"/>
        <v>0</v>
      </c>
      <c r="BR40" s="3">
        <f t="shared" si="34"/>
        <v>0</v>
      </c>
      <c r="BS40" s="3">
        <f t="shared" si="34"/>
        <v>0</v>
      </c>
      <c r="BT40" s="3">
        <f t="shared" si="34"/>
        <v>0</v>
      </c>
      <c r="BU40" s="3">
        <f t="shared" si="34"/>
        <v>0</v>
      </c>
      <c r="BV40" s="3">
        <f t="shared" si="34"/>
        <v>0</v>
      </c>
      <c r="BW40" s="3">
        <f t="shared" si="34"/>
        <v>0</v>
      </c>
      <c r="BX40" s="3">
        <f t="shared" si="34"/>
        <v>0</v>
      </c>
      <c r="BY40" s="3">
        <f t="shared" si="34"/>
        <v>0</v>
      </c>
      <c r="BZ40" s="3">
        <f t="shared" si="35"/>
        <v>0</v>
      </c>
      <c r="CA40" s="3">
        <f t="shared" si="35"/>
        <v>0</v>
      </c>
      <c r="CB40" s="3">
        <f t="shared" si="35"/>
        <v>0</v>
      </c>
      <c r="CC40" s="3">
        <f t="shared" si="35"/>
        <v>0</v>
      </c>
      <c r="CD40" s="3">
        <f t="shared" si="35"/>
        <v>0</v>
      </c>
      <c r="CE40" s="3">
        <f t="shared" si="35"/>
        <v>0</v>
      </c>
      <c r="CF40" s="3">
        <f t="shared" si="35"/>
        <v>0</v>
      </c>
      <c r="CG40" s="3">
        <f t="shared" si="35"/>
        <v>-165000</v>
      </c>
      <c r="CH40" s="3" t="str">
        <f t="shared" si="35"/>
        <v/>
      </c>
      <c r="CI40" s="3" t="str">
        <f t="shared" si="35"/>
        <v/>
      </c>
      <c r="CJ40" s="3" t="str">
        <f t="shared" si="35"/>
        <v/>
      </c>
      <c r="CK40" s="3" t="str">
        <f t="shared" si="35"/>
        <v/>
      </c>
    </row>
    <row r="41" spans="12:89" x14ac:dyDescent="0.2">
      <c r="L41">
        <f t="shared" si="32"/>
        <v>13</v>
      </c>
      <c r="M41" s="3">
        <f>IF(M$6="","",_xlfn.LET(_xlpm.p,M$6,_xlpm.i,MATCH($L41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ti,$C$5,_xlpm.renStart,IF(_xlpm.lend&gt;0,EOMONTH(_xlpm.lend,0)+1,0),_xlpm.leaseStart,IF(AND(_xlpm.start&lt;&gt;"",_xlpm.start&gt;0),_xlpm.start,IF(_xlpm.lend&gt;0,EDATE(_xlpm.renStart,_xlpm.up),EDATE($M$6,_xlpm.up))),IF(AND(_xlpm.curpsf&gt;0,_xlpm.lend&gt;0,EOMONTH(_xlpm.p,0)=EOMONTH(_xlpm.renStart,0)),-_xlpm.sf*_xlpm.ti*_xlpm.renew,0)+IF(EOMONTH(_xlpm.p,0)=EOMONTH(_xlpm.leaseStart,0),-_xlpm.sf*_xlpm.ti*IF(_xlpm.curpsf&gt;0,1-_xlpm.renew,1),0)))</f>
        <v>0</v>
      </c>
      <c r="N41" s="3">
        <f t="shared" si="34"/>
        <v>0</v>
      </c>
      <c r="O41" s="3">
        <f t="shared" si="34"/>
        <v>0</v>
      </c>
      <c r="P41" s="3">
        <f t="shared" si="34"/>
        <v>0</v>
      </c>
      <c r="Q41" s="3">
        <f t="shared" si="34"/>
        <v>0</v>
      </c>
      <c r="R41" s="3">
        <f t="shared" si="34"/>
        <v>0</v>
      </c>
      <c r="S41" s="3">
        <f t="shared" si="34"/>
        <v>0</v>
      </c>
      <c r="T41" s="3">
        <f t="shared" si="34"/>
        <v>0</v>
      </c>
      <c r="U41" s="3">
        <f t="shared" si="34"/>
        <v>0</v>
      </c>
      <c r="V41" s="3">
        <f t="shared" si="34"/>
        <v>0</v>
      </c>
      <c r="W41" s="3">
        <f t="shared" si="34"/>
        <v>-76500</v>
      </c>
      <c r="X41" s="3">
        <f t="shared" si="34"/>
        <v>0</v>
      </c>
      <c r="Y41" s="3">
        <f t="shared" si="34"/>
        <v>0</v>
      </c>
      <c r="Z41" s="3">
        <f t="shared" si="34"/>
        <v>0</v>
      </c>
      <c r="AA41" s="3">
        <f t="shared" si="34"/>
        <v>0</v>
      </c>
      <c r="AB41" s="3">
        <f t="shared" si="34"/>
        <v>0</v>
      </c>
      <c r="AC41" s="3">
        <f t="shared" si="34"/>
        <v>0</v>
      </c>
      <c r="AD41" s="3">
        <f t="shared" si="34"/>
        <v>0</v>
      </c>
      <c r="AE41" s="3">
        <f t="shared" si="34"/>
        <v>0</v>
      </c>
      <c r="AF41" s="3">
        <f t="shared" si="34"/>
        <v>0</v>
      </c>
      <c r="AG41" s="3">
        <f t="shared" si="34"/>
        <v>0</v>
      </c>
      <c r="AH41" s="3">
        <f t="shared" si="34"/>
        <v>0</v>
      </c>
      <c r="AI41" s="3">
        <f t="shared" si="34"/>
        <v>0</v>
      </c>
      <c r="AJ41" s="3">
        <f t="shared" si="34"/>
        <v>0</v>
      </c>
      <c r="AK41" s="3">
        <f t="shared" si="34"/>
        <v>0</v>
      </c>
      <c r="AL41" s="3">
        <f t="shared" si="34"/>
        <v>0</v>
      </c>
      <c r="AM41" s="3">
        <f t="shared" si="34"/>
        <v>0</v>
      </c>
      <c r="AN41" s="3">
        <f t="shared" si="34"/>
        <v>0</v>
      </c>
      <c r="AO41" s="3">
        <f t="shared" si="34"/>
        <v>0</v>
      </c>
      <c r="AP41" s="3">
        <f t="shared" si="34"/>
        <v>0</v>
      </c>
      <c r="AQ41" s="3">
        <f t="shared" si="34"/>
        <v>0</v>
      </c>
      <c r="AR41" s="3">
        <f t="shared" si="34"/>
        <v>0</v>
      </c>
      <c r="AS41" s="3">
        <f t="shared" si="34"/>
        <v>0</v>
      </c>
      <c r="AT41" s="3">
        <f t="shared" si="34"/>
        <v>0</v>
      </c>
      <c r="AU41" s="3">
        <f t="shared" si="34"/>
        <v>0</v>
      </c>
      <c r="AV41" s="3">
        <f t="shared" si="34"/>
        <v>0</v>
      </c>
      <c r="AW41" s="3">
        <f t="shared" si="34"/>
        <v>0</v>
      </c>
      <c r="AX41" s="3">
        <f t="shared" si="34"/>
        <v>0</v>
      </c>
      <c r="AY41" s="3">
        <f t="shared" si="34"/>
        <v>0</v>
      </c>
      <c r="AZ41" s="3">
        <f t="shared" si="34"/>
        <v>0</v>
      </c>
      <c r="BA41" s="3">
        <f t="shared" si="34"/>
        <v>0</v>
      </c>
      <c r="BB41" s="3">
        <f t="shared" si="34"/>
        <v>0</v>
      </c>
      <c r="BC41" s="3">
        <f t="shared" si="34"/>
        <v>0</v>
      </c>
      <c r="BD41" s="3">
        <f t="shared" si="34"/>
        <v>0</v>
      </c>
      <c r="BE41" s="3">
        <f t="shared" si="34"/>
        <v>0</v>
      </c>
      <c r="BF41" s="3">
        <f t="shared" si="34"/>
        <v>0</v>
      </c>
      <c r="BG41" s="3">
        <f t="shared" si="34"/>
        <v>0</v>
      </c>
      <c r="BH41" s="3">
        <f t="shared" si="34"/>
        <v>0</v>
      </c>
      <c r="BI41" s="3">
        <f t="shared" si="34"/>
        <v>0</v>
      </c>
      <c r="BJ41" s="3">
        <f t="shared" si="34"/>
        <v>0</v>
      </c>
      <c r="BK41" s="3">
        <f t="shared" si="34"/>
        <v>0</v>
      </c>
      <c r="BL41" s="3">
        <f t="shared" si="34"/>
        <v>0</v>
      </c>
      <c r="BM41" s="3">
        <f t="shared" si="34"/>
        <v>0</v>
      </c>
      <c r="BN41" s="3">
        <f t="shared" si="34"/>
        <v>0</v>
      </c>
      <c r="BO41" s="3">
        <f t="shared" si="34"/>
        <v>0</v>
      </c>
      <c r="BP41" s="3">
        <f t="shared" si="34"/>
        <v>0</v>
      </c>
      <c r="BQ41" s="3">
        <f t="shared" si="34"/>
        <v>0</v>
      </c>
      <c r="BR41" s="3">
        <f t="shared" si="34"/>
        <v>0</v>
      </c>
      <c r="BS41" s="3">
        <f t="shared" si="34"/>
        <v>0</v>
      </c>
      <c r="BT41" s="3">
        <f t="shared" si="34"/>
        <v>0</v>
      </c>
      <c r="BU41" s="3">
        <f t="shared" si="34"/>
        <v>0</v>
      </c>
      <c r="BV41" s="3">
        <f t="shared" si="34"/>
        <v>0</v>
      </c>
      <c r="BW41" s="3">
        <f t="shared" si="34"/>
        <v>0</v>
      </c>
      <c r="BX41" s="3">
        <f t="shared" si="34"/>
        <v>0</v>
      </c>
      <c r="BY41" s="3">
        <f t="shared" si="34"/>
        <v>0</v>
      </c>
      <c r="BZ41" s="3">
        <f t="shared" si="35"/>
        <v>0</v>
      </c>
      <c r="CA41" s="3">
        <f t="shared" si="35"/>
        <v>0</v>
      </c>
      <c r="CB41" s="3">
        <f t="shared" si="35"/>
        <v>0</v>
      </c>
      <c r="CC41" s="3">
        <f t="shared" si="35"/>
        <v>0</v>
      </c>
      <c r="CD41" s="3">
        <f t="shared" si="35"/>
        <v>0</v>
      </c>
      <c r="CE41" s="3">
        <f t="shared" si="35"/>
        <v>-51000</v>
      </c>
      <c r="CF41" s="3">
        <f t="shared" si="35"/>
        <v>0</v>
      </c>
      <c r="CG41" s="3">
        <f t="shared" si="35"/>
        <v>0</v>
      </c>
      <c r="CH41" s="3" t="str">
        <f t="shared" si="35"/>
        <v/>
      </c>
      <c r="CI41" s="3" t="str">
        <f t="shared" si="35"/>
        <v/>
      </c>
      <c r="CJ41" s="3" t="str">
        <f t="shared" si="35"/>
        <v/>
      </c>
      <c r="CK41" s="3" t="str">
        <f t="shared" si="35"/>
        <v/>
      </c>
    </row>
    <row r="42" spans="12:89" x14ac:dyDescent="0.2">
      <c r="L42">
        <f t="shared" si="32"/>
        <v>14</v>
      </c>
      <c r="M42" s="3">
        <f>IF(M$6="","",_xlfn.LET(_xlpm.p,M$6,_xlpm.i,MATCH($L42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ti,$C$5,_xlpm.renStart,IF(_xlpm.lend&gt;0,EOMONTH(_xlpm.lend,0)+1,0),_xlpm.leaseStart,IF(AND(_xlpm.start&lt;&gt;"",_xlpm.start&gt;0),_xlpm.start,IF(_xlpm.lend&gt;0,EDATE(_xlpm.renStart,_xlpm.up),EDATE($M$6,_xlpm.up))),IF(AND(_xlpm.curpsf&gt;0,_xlpm.lend&gt;0,EOMONTH(_xlpm.p,0)=EOMONTH(_xlpm.renStart,0)),-_xlpm.sf*_xlpm.ti*_xlpm.renew,0)+IF(EOMONTH(_xlpm.p,0)=EOMONTH(_xlpm.leaseStart,0),-_xlpm.sf*_xlpm.ti*IF(_xlpm.curpsf&gt;0,1-_xlpm.renew,1),0)))</f>
        <v>0</v>
      </c>
      <c r="N42" s="3">
        <f t="shared" si="34"/>
        <v>0</v>
      </c>
      <c r="O42" s="3">
        <f t="shared" si="34"/>
        <v>0</v>
      </c>
      <c r="P42" s="3">
        <f t="shared" si="34"/>
        <v>0</v>
      </c>
      <c r="Q42" s="3">
        <f t="shared" si="34"/>
        <v>0</v>
      </c>
      <c r="R42" s="3">
        <f t="shared" si="34"/>
        <v>0</v>
      </c>
      <c r="S42" s="3">
        <f t="shared" si="34"/>
        <v>0</v>
      </c>
      <c r="T42" s="3">
        <f t="shared" si="34"/>
        <v>0</v>
      </c>
      <c r="U42" s="3">
        <f t="shared" si="34"/>
        <v>0</v>
      </c>
      <c r="V42" s="3">
        <f t="shared" si="34"/>
        <v>0</v>
      </c>
      <c r="W42" s="3">
        <f t="shared" si="34"/>
        <v>0</v>
      </c>
      <c r="X42" s="3">
        <f t="shared" si="34"/>
        <v>0</v>
      </c>
      <c r="Y42" s="3">
        <f t="shared" si="34"/>
        <v>0</v>
      </c>
      <c r="Z42" s="3">
        <f t="shared" si="34"/>
        <v>0</v>
      </c>
      <c r="AA42" s="3">
        <f t="shared" si="34"/>
        <v>0</v>
      </c>
      <c r="AB42" s="3">
        <f t="shared" si="34"/>
        <v>0</v>
      </c>
      <c r="AC42" s="3">
        <f t="shared" si="34"/>
        <v>0</v>
      </c>
      <c r="AD42" s="3">
        <f t="shared" si="34"/>
        <v>0</v>
      </c>
      <c r="AE42" s="3">
        <f t="shared" si="34"/>
        <v>0</v>
      </c>
      <c r="AF42" s="3">
        <f t="shared" si="34"/>
        <v>-795000</v>
      </c>
      <c r="AG42" s="3">
        <f t="shared" si="34"/>
        <v>0</v>
      </c>
      <c r="AH42" s="3">
        <f t="shared" si="34"/>
        <v>0</v>
      </c>
      <c r="AI42" s="3">
        <f t="shared" si="34"/>
        <v>0</v>
      </c>
      <c r="AJ42" s="3">
        <f t="shared" si="34"/>
        <v>0</v>
      </c>
      <c r="AK42" s="3">
        <f t="shared" si="34"/>
        <v>0</v>
      </c>
      <c r="AL42" s="3">
        <f t="shared" si="34"/>
        <v>0</v>
      </c>
      <c r="AM42" s="3">
        <f t="shared" si="34"/>
        <v>0</v>
      </c>
      <c r="AN42" s="3">
        <f t="shared" si="34"/>
        <v>0</v>
      </c>
      <c r="AO42" s="3">
        <f t="shared" si="34"/>
        <v>0</v>
      </c>
      <c r="AP42" s="3">
        <f t="shared" si="34"/>
        <v>0</v>
      </c>
      <c r="AQ42" s="3">
        <f t="shared" si="34"/>
        <v>0</v>
      </c>
      <c r="AR42" s="3">
        <f t="shared" si="34"/>
        <v>0</v>
      </c>
      <c r="AS42" s="3">
        <f t="shared" si="34"/>
        <v>0</v>
      </c>
      <c r="AT42" s="3">
        <f t="shared" si="34"/>
        <v>0</v>
      </c>
      <c r="AU42" s="3">
        <f t="shared" si="34"/>
        <v>0</v>
      </c>
      <c r="AV42" s="3">
        <f t="shared" si="34"/>
        <v>0</v>
      </c>
      <c r="AW42" s="3">
        <f t="shared" si="34"/>
        <v>0</v>
      </c>
      <c r="AX42" s="3">
        <f t="shared" si="34"/>
        <v>0</v>
      </c>
      <c r="AY42" s="3">
        <f t="shared" si="34"/>
        <v>0</v>
      </c>
      <c r="AZ42" s="3">
        <f t="shared" si="34"/>
        <v>0</v>
      </c>
      <c r="BA42" s="3">
        <f t="shared" si="34"/>
        <v>0</v>
      </c>
      <c r="BB42" s="3">
        <f t="shared" si="34"/>
        <v>0</v>
      </c>
      <c r="BC42" s="3">
        <f t="shared" si="34"/>
        <v>0</v>
      </c>
      <c r="BD42" s="3">
        <f t="shared" si="34"/>
        <v>0</v>
      </c>
      <c r="BE42" s="3">
        <f t="shared" si="34"/>
        <v>0</v>
      </c>
      <c r="BF42" s="3">
        <f t="shared" si="34"/>
        <v>0</v>
      </c>
      <c r="BG42" s="3">
        <f t="shared" si="34"/>
        <v>0</v>
      </c>
      <c r="BH42" s="3">
        <f t="shared" si="34"/>
        <v>0</v>
      </c>
      <c r="BI42" s="3">
        <f t="shared" si="34"/>
        <v>0</v>
      </c>
      <c r="BJ42" s="3">
        <f t="shared" si="34"/>
        <v>0</v>
      </c>
      <c r="BK42" s="3">
        <f t="shared" si="34"/>
        <v>0</v>
      </c>
      <c r="BL42" s="3">
        <f t="shared" si="34"/>
        <v>0</v>
      </c>
      <c r="BM42" s="3">
        <f t="shared" si="34"/>
        <v>0</v>
      </c>
      <c r="BN42" s="3">
        <f t="shared" si="34"/>
        <v>0</v>
      </c>
      <c r="BO42" s="3">
        <f t="shared" si="34"/>
        <v>0</v>
      </c>
      <c r="BP42" s="3">
        <f t="shared" si="34"/>
        <v>0</v>
      </c>
      <c r="BQ42" s="3">
        <f t="shared" si="34"/>
        <v>0</v>
      </c>
      <c r="BR42" s="3">
        <f t="shared" si="34"/>
        <v>0</v>
      </c>
      <c r="BS42" s="3">
        <f t="shared" si="34"/>
        <v>0</v>
      </c>
      <c r="BT42" s="3">
        <f t="shared" si="34"/>
        <v>0</v>
      </c>
      <c r="BU42" s="3">
        <f t="shared" si="34"/>
        <v>0</v>
      </c>
      <c r="BV42" s="3">
        <f t="shared" si="34"/>
        <v>0</v>
      </c>
      <c r="BW42" s="3">
        <f t="shared" si="34"/>
        <v>0</v>
      </c>
      <c r="BX42" s="3">
        <f t="shared" si="34"/>
        <v>0</v>
      </c>
      <c r="BY42" s="3">
        <f t="shared" ref="BY42:BY43" si="36">IF(BY$6="","",_xlfn.LET(_xlpm.p,BY$6,_xlpm.i,MATCH($L42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ti,$C$5,_xlpm.renStart,IF(_xlpm.lend&gt;0,EOMONTH(_xlpm.lend,0)+1,0),_xlpm.leaseStart,IF(AND(_xlpm.start&lt;&gt;"",_xlpm.start&gt;0),_xlpm.start,IF(_xlpm.lend&gt;0,EDATE(_xlpm.renStart,_xlpm.up),EDATE($M$6,_xlpm.up))),IF(AND(_xlpm.curpsf&gt;0,_xlpm.lend&gt;0,EOMONTH(_xlpm.p,0)=EOMONTH(_xlpm.renStart,0)),-_xlpm.sf*_xlpm.ti*_xlpm.renew,0)+IF(EOMONTH(_xlpm.p,0)=EOMONTH(_xlpm.leaseStart,0),-_xlpm.sf*_xlpm.ti*IF(_xlpm.curpsf&gt;0,1-_xlpm.renew,1),0)))</f>
        <v>0</v>
      </c>
      <c r="BZ42" s="3">
        <f t="shared" si="35"/>
        <v>0</v>
      </c>
      <c r="CA42" s="3">
        <f t="shared" si="35"/>
        <v>0</v>
      </c>
      <c r="CB42" s="3">
        <f t="shared" si="35"/>
        <v>0</v>
      </c>
      <c r="CC42" s="3">
        <f t="shared" si="35"/>
        <v>0</v>
      </c>
      <c r="CD42" s="3">
        <f t="shared" si="35"/>
        <v>0</v>
      </c>
      <c r="CE42" s="3">
        <f t="shared" si="35"/>
        <v>0</v>
      </c>
      <c r="CF42" s="3">
        <f t="shared" si="35"/>
        <v>0</v>
      </c>
      <c r="CG42" s="3">
        <f t="shared" si="35"/>
        <v>0</v>
      </c>
      <c r="CH42" s="3" t="str">
        <f t="shared" si="35"/>
        <v/>
      </c>
      <c r="CI42" s="3" t="str">
        <f t="shared" si="35"/>
        <v/>
      </c>
      <c r="CJ42" s="3" t="str">
        <f t="shared" si="35"/>
        <v/>
      </c>
      <c r="CK42" s="3" t="str">
        <f t="shared" si="35"/>
        <v/>
      </c>
    </row>
    <row r="43" spans="12:89" x14ac:dyDescent="0.2">
      <c r="L43">
        <f t="shared" si="32"/>
        <v>15</v>
      </c>
      <c r="M43" s="3">
        <f>IF(M$6="","",_xlfn.LET(_xlpm.p,M$6,_xlpm.i,MATCH($L43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ti,$C$5,_xlpm.renStart,IF(_xlpm.lend&gt;0,EOMONTH(_xlpm.lend,0)+1,0),_xlpm.leaseStart,IF(AND(_xlpm.start&lt;&gt;"",_xlpm.start&gt;0),_xlpm.start,IF(_xlpm.lend&gt;0,EDATE(_xlpm.renStart,_xlpm.up),EDATE($M$6,_xlpm.up))),IF(AND(_xlpm.curpsf&gt;0,_xlpm.lend&gt;0,EOMONTH(_xlpm.p,0)=EOMONTH(_xlpm.renStart,0)),-_xlpm.sf*_xlpm.ti*_xlpm.renew,0)+IF(EOMONTH(_xlpm.p,0)=EOMONTH(_xlpm.leaseStart,0),-_xlpm.sf*_xlpm.ti*IF(_xlpm.curpsf&gt;0,1-_xlpm.renew,1),0)))</f>
        <v>0</v>
      </c>
      <c r="N43" s="3">
        <f t="shared" ref="N43:BX43" si="37">IF(N$6="","",_xlfn.LET(_xlpm.p,N$6,_xlpm.i,MATCH($L43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ti,$C$5,_xlpm.renStart,IF(_xlpm.lend&gt;0,EOMONTH(_xlpm.lend,0)+1,0),_xlpm.leaseStart,IF(AND(_xlpm.start&lt;&gt;"",_xlpm.start&gt;0),_xlpm.start,IF(_xlpm.lend&gt;0,EDATE(_xlpm.renStart,_xlpm.up),EDATE($M$6,_xlpm.up))),IF(AND(_xlpm.curpsf&gt;0,_xlpm.lend&gt;0,EOMONTH(_xlpm.p,0)=EOMONTH(_xlpm.renStart,0)),-_xlpm.sf*_xlpm.ti*_xlpm.renew,0)+IF(EOMONTH(_xlpm.p,0)=EOMONTH(_xlpm.leaseStart,0),-_xlpm.sf*_xlpm.ti*IF(_xlpm.curpsf&gt;0,1-_xlpm.renew,1),0)))</f>
        <v>0</v>
      </c>
      <c r="O43" s="3">
        <f t="shared" si="37"/>
        <v>0</v>
      </c>
      <c r="P43" s="3">
        <f t="shared" si="37"/>
        <v>0</v>
      </c>
      <c r="Q43" s="3">
        <f t="shared" si="37"/>
        <v>0</v>
      </c>
      <c r="R43" s="3">
        <f t="shared" si="37"/>
        <v>0</v>
      </c>
      <c r="S43" s="3">
        <f t="shared" si="37"/>
        <v>0</v>
      </c>
      <c r="T43" s="3">
        <f t="shared" si="37"/>
        <v>0</v>
      </c>
      <c r="U43" s="3">
        <f t="shared" si="37"/>
        <v>0</v>
      </c>
      <c r="V43" s="3">
        <f t="shared" si="37"/>
        <v>0</v>
      </c>
      <c r="W43" s="3">
        <f t="shared" si="37"/>
        <v>0</v>
      </c>
      <c r="X43" s="3">
        <f t="shared" si="37"/>
        <v>0</v>
      </c>
      <c r="Y43" s="3">
        <f t="shared" si="37"/>
        <v>0</v>
      </c>
      <c r="Z43" s="3">
        <f t="shared" si="37"/>
        <v>0</v>
      </c>
      <c r="AA43" s="3">
        <f t="shared" si="37"/>
        <v>0</v>
      </c>
      <c r="AB43" s="3">
        <f t="shared" si="37"/>
        <v>0</v>
      </c>
      <c r="AC43" s="3">
        <f t="shared" si="37"/>
        <v>0</v>
      </c>
      <c r="AD43" s="3">
        <f t="shared" si="37"/>
        <v>0</v>
      </c>
      <c r="AE43" s="3">
        <f t="shared" si="37"/>
        <v>0</v>
      </c>
      <c r="AF43" s="3">
        <f t="shared" si="37"/>
        <v>0</v>
      </c>
      <c r="AG43" s="3">
        <f t="shared" si="37"/>
        <v>0</v>
      </c>
      <c r="AH43" s="3">
        <f t="shared" si="37"/>
        <v>-735000</v>
      </c>
      <c r="AI43" s="3">
        <f t="shared" si="37"/>
        <v>0</v>
      </c>
      <c r="AJ43" s="3">
        <f t="shared" si="37"/>
        <v>0</v>
      </c>
      <c r="AK43" s="3">
        <f t="shared" si="37"/>
        <v>0</v>
      </c>
      <c r="AL43" s="3">
        <f t="shared" si="37"/>
        <v>0</v>
      </c>
      <c r="AM43" s="3">
        <f t="shared" si="37"/>
        <v>0</v>
      </c>
      <c r="AN43" s="3">
        <f t="shared" si="37"/>
        <v>0</v>
      </c>
      <c r="AO43" s="3">
        <f t="shared" si="37"/>
        <v>0</v>
      </c>
      <c r="AP43" s="3">
        <f t="shared" si="37"/>
        <v>0</v>
      </c>
      <c r="AQ43" s="3">
        <f t="shared" si="37"/>
        <v>0</v>
      </c>
      <c r="AR43" s="3">
        <f t="shared" si="37"/>
        <v>0</v>
      </c>
      <c r="AS43" s="3">
        <f t="shared" si="37"/>
        <v>0</v>
      </c>
      <c r="AT43" s="3">
        <f t="shared" si="37"/>
        <v>0</v>
      </c>
      <c r="AU43" s="3">
        <f t="shared" si="37"/>
        <v>0</v>
      </c>
      <c r="AV43" s="3">
        <f t="shared" si="37"/>
        <v>0</v>
      </c>
      <c r="AW43" s="3">
        <f t="shared" si="37"/>
        <v>0</v>
      </c>
      <c r="AX43" s="3">
        <f t="shared" si="37"/>
        <v>0</v>
      </c>
      <c r="AY43" s="3">
        <f t="shared" si="37"/>
        <v>0</v>
      </c>
      <c r="AZ43" s="3">
        <f t="shared" si="37"/>
        <v>0</v>
      </c>
      <c r="BA43" s="3">
        <f t="shared" si="37"/>
        <v>0</v>
      </c>
      <c r="BB43" s="3">
        <f t="shared" si="37"/>
        <v>0</v>
      </c>
      <c r="BC43" s="3">
        <f t="shared" si="37"/>
        <v>0</v>
      </c>
      <c r="BD43" s="3">
        <f t="shared" si="37"/>
        <v>0</v>
      </c>
      <c r="BE43" s="3">
        <f t="shared" si="37"/>
        <v>0</v>
      </c>
      <c r="BF43" s="3">
        <f t="shared" si="37"/>
        <v>0</v>
      </c>
      <c r="BG43" s="3">
        <f t="shared" si="37"/>
        <v>0</v>
      </c>
      <c r="BH43" s="3">
        <f t="shared" si="37"/>
        <v>0</v>
      </c>
      <c r="BI43" s="3">
        <f t="shared" si="37"/>
        <v>0</v>
      </c>
      <c r="BJ43" s="3">
        <f t="shared" si="37"/>
        <v>0</v>
      </c>
      <c r="BK43" s="3">
        <f t="shared" si="37"/>
        <v>0</v>
      </c>
      <c r="BL43" s="3">
        <f t="shared" si="37"/>
        <v>0</v>
      </c>
      <c r="BM43" s="3">
        <f t="shared" si="37"/>
        <v>0</v>
      </c>
      <c r="BN43" s="3">
        <f t="shared" si="37"/>
        <v>0</v>
      </c>
      <c r="BO43" s="3">
        <f t="shared" si="37"/>
        <v>0</v>
      </c>
      <c r="BP43" s="3">
        <f t="shared" si="37"/>
        <v>0</v>
      </c>
      <c r="BQ43" s="3">
        <f t="shared" si="37"/>
        <v>0</v>
      </c>
      <c r="BR43" s="3">
        <f t="shared" si="37"/>
        <v>0</v>
      </c>
      <c r="BS43" s="3">
        <f t="shared" si="37"/>
        <v>0</v>
      </c>
      <c r="BT43" s="3">
        <f t="shared" si="37"/>
        <v>0</v>
      </c>
      <c r="BU43" s="3">
        <f t="shared" si="37"/>
        <v>0</v>
      </c>
      <c r="BV43" s="3">
        <f t="shared" si="37"/>
        <v>0</v>
      </c>
      <c r="BW43" s="3">
        <f t="shared" si="37"/>
        <v>0</v>
      </c>
      <c r="BX43" s="3">
        <f t="shared" si="37"/>
        <v>0</v>
      </c>
      <c r="BY43" s="3">
        <f t="shared" si="36"/>
        <v>0</v>
      </c>
      <c r="BZ43" s="3">
        <f t="shared" si="35"/>
        <v>0</v>
      </c>
      <c r="CA43" s="3">
        <f t="shared" si="35"/>
        <v>0</v>
      </c>
      <c r="CB43" s="3">
        <f t="shared" si="35"/>
        <v>0</v>
      </c>
      <c r="CC43" s="3">
        <f t="shared" si="35"/>
        <v>0</v>
      </c>
      <c r="CD43" s="3">
        <f t="shared" si="35"/>
        <v>0</v>
      </c>
      <c r="CE43" s="3">
        <f t="shared" si="35"/>
        <v>0</v>
      </c>
      <c r="CF43" s="3">
        <f t="shared" si="35"/>
        <v>0</v>
      </c>
      <c r="CG43" s="3">
        <f t="shared" si="35"/>
        <v>0</v>
      </c>
      <c r="CH43" s="3" t="str">
        <f t="shared" si="35"/>
        <v/>
      </c>
      <c r="CI43" s="3" t="str">
        <f t="shared" si="35"/>
        <v/>
      </c>
      <c r="CJ43" s="3" t="str">
        <f t="shared" si="35"/>
        <v/>
      </c>
      <c r="CK43" s="3" t="str">
        <f t="shared" si="35"/>
        <v/>
      </c>
    </row>
    <row r="44" spans="12:89" x14ac:dyDescent="0.2"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</row>
    <row r="45" spans="12:89" x14ac:dyDescent="0.2">
      <c r="L45" s="24" t="s">
        <v>259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</row>
    <row r="46" spans="12:89" x14ac:dyDescent="0.2">
      <c r="L46">
        <f>L29</f>
        <v>1</v>
      </c>
      <c r="M46" s="3" cm="1">
        <f t="array" ref="M46">IF(M$6="","",_xlfn.LET(_xlpm.p,M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46" s="3" cm="1">
        <f t="array" ref="N46">IF(N$6="","",_xlfn.LET(_xlpm.p,N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46" s="3" cm="1">
        <f t="array" ref="O46">IF(O$6="","",_xlfn.LET(_xlpm.p,O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46" s="3" cm="1">
        <f t="array" ref="P46">IF(P$6="","",_xlfn.LET(_xlpm.p,P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46" s="3" cm="1">
        <f t="array" ref="Q46">IF(Q$6="","",_xlfn.LET(_xlpm.p,Q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46" s="3" cm="1">
        <f t="array" ref="R46">IF(R$6="","",_xlfn.LET(_xlpm.p,R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46" s="3" cm="1">
        <f t="array" ref="S46">IF(S$6="","",_xlfn.LET(_xlpm.p,S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46" s="3" cm="1">
        <f t="array" ref="T46">IF(T$6="","",_xlfn.LET(_xlpm.p,T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46" s="3" cm="1">
        <f t="array" ref="U46">IF(U$6="","",_xlfn.LET(_xlpm.p,U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46" s="3" cm="1">
        <f t="array" ref="V46">IF(V$6="","",_xlfn.LET(_xlpm.p,V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-29112.752396851211</v>
      </c>
      <c r="W46" s="3" cm="1">
        <f t="array" ref="W46">IF(W$6="","",_xlfn.LET(_xlpm.p,W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46" s="3" cm="1">
        <f t="array" ref="X46">IF(X$6="","",_xlfn.LET(_xlpm.p,X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46" s="3" cm="1">
        <f t="array" ref="Y46">IF(Y$6="","",_xlfn.LET(_xlpm.p,Y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46" s="3" cm="1">
        <f t="array" ref="Z46">IF(Z$6="","",_xlfn.LET(_xlpm.p,Z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46" s="3" cm="1">
        <f t="array" ref="AA46">IF(AA$6="","",_xlfn.LET(_xlpm.p,AA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46" s="3" cm="1">
        <f t="array" ref="AB46">IF(AB$6="","",_xlfn.LET(_xlpm.p,AB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46" s="3" cm="1">
        <f t="array" ref="AC46">IF(AC$6="","",_xlfn.LET(_xlpm.p,AC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46" s="3" cm="1">
        <f t="array" ref="AD46">IF(AD$6="","",_xlfn.LET(_xlpm.p,AD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46" s="3" cm="1">
        <f t="array" ref="AE46">IF(AE$6="","",_xlfn.LET(_xlpm.p,AE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-43669.128595276808</v>
      </c>
      <c r="AF46" s="3" cm="1">
        <f t="array" ref="AF46">IF(AF$6="","",_xlfn.LET(_xlpm.p,AF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46" s="3" cm="1">
        <f t="array" ref="AG46">IF(AG$6="","",_xlfn.LET(_xlpm.p,AG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46" s="3" cm="1">
        <f t="array" ref="AH46">IF(AH$6="","",_xlfn.LET(_xlpm.p,AH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46" s="3" cm="1">
        <f t="array" ref="AI46">IF(AI$6="","",_xlfn.LET(_xlpm.p,AI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46" s="3" cm="1">
        <f t="array" ref="AJ46">IF(AJ$6="","",_xlfn.LET(_xlpm.p,AJ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46" s="3" cm="1">
        <f t="array" ref="AK46">IF(AK$6="","",_xlfn.LET(_xlpm.p,AK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46" s="3" cm="1">
        <f t="array" ref="AL46">IF(AL$6="","",_xlfn.LET(_xlpm.p,AL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46" s="3" cm="1">
        <f t="array" ref="AM46">IF(AM$6="","",_xlfn.LET(_xlpm.p,AM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46" s="3" cm="1">
        <f t="array" ref="AN46">IF(AN$6="","",_xlfn.LET(_xlpm.p,AN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46" s="3" cm="1">
        <f t="array" ref="AO46">IF(AO$6="","",_xlfn.LET(_xlpm.p,AO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46" s="3" cm="1">
        <f t="array" ref="AP46">IF(AP$6="","",_xlfn.LET(_xlpm.p,AP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46" s="3" cm="1">
        <f t="array" ref="AQ46">IF(AQ$6="","",_xlfn.LET(_xlpm.p,AQ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46" s="3" cm="1">
        <f t="array" ref="AR46">IF(AR$6="","",_xlfn.LET(_xlpm.p,AR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46" s="3" cm="1">
        <f t="array" ref="AS46">IF(AS$6="","",_xlfn.LET(_xlpm.p,AS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46" s="3" cm="1">
        <f t="array" ref="AT46">IF(AT$6="","",_xlfn.LET(_xlpm.p,AT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46" s="3" cm="1">
        <f t="array" ref="AU46">IF(AU$6="","",_xlfn.LET(_xlpm.p,AU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46" s="3" cm="1">
        <f t="array" ref="AV46">IF(AV$6="","",_xlfn.LET(_xlpm.p,AV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46" s="3" cm="1">
        <f t="array" ref="AW46">IF(AW$6="","",_xlfn.LET(_xlpm.p,AW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46" s="3" cm="1">
        <f t="array" ref="AX46">IF(AX$6="","",_xlfn.LET(_xlpm.p,AX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46" s="3" cm="1">
        <f t="array" ref="AY46">IF(AY$6="","",_xlfn.LET(_xlpm.p,AY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46" s="3" cm="1">
        <f t="array" ref="AZ46">IF(AZ$6="","",_xlfn.LET(_xlpm.p,AZ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46" s="3" cm="1">
        <f t="array" ref="BA46">IF(BA$6="","",_xlfn.LET(_xlpm.p,BA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46" s="3" cm="1">
        <f t="array" ref="BB46">IF(BB$6="","",_xlfn.LET(_xlpm.p,BB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46" s="3" cm="1">
        <f t="array" ref="BC46">IF(BC$6="","",_xlfn.LET(_xlpm.p,BC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46" s="3" cm="1">
        <f t="array" ref="BD46">IF(BD$6="","",_xlfn.LET(_xlpm.p,BD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46" s="3" cm="1">
        <f t="array" ref="BE46">IF(BE$6="","",_xlfn.LET(_xlpm.p,BE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46" s="3" cm="1">
        <f t="array" ref="BF46">IF(BF$6="","",_xlfn.LET(_xlpm.p,BF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46" s="3" cm="1">
        <f t="array" ref="BG46">IF(BG$6="","",_xlfn.LET(_xlpm.p,BG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46" s="3" cm="1">
        <f t="array" ref="BH46">IF(BH$6="","",_xlfn.LET(_xlpm.p,BH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46" s="3" cm="1">
        <f t="array" ref="BI46">IF(BI$6="","",_xlfn.LET(_xlpm.p,BI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46" s="3" cm="1">
        <f t="array" ref="BJ46">IF(BJ$6="","",_xlfn.LET(_xlpm.p,BJ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46" s="3" cm="1">
        <f t="array" ref="BK46">IF(BK$6="","",_xlfn.LET(_xlpm.p,BK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46" s="3" cm="1">
        <f t="array" ref="BL46">IF(BL$6="","",_xlfn.LET(_xlpm.p,BL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46" s="3" cm="1">
        <f t="array" ref="BM46">IF(BM$6="","",_xlfn.LET(_xlpm.p,BM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46" s="3" cm="1">
        <f t="array" ref="BN46">IF(BN$6="","",_xlfn.LET(_xlpm.p,BN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46" s="3" cm="1">
        <f t="array" ref="BO46">IF(BO$6="","",_xlfn.LET(_xlpm.p,BO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46" s="3" cm="1">
        <f t="array" ref="BP46">IF(BP$6="","",_xlfn.LET(_xlpm.p,BP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46" s="3" cm="1">
        <f t="array" ref="BQ46">IF(BQ$6="","",_xlfn.LET(_xlpm.p,BQ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46" s="3" cm="1">
        <f t="array" ref="BR46">IF(BR$6="","",_xlfn.LET(_xlpm.p,BR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46" s="3" cm="1">
        <f t="array" ref="BS46">IF(BS$6="","",_xlfn.LET(_xlpm.p,BS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46" s="3" cm="1">
        <f t="array" ref="BT46">IF(BT$6="","",_xlfn.LET(_xlpm.p,BT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46" s="3" cm="1">
        <f t="array" ref="BU46">IF(BU$6="","",_xlfn.LET(_xlpm.p,BU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46" s="3" cm="1">
        <f t="array" ref="BV46">IF(BV$6="","",_xlfn.LET(_xlpm.p,BV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46" s="3" cm="1">
        <f t="array" ref="BW46">IF(BW$6="","",_xlfn.LET(_xlpm.p,BW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46" s="3" cm="1">
        <f t="array" ref="BX46">IF(BX$6="","",_xlfn.LET(_xlpm.p,BX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46" s="3" cm="1">
        <f t="array" ref="BY46">IF(BY$6="","",_xlfn.LET(_xlpm.p,BY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46" s="3" cm="1">
        <f t="array" ref="BZ46">IF(BZ$6="","",_xlfn.LET(_xlpm.p,BZ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46" s="3" cm="1">
        <f t="array" ref="CA46">IF(CA$6="","",_xlfn.LET(_xlpm.p,CA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46" s="3" cm="1">
        <f t="array" ref="CB46">IF(CB$6="","",_xlfn.LET(_xlpm.p,CB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46" s="3" cm="1">
        <f t="array" ref="CC46">IF(CC$6="","",_xlfn.LET(_xlpm.p,CC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46" s="3" cm="1">
        <f t="array" ref="CD46">IF(CD$6="","",_xlfn.LET(_xlpm.p,CD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46" s="3" cm="1">
        <f t="array" ref="CE46">IF(CE$6="","",_xlfn.LET(_xlpm.p,CE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46" s="3" cm="1">
        <f t="array" ref="CF46">IF(CF$6="","",_xlfn.LET(_xlpm.p,CF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46" s="3" cm="1">
        <f t="array" ref="CG46">IF(CG$6="","",_xlfn.LET(_xlpm.p,CG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H46" s="3" t="str" cm="1">
        <f t="array" ref="CH46">IF(CH$6="","",_xlfn.LET(_xlpm.p,CH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46" s="3" t="str" cm="1">
        <f t="array" ref="CI46">IF(CI$6="","",_xlfn.LET(_xlpm.p,CI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46" s="3" t="str" cm="1">
        <f t="array" ref="CJ46">IF(CJ$6="","",_xlfn.LET(_xlpm.p,CJ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K46" s="3" t="str" cm="1">
        <f t="array" ref="CK46">IF(CK$6="","",_xlfn.LET(_xlpm.p,CK$6,_xlpm.i,MATCH($L46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47" spans="12:89" x14ac:dyDescent="0.2">
      <c r="L47">
        <f t="shared" ref="L47:L60" si="38">L30</f>
        <v>2</v>
      </c>
      <c r="M47" s="3" cm="1">
        <f t="array" ref="M47">IF(M$6="","",_xlfn.LET(_xlpm.p,M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47" s="3" cm="1">
        <f t="array" ref="N47">IF(N$6="","",_xlfn.LET(_xlpm.p,N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47" s="3" cm="1">
        <f t="array" ref="O47">IF(O$6="","",_xlfn.LET(_xlpm.p,O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47" s="3" cm="1">
        <f t="array" ref="P47">IF(P$6="","",_xlfn.LET(_xlpm.p,P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47" s="3" cm="1">
        <f t="array" ref="Q47">IF(Q$6="","",_xlfn.LET(_xlpm.p,Q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47" s="3" cm="1">
        <f t="array" ref="R47">IF(R$6="","",_xlfn.LET(_xlpm.p,R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47" s="3" cm="1">
        <f t="array" ref="S47">IF(S$6="","",_xlfn.LET(_xlpm.p,S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47" s="3" cm="1">
        <f t="array" ref="T47">IF(T$6="","",_xlfn.LET(_xlpm.p,T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47" s="3" cm="1">
        <f t="array" ref="U47">IF(U$6="","",_xlfn.LET(_xlpm.p,U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47" s="3" cm="1">
        <f t="array" ref="V47">IF(V$6="","",_xlfn.LET(_xlpm.p,V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47" s="3" cm="1">
        <f t="array" ref="W47">IF(W$6="","",_xlfn.LET(_xlpm.p,W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47" s="3" cm="1">
        <f t="array" ref="X47">IF(X$6="","",_xlfn.LET(_xlpm.p,X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47" s="3" cm="1">
        <f t="array" ref="Y47">IF(Y$6="","",_xlfn.LET(_xlpm.p,Y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47" s="3" cm="1">
        <f t="array" ref="Z47">IF(Z$6="","",_xlfn.LET(_xlpm.p,Z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47" s="3" cm="1">
        <f t="array" ref="AA47">IF(AA$6="","",_xlfn.LET(_xlpm.p,AA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47" s="3" cm="1">
        <f t="array" ref="AB47">IF(AB$6="","",_xlfn.LET(_xlpm.p,AB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47" s="3" cm="1">
        <f t="array" ref="AC47">IF(AC$6="","",_xlfn.LET(_xlpm.p,AC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47" s="3" cm="1">
        <f t="array" ref="AD47">IF(AD$6="","",_xlfn.LET(_xlpm.p,AD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47" s="3" cm="1">
        <f t="array" ref="AE47">IF(AE$6="","",_xlfn.LET(_xlpm.p,AE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47" s="3" cm="1">
        <f t="array" ref="AF47">IF(AF$6="","",_xlfn.LET(_xlpm.p,AF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47" s="3" cm="1">
        <f t="array" ref="AG47">IF(AG$6="","",_xlfn.LET(_xlpm.p,AG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47" s="3" cm="1">
        <f t="array" ref="AH47">IF(AH$6="","",_xlfn.LET(_xlpm.p,AH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47" s="3" cm="1">
        <f t="array" ref="AI47">IF(AI$6="","",_xlfn.LET(_xlpm.p,AI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47" s="3" cm="1">
        <f t="array" ref="AJ47">IF(AJ$6="","",_xlfn.LET(_xlpm.p,AJ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47" s="3" cm="1">
        <f t="array" ref="AK47">IF(AK$6="","",_xlfn.LET(_xlpm.p,AK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47" s="3" cm="1">
        <f t="array" ref="AL47">IF(AL$6="","",_xlfn.LET(_xlpm.p,AL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47" s="3" cm="1">
        <f t="array" ref="AM47">IF(AM$6="","",_xlfn.LET(_xlpm.p,AM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47" s="3" cm="1">
        <f t="array" ref="AN47">IF(AN$6="","",_xlfn.LET(_xlpm.p,AN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47" s="3" cm="1">
        <f t="array" ref="AO47">IF(AO$6="","",_xlfn.LET(_xlpm.p,AO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47" s="3" cm="1">
        <f t="array" ref="AP47">IF(AP$6="","",_xlfn.LET(_xlpm.p,AP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47" s="3" cm="1">
        <f t="array" ref="AQ47">IF(AQ$6="","",_xlfn.LET(_xlpm.p,AQ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47" s="3" cm="1">
        <f t="array" ref="AR47">IF(AR$6="","",_xlfn.LET(_xlpm.p,AR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47" s="3" cm="1">
        <f t="array" ref="AS47">IF(AS$6="","",_xlfn.LET(_xlpm.p,AS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47" s="3" cm="1">
        <f t="array" ref="AT47">IF(AT$6="","",_xlfn.LET(_xlpm.p,AT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47" s="3" cm="1">
        <f t="array" ref="AU47">IF(AU$6="","",_xlfn.LET(_xlpm.p,AU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47" s="3" cm="1">
        <f t="array" ref="AV47">IF(AV$6="","",_xlfn.LET(_xlpm.p,AV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47" s="3" cm="1">
        <f t="array" ref="AW47">IF(AW$6="","",_xlfn.LET(_xlpm.p,AW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47" s="3" cm="1">
        <f t="array" ref="AX47">IF(AX$6="","",_xlfn.LET(_xlpm.p,AX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47" s="3" cm="1">
        <f t="array" ref="AY47">IF(AY$6="","",_xlfn.LET(_xlpm.p,AY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47" s="3" cm="1">
        <f t="array" ref="AZ47">IF(AZ$6="","",_xlfn.LET(_xlpm.p,AZ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47" s="3" cm="1">
        <f t="array" ref="BA47">IF(BA$6="","",_xlfn.LET(_xlpm.p,BA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47" s="3" cm="1">
        <f t="array" ref="BB47">IF(BB$6="","",_xlfn.LET(_xlpm.p,BB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47" s="3" cm="1">
        <f t="array" ref="BC47">IF(BC$6="","",_xlfn.LET(_xlpm.p,BC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47" s="3" cm="1">
        <f t="array" ref="BD47">IF(BD$6="","",_xlfn.LET(_xlpm.p,BD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47" s="3" cm="1">
        <f t="array" ref="BE47">IF(BE$6="","",_xlfn.LET(_xlpm.p,BE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47" s="3" cm="1">
        <f t="array" ref="BF47">IF(BF$6="","",_xlfn.LET(_xlpm.p,BF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47" s="3" cm="1">
        <f t="array" ref="BG47">IF(BG$6="","",_xlfn.LET(_xlpm.p,BG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47" s="3" cm="1">
        <f t="array" ref="BH47">IF(BH$6="","",_xlfn.LET(_xlpm.p,BH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47" s="3" cm="1">
        <f t="array" ref="BI47">IF(BI$6="","",_xlfn.LET(_xlpm.p,BI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47" s="3" cm="1">
        <f t="array" ref="BJ47">IF(BJ$6="","",_xlfn.LET(_xlpm.p,BJ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47" s="3" cm="1">
        <f t="array" ref="BK47">IF(BK$6="","",_xlfn.LET(_xlpm.p,BK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47" s="3" cm="1">
        <f t="array" ref="BL47">IF(BL$6="","",_xlfn.LET(_xlpm.p,BL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47" s="3" cm="1">
        <f t="array" ref="BM47">IF(BM$6="","",_xlfn.LET(_xlpm.p,BM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47" s="3" cm="1">
        <f t="array" ref="BN47">IF(BN$6="","",_xlfn.LET(_xlpm.p,BN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47" s="3" cm="1">
        <f t="array" ref="BO47">IF(BO$6="","",_xlfn.LET(_xlpm.p,BO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47" s="3" cm="1">
        <f t="array" ref="BP47">IF(BP$6="","",_xlfn.LET(_xlpm.p,BP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47" s="3" cm="1">
        <f t="array" ref="BQ47">IF(BQ$6="","",_xlfn.LET(_xlpm.p,BQ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47" s="3" cm="1">
        <f t="array" ref="BR47">IF(BR$6="","",_xlfn.LET(_xlpm.p,BR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47" s="3" cm="1">
        <f t="array" ref="BS47">IF(BS$6="","",_xlfn.LET(_xlpm.p,BS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47" s="3" cm="1">
        <f t="array" ref="BT47">IF(BT$6="","",_xlfn.LET(_xlpm.p,BT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47" s="3" cm="1">
        <f t="array" ref="BU47">IF(BU$6="","",_xlfn.LET(_xlpm.p,BU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47" s="3" cm="1">
        <f t="array" ref="BV47">IF(BV$6="","",_xlfn.LET(_xlpm.p,BV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47" s="3" cm="1">
        <f t="array" ref="BW47">IF(BW$6="","",_xlfn.LET(_xlpm.p,BW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47" s="3" cm="1">
        <f t="array" ref="BX47">IF(BX$6="","",_xlfn.LET(_xlpm.p,BX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47" s="3" cm="1">
        <f t="array" ref="BY47">IF(BY$6="","",_xlfn.LET(_xlpm.p,BY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47" s="3" cm="1">
        <f t="array" ref="BZ47">IF(BZ$6="","",_xlfn.LET(_xlpm.p,BZ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47" s="3" cm="1">
        <f t="array" ref="CA47">IF(CA$6="","",_xlfn.LET(_xlpm.p,CA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47" s="3" cm="1">
        <f t="array" ref="CB47">IF(CB$6="","",_xlfn.LET(_xlpm.p,CB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47" s="3" cm="1">
        <f t="array" ref="CC47">IF(CC$6="","",_xlfn.LET(_xlpm.p,CC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47" s="3" cm="1">
        <f t="array" ref="CD47">IF(CD$6="","",_xlfn.LET(_xlpm.p,CD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47" s="3" cm="1">
        <f t="array" ref="CE47">IF(CE$6="","",_xlfn.LET(_xlpm.p,CE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47" s="3" cm="1">
        <f t="array" ref="CF47">IF(CF$6="","",_xlfn.LET(_xlpm.p,CF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47" s="3" cm="1">
        <f t="array" ref="CG47">IF(CG$6="","",_xlfn.LET(_xlpm.p,CG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H47" s="3" t="str" cm="1">
        <f t="array" ref="CH47">IF(CH$6="","",_xlfn.LET(_xlpm.p,CH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47" s="3" t="str" cm="1">
        <f t="array" ref="CI47">IF(CI$6="","",_xlfn.LET(_xlpm.p,CI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47" s="3" t="str" cm="1">
        <f t="array" ref="CJ47">IF(CJ$6="","",_xlfn.LET(_xlpm.p,CJ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K47" s="3" t="str" cm="1">
        <f t="array" ref="CK47">IF(CK$6="","",_xlfn.LET(_xlpm.p,CK$6,_xlpm.i,MATCH($L47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48" spans="12:89" x14ac:dyDescent="0.2">
      <c r="L48">
        <f t="shared" si="38"/>
        <v>3</v>
      </c>
      <c r="M48" s="3" cm="1">
        <f t="array" ref="M48">IF(M$6="","",_xlfn.LET(_xlpm.p,M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48" s="3" cm="1">
        <f t="array" ref="N48">IF(N$6="","",_xlfn.LET(_xlpm.p,N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48" s="3" cm="1">
        <f t="array" ref="O48">IF(O$6="","",_xlfn.LET(_xlpm.p,O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48" s="3" cm="1">
        <f t="array" ref="P48">IF(P$6="","",_xlfn.LET(_xlpm.p,P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48" s="3" cm="1">
        <f t="array" ref="Q48">IF(Q$6="","",_xlfn.LET(_xlpm.p,Q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48" s="3" cm="1">
        <f t="array" ref="R48">IF(R$6="","",_xlfn.LET(_xlpm.p,R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48" s="3" cm="1">
        <f t="array" ref="S48">IF(S$6="","",_xlfn.LET(_xlpm.p,S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48" s="3" cm="1">
        <f t="array" ref="T48">IF(T$6="","",_xlfn.LET(_xlpm.p,T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48" s="3" cm="1">
        <f t="array" ref="U48">IF(U$6="","",_xlfn.LET(_xlpm.p,U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48" s="3" cm="1">
        <f t="array" ref="V48">IF(V$6="","",_xlfn.LET(_xlpm.p,V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48" s="3" cm="1">
        <f t="array" ref="W48">IF(W$6="","",_xlfn.LET(_xlpm.p,W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48" s="3" cm="1">
        <f t="array" ref="X48">IF(X$6="","",_xlfn.LET(_xlpm.p,X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48" s="3" cm="1">
        <f t="array" ref="Y48">IF(Y$6="","",_xlfn.LET(_xlpm.p,Y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48" s="3" cm="1">
        <f t="array" ref="Z48">IF(Z$6="","",_xlfn.LET(_xlpm.p,Z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48" s="3" cm="1">
        <f t="array" ref="AA48">IF(AA$6="","",_xlfn.LET(_xlpm.p,AA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48" s="3" cm="1">
        <f t="array" ref="AB48">IF(AB$6="","",_xlfn.LET(_xlpm.p,AB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48" s="3" cm="1">
        <f t="array" ref="AC48">IF(AC$6="","",_xlfn.LET(_xlpm.p,AC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48" s="3" cm="1">
        <f t="array" ref="AD48">IF(AD$6="","",_xlfn.LET(_xlpm.p,AD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48" s="3" cm="1">
        <f t="array" ref="AE48">IF(AE$6="","",_xlfn.LET(_xlpm.p,AE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48" s="3" cm="1">
        <f t="array" ref="AF48">IF(AF$6="","",_xlfn.LET(_xlpm.p,AF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48" s="3" cm="1">
        <f t="array" ref="AG48">IF(AG$6="","",_xlfn.LET(_xlpm.p,AG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48" s="3" cm="1">
        <f t="array" ref="AH48">IF(AH$6="","",_xlfn.LET(_xlpm.p,AH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48" s="3" cm="1">
        <f t="array" ref="AI48">IF(AI$6="","",_xlfn.LET(_xlpm.p,AI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48" s="3" cm="1">
        <f t="array" ref="AJ48">IF(AJ$6="","",_xlfn.LET(_xlpm.p,AJ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48" s="3" cm="1">
        <f t="array" ref="AK48">IF(AK$6="","",_xlfn.LET(_xlpm.p,AK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48" s="3" cm="1">
        <f t="array" ref="AL48">IF(AL$6="","",_xlfn.LET(_xlpm.p,AL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48" s="3" cm="1">
        <f t="array" ref="AM48">IF(AM$6="","",_xlfn.LET(_xlpm.p,AM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48" s="3" cm="1">
        <f t="array" ref="AN48">IF(AN$6="","",_xlfn.LET(_xlpm.p,AN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48" s="3" cm="1">
        <f t="array" ref="AO48">IF(AO$6="","",_xlfn.LET(_xlpm.p,AO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48" s="3" cm="1">
        <f t="array" ref="AP48">IF(AP$6="","",_xlfn.LET(_xlpm.p,AP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48" s="3" cm="1">
        <f t="array" ref="AQ48">IF(AQ$6="","",_xlfn.LET(_xlpm.p,AQ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48" s="3" cm="1">
        <f t="array" ref="AR48">IF(AR$6="","",_xlfn.LET(_xlpm.p,AR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48" s="3" cm="1">
        <f t="array" ref="AS48">IF(AS$6="","",_xlfn.LET(_xlpm.p,AS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48" s="3" cm="1">
        <f t="array" ref="AT48">IF(AT$6="","",_xlfn.LET(_xlpm.p,AT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48" s="3" cm="1">
        <f t="array" ref="AU48">IF(AU$6="","",_xlfn.LET(_xlpm.p,AU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48" s="3" cm="1">
        <f t="array" ref="AV48">IF(AV$6="","",_xlfn.LET(_xlpm.p,AV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-27293.205372048014</v>
      </c>
      <c r="AW48" s="3" cm="1">
        <f t="array" ref="AW48">IF(AW$6="","",_xlfn.LET(_xlpm.p,AW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48" s="3" cm="1">
        <f t="array" ref="AX48">IF(AX$6="","",_xlfn.LET(_xlpm.p,AX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48" s="3" cm="1">
        <f t="array" ref="AY48">IF(AY$6="","",_xlfn.LET(_xlpm.p,AY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48" s="3" cm="1">
        <f t="array" ref="AZ48">IF(AZ$6="","",_xlfn.LET(_xlpm.p,AZ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48" s="3" cm="1">
        <f t="array" ref="BA48">IF(BA$6="","",_xlfn.LET(_xlpm.p,BA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48" s="3" cm="1">
        <f t="array" ref="BB48">IF(BB$6="","",_xlfn.LET(_xlpm.p,BB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48" s="3" cm="1">
        <f t="array" ref="BC48">IF(BC$6="","",_xlfn.LET(_xlpm.p,BC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48" s="3" cm="1">
        <f t="array" ref="BD48">IF(BD$6="","",_xlfn.LET(_xlpm.p,BD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48" s="3" cm="1">
        <f t="array" ref="BE48">IF(BE$6="","",_xlfn.LET(_xlpm.p,BE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-40939.80805807202</v>
      </c>
      <c r="BF48" s="3" cm="1">
        <f t="array" ref="BF48">IF(BF$6="","",_xlfn.LET(_xlpm.p,BF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48" s="3" cm="1">
        <f t="array" ref="BG48">IF(BG$6="","",_xlfn.LET(_xlpm.p,BG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48" s="3" cm="1">
        <f t="array" ref="BH48">IF(BH$6="","",_xlfn.LET(_xlpm.p,BH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48" s="3" cm="1">
        <f t="array" ref="BI48">IF(BI$6="","",_xlfn.LET(_xlpm.p,BI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48" s="3" cm="1">
        <f t="array" ref="BJ48">IF(BJ$6="","",_xlfn.LET(_xlpm.p,BJ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48" s="3" cm="1">
        <f t="array" ref="BK48">IF(BK$6="","",_xlfn.LET(_xlpm.p,BK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48" s="3" cm="1">
        <f t="array" ref="BL48">IF(BL$6="","",_xlfn.LET(_xlpm.p,BL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48" s="3" cm="1">
        <f t="array" ref="BM48">IF(BM$6="","",_xlfn.LET(_xlpm.p,BM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48" s="3" cm="1">
        <f t="array" ref="BN48">IF(BN$6="","",_xlfn.LET(_xlpm.p,BN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48" s="3" cm="1">
        <f t="array" ref="BO48">IF(BO$6="","",_xlfn.LET(_xlpm.p,BO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48" s="3" cm="1">
        <f t="array" ref="BP48">IF(BP$6="","",_xlfn.LET(_xlpm.p,BP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48" s="3" cm="1">
        <f t="array" ref="BQ48">IF(BQ$6="","",_xlfn.LET(_xlpm.p,BQ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48" s="3" cm="1">
        <f t="array" ref="BR48">IF(BR$6="","",_xlfn.LET(_xlpm.p,BR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48" s="3" cm="1">
        <f t="array" ref="BS48">IF(BS$6="","",_xlfn.LET(_xlpm.p,BS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48" s="3" cm="1">
        <f t="array" ref="BT48">IF(BT$6="","",_xlfn.LET(_xlpm.p,BT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48" s="3" cm="1">
        <f t="array" ref="BU48">IF(BU$6="","",_xlfn.LET(_xlpm.p,BU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48" s="3" cm="1">
        <f t="array" ref="BV48">IF(BV$6="","",_xlfn.LET(_xlpm.p,BV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48" s="3" cm="1">
        <f t="array" ref="BW48">IF(BW$6="","",_xlfn.LET(_xlpm.p,BW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48" s="3" cm="1">
        <f t="array" ref="BX48">IF(BX$6="","",_xlfn.LET(_xlpm.p,BX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48" s="3" cm="1">
        <f t="array" ref="BY48">IF(BY$6="","",_xlfn.LET(_xlpm.p,BY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48" s="3" cm="1">
        <f t="array" ref="BZ48">IF(BZ$6="","",_xlfn.LET(_xlpm.p,BZ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48" s="3" cm="1">
        <f t="array" ref="CA48">IF(CA$6="","",_xlfn.LET(_xlpm.p,CA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48" s="3" cm="1">
        <f t="array" ref="CB48">IF(CB$6="","",_xlfn.LET(_xlpm.p,CB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48" s="3" cm="1">
        <f t="array" ref="CC48">IF(CC$6="","",_xlfn.LET(_xlpm.p,CC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48" s="3" cm="1">
        <f t="array" ref="CD48">IF(CD$6="","",_xlfn.LET(_xlpm.p,CD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48" s="3" cm="1">
        <f t="array" ref="CE48">IF(CE$6="","",_xlfn.LET(_xlpm.p,CE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48" s="3" cm="1">
        <f t="array" ref="CF48">IF(CF$6="","",_xlfn.LET(_xlpm.p,CF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48" s="3" cm="1">
        <f t="array" ref="CG48">IF(CG$6="","",_xlfn.LET(_xlpm.p,CG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H48" s="3" t="str" cm="1">
        <f t="array" ref="CH48">IF(CH$6="","",_xlfn.LET(_xlpm.p,CH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48" s="3" t="str" cm="1">
        <f t="array" ref="CI48">IF(CI$6="","",_xlfn.LET(_xlpm.p,CI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48" s="3" t="str" cm="1">
        <f t="array" ref="CJ48">IF(CJ$6="","",_xlfn.LET(_xlpm.p,CJ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K48" s="3" t="str" cm="1">
        <f t="array" ref="CK48">IF(CK$6="","",_xlfn.LET(_xlpm.p,CK$6,_xlpm.i,MATCH($L48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49" spans="12:89" x14ac:dyDescent="0.2">
      <c r="L49">
        <f t="shared" si="38"/>
        <v>4</v>
      </c>
      <c r="M49" s="3" cm="1">
        <f t="array" ref="M49">IF(M$6="","",_xlfn.LET(_xlpm.p,M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49" s="3" cm="1">
        <f t="array" ref="N49">IF(N$6="","",_xlfn.LET(_xlpm.p,N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49" s="3" cm="1">
        <f t="array" ref="O49">IF(O$6="","",_xlfn.LET(_xlpm.p,O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49" s="3" cm="1">
        <f t="array" ref="P49">IF(P$6="","",_xlfn.LET(_xlpm.p,P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49" s="3" cm="1">
        <f t="array" ref="Q49">IF(Q$6="","",_xlfn.LET(_xlpm.p,Q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49" s="3" cm="1">
        <f t="array" ref="R49">IF(R$6="","",_xlfn.LET(_xlpm.p,R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49" s="3" cm="1">
        <f t="array" ref="S49">IF(S$6="","",_xlfn.LET(_xlpm.p,S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49" s="3" cm="1">
        <f t="array" ref="T49">IF(T$6="","",_xlfn.LET(_xlpm.p,T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49" s="3" cm="1">
        <f t="array" ref="U49">IF(U$6="","",_xlfn.LET(_xlpm.p,U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49" s="3" cm="1">
        <f t="array" ref="V49">IF(V$6="","",_xlfn.LET(_xlpm.p,V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49" s="3" cm="1">
        <f t="array" ref="W49">IF(W$6="","",_xlfn.LET(_xlpm.p,W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49" s="3" cm="1">
        <f t="array" ref="X49">IF(X$6="","",_xlfn.LET(_xlpm.p,X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49" s="3" cm="1">
        <f t="array" ref="Y49">IF(Y$6="","",_xlfn.LET(_xlpm.p,Y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49" s="3" cm="1">
        <f t="array" ref="Z49">IF(Z$6="","",_xlfn.LET(_xlpm.p,Z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49" s="3" cm="1">
        <f t="array" ref="AA49">IF(AA$6="","",_xlfn.LET(_xlpm.p,AA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49" s="3" cm="1">
        <f t="array" ref="AB49">IF(AB$6="","",_xlfn.LET(_xlpm.p,AB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49" s="3" cm="1">
        <f t="array" ref="AC49">IF(AC$6="","",_xlfn.LET(_xlpm.p,AC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49" s="3" cm="1">
        <f t="array" ref="AD49">IF(AD$6="","",_xlfn.LET(_xlpm.p,AD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49" s="3" cm="1">
        <f t="array" ref="AE49">IF(AE$6="","",_xlfn.LET(_xlpm.p,AE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49" s="3" cm="1">
        <f t="array" ref="AF49">IF(AF$6="","",_xlfn.LET(_xlpm.p,AF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49" s="3" cm="1">
        <f t="array" ref="AG49">IF(AG$6="","",_xlfn.LET(_xlpm.p,AG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49" s="3" cm="1">
        <f t="array" ref="AH49">IF(AH$6="","",_xlfn.LET(_xlpm.p,AH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49" s="3" cm="1">
        <f t="array" ref="AI49">IF(AI$6="","",_xlfn.LET(_xlpm.p,AI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49" s="3" cm="1">
        <f t="array" ref="AJ49">IF(AJ$6="","",_xlfn.LET(_xlpm.p,AJ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49" s="3" cm="1">
        <f t="array" ref="AK49">IF(AK$6="","",_xlfn.LET(_xlpm.p,AK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49" s="3" cm="1">
        <f t="array" ref="AL49">IF(AL$6="","",_xlfn.LET(_xlpm.p,AL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-22744.337810040011</v>
      </c>
      <c r="AM49" s="3" cm="1">
        <f t="array" ref="AM49">IF(AM$6="","",_xlfn.LET(_xlpm.p,AM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49" s="3" cm="1">
        <f t="array" ref="AN49">IF(AN$6="","",_xlfn.LET(_xlpm.p,AN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49" s="3" cm="1">
        <f t="array" ref="AO49">IF(AO$6="","",_xlfn.LET(_xlpm.p,AO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49" s="3" cm="1">
        <f t="array" ref="AP49">IF(AP$6="","",_xlfn.LET(_xlpm.p,AP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49" s="3" cm="1">
        <f t="array" ref="AQ49">IF(AQ$6="","",_xlfn.LET(_xlpm.p,AQ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49" s="3" cm="1">
        <f t="array" ref="AR49">IF(AR$6="","",_xlfn.LET(_xlpm.p,AR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49" s="3" cm="1">
        <f t="array" ref="AS49">IF(AS$6="","",_xlfn.LET(_xlpm.p,AS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49" s="3" cm="1">
        <f t="array" ref="AT49">IF(AT$6="","",_xlfn.LET(_xlpm.p,AT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49" s="3" cm="1">
        <f t="array" ref="AU49">IF(AU$6="","",_xlfn.LET(_xlpm.p,AU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-34116.506715060015</v>
      </c>
      <c r="AV49" s="3" cm="1">
        <f t="array" ref="AV49">IF(AV$6="","",_xlfn.LET(_xlpm.p,AV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49" s="3" cm="1">
        <f t="array" ref="AW49">IF(AW$6="","",_xlfn.LET(_xlpm.p,AW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49" s="3" cm="1">
        <f t="array" ref="AX49">IF(AX$6="","",_xlfn.LET(_xlpm.p,AX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49" s="3" cm="1">
        <f t="array" ref="AY49">IF(AY$6="","",_xlfn.LET(_xlpm.p,AY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49" s="3" cm="1">
        <f t="array" ref="AZ49">IF(AZ$6="","",_xlfn.LET(_xlpm.p,AZ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49" s="3" cm="1">
        <f t="array" ref="BA49">IF(BA$6="","",_xlfn.LET(_xlpm.p,BA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49" s="3" cm="1">
        <f t="array" ref="BB49">IF(BB$6="","",_xlfn.LET(_xlpm.p,BB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49" s="3" cm="1">
        <f t="array" ref="BC49">IF(BC$6="","",_xlfn.LET(_xlpm.p,BC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49" s="3" cm="1">
        <f t="array" ref="BD49">IF(BD$6="","",_xlfn.LET(_xlpm.p,BD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49" s="3" cm="1">
        <f t="array" ref="BE49">IF(BE$6="","",_xlfn.LET(_xlpm.p,BE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49" s="3" cm="1">
        <f t="array" ref="BF49">IF(BF$6="","",_xlfn.LET(_xlpm.p,BF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49" s="3" cm="1">
        <f t="array" ref="BG49">IF(BG$6="","",_xlfn.LET(_xlpm.p,BG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49" s="3" cm="1">
        <f t="array" ref="BH49">IF(BH$6="","",_xlfn.LET(_xlpm.p,BH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49" s="3" cm="1">
        <f t="array" ref="BI49">IF(BI$6="","",_xlfn.LET(_xlpm.p,BI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49" s="3" cm="1">
        <f t="array" ref="BJ49">IF(BJ$6="","",_xlfn.LET(_xlpm.p,BJ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49" s="3" cm="1">
        <f t="array" ref="BK49">IF(BK$6="","",_xlfn.LET(_xlpm.p,BK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49" s="3" cm="1">
        <f t="array" ref="BL49">IF(BL$6="","",_xlfn.LET(_xlpm.p,BL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49" s="3" cm="1">
        <f t="array" ref="BM49">IF(BM$6="","",_xlfn.LET(_xlpm.p,BM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49" s="3" cm="1">
        <f t="array" ref="BN49">IF(BN$6="","",_xlfn.LET(_xlpm.p,BN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49" s="3" cm="1">
        <f t="array" ref="BO49">IF(BO$6="","",_xlfn.LET(_xlpm.p,BO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49" s="3" cm="1">
        <f t="array" ref="BP49">IF(BP$6="","",_xlfn.LET(_xlpm.p,BP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49" s="3" cm="1">
        <f t="array" ref="BQ49">IF(BQ$6="","",_xlfn.LET(_xlpm.p,BQ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49" s="3" cm="1">
        <f t="array" ref="BR49">IF(BR$6="","",_xlfn.LET(_xlpm.p,BR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49" s="3" cm="1">
        <f t="array" ref="BS49">IF(BS$6="","",_xlfn.LET(_xlpm.p,BS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49" s="3" cm="1">
        <f t="array" ref="BT49">IF(BT$6="","",_xlfn.LET(_xlpm.p,BT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49" s="3" cm="1">
        <f t="array" ref="BU49">IF(BU$6="","",_xlfn.LET(_xlpm.p,BU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49" s="3" cm="1">
        <f t="array" ref="BV49">IF(BV$6="","",_xlfn.LET(_xlpm.p,BV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49" s="3" cm="1">
        <f t="array" ref="BW49">IF(BW$6="","",_xlfn.LET(_xlpm.p,BW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49" s="3" cm="1">
        <f t="array" ref="BX49">IF(BX$6="","",_xlfn.LET(_xlpm.p,BX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49" s="3" cm="1">
        <f t="array" ref="BY49">IF(BY$6="","",_xlfn.LET(_xlpm.p,BY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49" s="3" cm="1">
        <f t="array" ref="BZ49">IF(BZ$6="","",_xlfn.LET(_xlpm.p,BZ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49" s="3" cm="1">
        <f t="array" ref="CA49">IF(CA$6="","",_xlfn.LET(_xlpm.p,CA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49" s="3" cm="1">
        <f t="array" ref="CB49">IF(CB$6="","",_xlfn.LET(_xlpm.p,CB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49" s="3" cm="1">
        <f t="array" ref="CC49">IF(CC$6="","",_xlfn.LET(_xlpm.p,CC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49" s="3" cm="1">
        <f t="array" ref="CD49">IF(CD$6="","",_xlfn.LET(_xlpm.p,CD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49" s="3" cm="1">
        <f t="array" ref="CE49">IF(CE$6="","",_xlfn.LET(_xlpm.p,CE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49" s="3" cm="1">
        <f t="array" ref="CF49">IF(CF$6="","",_xlfn.LET(_xlpm.p,CF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49" s="3" cm="1">
        <f t="array" ref="CG49">IF(CG$6="","",_xlfn.LET(_xlpm.p,CG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H49" s="3" t="str" cm="1">
        <f t="array" ref="CH49">IF(CH$6="","",_xlfn.LET(_xlpm.p,CH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49" s="3" t="str" cm="1">
        <f t="array" ref="CI49">IF(CI$6="","",_xlfn.LET(_xlpm.p,CI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49" s="3" t="str" cm="1">
        <f t="array" ref="CJ49">IF(CJ$6="","",_xlfn.LET(_xlpm.p,CJ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K49" s="3" t="str" cm="1">
        <f t="array" ref="CK49">IF(CK$6="","",_xlfn.LET(_xlpm.p,CK$6,_xlpm.i,MATCH($L49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0" spans="12:89" x14ac:dyDescent="0.2">
      <c r="L50">
        <f t="shared" si="38"/>
        <v>5</v>
      </c>
      <c r="M50" s="3" cm="1">
        <f t="array" ref="M50">IF(M$6="","",_xlfn.LET(_xlpm.p,M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50" s="3" cm="1">
        <f t="array" ref="N50">IF(N$6="","",_xlfn.LET(_xlpm.p,N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50" s="3" cm="1">
        <f t="array" ref="O50">IF(O$6="","",_xlfn.LET(_xlpm.p,O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50" s="3" cm="1">
        <f t="array" ref="P50">IF(P$6="","",_xlfn.LET(_xlpm.p,P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50" s="3" cm="1">
        <f t="array" ref="Q50">IF(Q$6="","",_xlfn.LET(_xlpm.p,Q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50" s="3" cm="1">
        <f t="array" ref="R50">IF(R$6="","",_xlfn.LET(_xlpm.p,R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50" s="3" cm="1">
        <f t="array" ref="S50">IF(S$6="","",_xlfn.LET(_xlpm.p,S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50" s="3" cm="1">
        <f t="array" ref="T50">IF(T$6="","",_xlfn.LET(_xlpm.p,T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50" s="3" cm="1">
        <f t="array" ref="U50">IF(U$6="","",_xlfn.LET(_xlpm.p,U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50" s="3" cm="1">
        <f t="array" ref="V50">IF(V$6="","",_xlfn.LET(_xlpm.p,V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50" s="3" cm="1">
        <f t="array" ref="W50">IF(W$6="","",_xlfn.LET(_xlpm.p,W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50" s="3" cm="1">
        <f t="array" ref="X50">IF(X$6="","",_xlfn.LET(_xlpm.p,X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50" s="3" cm="1">
        <f t="array" ref="Y50">IF(Y$6="","",_xlfn.LET(_xlpm.p,Y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50" s="3" cm="1">
        <f t="array" ref="Z50">IF(Z$6="","",_xlfn.LET(_xlpm.p,Z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50" s="3" cm="1">
        <f t="array" ref="AA50">IF(AA$6="","",_xlfn.LET(_xlpm.p,AA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50" s="3" cm="1">
        <f t="array" ref="AB50">IF(AB$6="","",_xlfn.LET(_xlpm.p,AB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-9097.7351240160042</v>
      </c>
      <c r="AC50" s="3" cm="1">
        <f t="array" ref="AC50">IF(AC$6="","",_xlfn.LET(_xlpm.p,AC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50" s="3" cm="1">
        <f t="array" ref="AD50">IF(AD$6="","",_xlfn.LET(_xlpm.p,AD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50" s="3" cm="1">
        <f t="array" ref="AE50">IF(AE$6="","",_xlfn.LET(_xlpm.p,AE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50" s="3" cm="1">
        <f t="array" ref="AF50">IF(AF$6="","",_xlfn.LET(_xlpm.p,AF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50" s="3" cm="1">
        <f t="array" ref="AG50">IF(AG$6="","",_xlfn.LET(_xlpm.p,AG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50" s="3" cm="1">
        <f t="array" ref="AH50">IF(AH$6="","",_xlfn.LET(_xlpm.p,AH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50" s="3" cm="1">
        <f t="array" ref="AI50">IF(AI$6="","",_xlfn.LET(_xlpm.p,AI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50" s="3" cm="1">
        <f t="array" ref="AJ50">IF(AJ$6="","",_xlfn.LET(_xlpm.p,AJ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50" s="3" cm="1">
        <f t="array" ref="AK50">IF(AK$6="","",_xlfn.LET(_xlpm.p,AK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-13646.602686024004</v>
      </c>
      <c r="AL50" s="3" cm="1">
        <f t="array" ref="AL50">IF(AL$6="","",_xlfn.LET(_xlpm.p,AL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50" s="3" cm="1">
        <f t="array" ref="AM50">IF(AM$6="","",_xlfn.LET(_xlpm.p,AM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50" s="3" cm="1">
        <f t="array" ref="AN50">IF(AN$6="","",_xlfn.LET(_xlpm.p,AN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50" s="3" cm="1">
        <f t="array" ref="AO50">IF(AO$6="","",_xlfn.LET(_xlpm.p,AO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50" s="3" cm="1">
        <f t="array" ref="AP50">IF(AP$6="","",_xlfn.LET(_xlpm.p,AP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50" s="3" cm="1">
        <f t="array" ref="AQ50">IF(AQ$6="","",_xlfn.LET(_xlpm.p,AQ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50" s="3" cm="1">
        <f t="array" ref="AR50">IF(AR$6="","",_xlfn.LET(_xlpm.p,AR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50" s="3" cm="1">
        <f t="array" ref="AS50">IF(AS$6="","",_xlfn.LET(_xlpm.p,AS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50" s="3" cm="1">
        <f t="array" ref="AT50">IF(AT$6="","",_xlfn.LET(_xlpm.p,AT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50" s="3" cm="1">
        <f t="array" ref="AU50">IF(AU$6="","",_xlfn.LET(_xlpm.p,AU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50" s="3" cm="1">
        <f t="array" ref="AV50">IF(AV$6="","",_xlfn.LET(_xlpm.p,AV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50" s="3" cm="1">
        <f t="array" ref="AW50">IF(AW$6="","",_xlfn.LET(_xlpm.p,AW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50" s="3" cm="1">
        <f t="array" ref="AX50">IF(AX$6="","",_xlfn.LET(_xlpm.p,AX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50" s="3" cm="1">
        <f t="array" ref="AY50">IF(AY$6="","",_xlfn.LET(_xlpm.p,AY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50" s="3" cm="1">
        <f t="array" ref="AZ50">IF(AZ$6="","",_xlfn.LET(_xlpm.p,AZ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50" s="3" cm="1">
        <f t="array" ref="BA50">IF(BA$6="","",_xlfn.LET(_xlpm.p,BA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50" s="3" cm="1">
        <f t="array" ref="BB50">IF(BB$6="","",_xlfn.LET(_xlpm.p,BB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50" s="3" cm="1">
        <f t="array" ref="BC50">IF(BC$6="","",_xlfn.LET(_xlpm.p,BC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50" s="3" cm="1">
        <f t="array" ref="BD50">IF(BD$6="","",_xlfn.LET(_xlpm.p,BD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50" s="3" cm="1">
        <f t="array" ref="BE50">IF(BE$6="","",_xlfn.LET(_xlpm.p,BE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50" s="3" cm="1">
        <f t="array" ref="BF50">IF(BF$6="","",_xlfn.LET(_xlpm.p,BF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50" s="3" cm="1">
        <f t="array" ref="BG50">IF(BG$6="","",_xlfn.LET(_xlpm.p,BG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50" s="3" cm="1">
        <f t="array" ref="BH50">IF(BH$6="","",_xlfn.LET(_xlpm.p,BH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50" s="3" cm="1">
        <f t="array" ref="BI50">IF(BI$6="","",_xlfn.LET(_xlpm.p,BI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50" s="3" cm="1">
        <f t="array" ref="BJ50">IF(BJ$6="","",_xlfn.LET(_xlpm.p,BJ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50" s="3" cm="1">
        <f t="array" ref="BK50">IF(BK$6="","",_xlfn.LET(_xlpm.p,BK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50" s="3" cm="1">
        <f t="array" ref="BL50">IF(BL$6="","",_xlfn.LET(_xlpm.p,BL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50" s="3" cm="1">
        <f t="array" ref="BM50">IF(BM$6="","",_xlfn.LET(_xlpm.p,BM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50" s="3" cm="1">
        <f t="array" ref="BN50">IF(BN$6="","",_xlfn.LET(_xlpm.p,BN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50" s="3" cm="1">
        <f t="array" ref="BO50">IF(BO$6="","",_xlfn.LET(_xlpm.p,BO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50" s="3" cm="1">
        <f t="array" ref="BP50">IF(BP$6="","",_xlfn.LET(_xlpm.p,BP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50" s="3" cm="1">
        <f t="array" ref="BQ50">IF(BQ$6="","",_xlfn.LET(_xlpm.p,BQ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50" s="3" cm="1">
        <f t="array" ref="BR50">IF(BR$6="","",_xlfn.LET(_xlpm.p,BR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50" s="3" cm="1">
        <f t="array" ref="BS50">IF(BS$6="","",_xlfn.LET(_xlpm.p,BS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50" s="3" cm="1">
        <f t="array" ref="BT50">IF(BT$6="","",_xlfn.LET(_xlpm.p,BT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50" s="3" cm="1">
        <f t="array" ref="BU50">IF(BU$6="","",_xlfn.LET(_xlpm.p,BU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50" s="3" cm="1">
        <f t="array" ref="BV50">IF(BV$6="","",_xlfn.LET(_xlpm.p,BV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50" s="3" cm="1">
        <f t="array" ref="BW50">IF(BW$6="","",_xlfn.LET(_xlpm.p,BW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50" s="3" cm="1">
        <f t="array" ref="BX50">IF(BX$6="","",_xlfn.LET(_xlpm.p,BX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50" s="3" cm="1">
        <f t="array" ref="BY50">IF(BY$6="","",_xlfn.LET(_xlpm.p,BY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50" s="3" cm="1">
        <f t="array" ref="BZ50">IF(BZ$6="","",_xlfn.LET(_xlpm.p,BZ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50" s="3" cm="1">
        <f t="array" ref="CA50">IF(CA$6="","",_xlfn.LET(_xlpm.p,CA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50" s="3" cm="1">
        <f t="array" ref="CB50">IF(CB$6="","",_xlfn.LET(_xlpm.p,CB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50" s="3" cm="1">
        <f t="array" ref="CC50">IF(CC$6="","",_xlfn.LET(_xlpm.p,CC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50" s="3" cm="1">
        <f t="array" ref="CD50">IF(CD$6="","",_xlfn.LET(_xlpm.p,CD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50" s="3" cm="1">
        <f t="array" ref="CE50">IF(CE$6="","",_xlfn.LET(_xlpm.p,CE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50" s="3" cm="1">
        <f t="array" ref="CF50">IF(CF$6="","",_xlfn.LET(_xlpm.p,CF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50" s="3" cm="1">
        <f t="array" ref="CG50">IF(CG$6="","",_xlfn.LET(_xlpm.p,CG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H50" s="3" t="str" cm="1">
        <f t="array" ref="CH50">IF(CH$6="","",_xlfn.LET(_xlpm.p,CH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50" s="3" t="str" cm="1">
        <f t="array" ref="CI50">IF(CI$6="","",_xlfn.LET(_xlpm.p,CI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50" s="3" t="str" cm="1">
        <f t="array" ref="CJ50">IF(CJ$6="","",_xlfn.LET(_xlpm.p,CJ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K50" s="3" t="str" cm="1">
        <f t="array" ref="CK50">IF(CK$6="","",_xlfn.LET(_xlpm.p,CK$6,_xlpm.i,MATCH($L50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1" spans="12:89" x14ac:dyDescent="0.2">
      <c r="L51">
        <f t="shared" si="38"/>
        <v>6</v>
      </c>
      <c r="M51" s="3" cm="1">
        <f t="array" ref="M51">IF(M$6="","",_xlfn.LET(_xlpm.p,M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51" s="3" cm="1">
        <f t="array" ref="N51">IF(N$6="","",_xlfn.LET(_xlpm.p,N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51" s="3" cm="1">
        <f t="array" ref="O51">IF(O$6="","",_xlfn.LET(_xlpm.p,O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51" s="3" cm="1">
        <f t="array" ref="P51">IF(P$6="","",_xlfn.LET(_xlpm.p,P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51" s="3" cm="1">
        <f t="array" ref="Q51">IF(Q$6="","",_xlfn.LET(_xlpm.p,Q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51" s="3" cm="1">
        <f t="array" ref="R51">IF(R$6="","",_xlfn.LET(_xlpm.p,R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51" s="3" cm="1">
        <f t="array" ref="S51">IF(S$6="","",_xlfn.LET(_xlpm.p,S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51" s="3" cm="1">
        <f t="array" ref="T51">IF(T$6="","",_xlfn.LET(_xlpm.p,T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51" s="3" cm="1">
        <f t="array" ref="U51">IF(U$6="","",_xlfn.LET(_xlpm.p,U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51" s="3" cm="1">
        <f t="array" ref="V51">IF(V$6="","",_xlfn.LET(_xlpm.p,V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51" s="3" cm="1">
        <f t="array" ref="W51">IF(W$6="","",_xlfn.LET(_xlpm.p,W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51" s="3" cm="1">
        <f t="array" ref="X51">IF(X$6="","",_xlfn.LET(_xlpm.p,X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51" s="3" cm="1">
        <f t="array" ref="Y51">IF(Y$6="","",_xlfn.LET(_xlpm.p,Y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51" s="3" cm="1">
        <f t="array" ref="Z51">IF(Z$6="","",_xlfn.LET(_xlpm.p,Z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51" s="3" cm="1">
        <f t="array" ref="AA51">IF(AA$6="","",_xlfn.LET(_xlpm.p,AA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51" s="3" cm="1">
        <f t="array" ref="AB51">IF(AB$6="","",_xlfn.LET(_xlpm.p,AB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51" s="3" cm="1">
        <f t="array" ref="AC51">IF(AC$6="","",_xlfn.LET(_xlpm.p,AC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51" s="3" cm="1">
        <f t="array" ref="AD51">IF(AD$6="","",_xlfn.LET(_xlpm.p,AD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51" s="3" cm="1">
        <f t="array" ref="AE51">IF(AE$6="","",_xlfn.LET(_xlpm.p,AE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51" s="3" cm="1">
        <f t="array" ref="AF51">IF(AF$6="","",_xlfn.LET(_xlpm.p,AF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51" s="3" cm="1">
        <f t="array" ref="AG51">IF(AG$6="","",_xlfn.LET(_xlpm.p,AG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51" s="3" cm="1">
        <f t="array" ref="AH51">IF(AH$6="","",_xlfn.LET(_xlpm.p,AH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51" s="3" cm="1">
        <f t="array" ref="AI51">IF(AI$6="","",_xlfn.LET(_xlpm.p,AI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51" s="3" cm="1">
        <f t="array" ref="AJ51">IF(AJ$6="","",_xlfn.LET(_xlpm.p,AJ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51" s="3" cm="1">
        <f t="array" ref="AK51">IF(AK$6="","",_xlfn.LET(_xlpm.p,AK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51" s="3" cm="1">
        <f t="array" ref="AL51">IF(AL$6="","",_xlfn.LET(_xlpm.p,AL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51" s="3" cm="1">
        <f t="array" ref="AM51">IF(AM$6="","",_xlfn.LET(_xlpm.p,AM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51" s="3" cm="1">
        <f t="array" ref="AN51">IF(AN$6="","",_xlfn.LET(_xlpm.p,AN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51" s="3" cm="1">
        <f t="array" ref="AO51">IF(AO$6="","",_xlfn.LET(_xlpm.p,AO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51" s="3" cm="1">
        <f t="array" ref="AP51">IF(AP$6="","",_xlfn.LET(_xlpm.p,AP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51" s="3" cm="1">
        <f t="array" ref="AQ51">IF(AQ$6="","",_xlfn.LET(_xlpm.p,AQ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-39120.261033268813</v>
      </c>
      <c r="AR51" s="3" cm="1">
        <f t="array" ref="AR51">IF(AR$6="","",_xlfn.LET(_xlpm.p,AR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51" s="3" cm="1">
        <f t="array" ref="AS51">IF(AS$6="","",_xlfn.LET(_xlpm.p,AS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51" s="3" cm="1">
        <f t="array" ref="AT51">IF(AT$6="","",_xlfn.LET(_xlpm.p,AT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51" s="3" cm="1">
        <f t="array" ref="AU51">IF(AU$6="","",_xlfn.LET(_xlpm.p,AU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51" s="3" cm="1">
        <f t="array" ref="AV51">IF(AV$6="","",_xlfn.LET(_xlpm.p,AV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51" s="3" cm="1">
        <f t="array" ref="AW51">IF(AW$6="","",_xlfn.LET(_xlpm.p,AW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51" s="3" cm="1">
        <f t="array" ref="AX51">IF(AX$6="","",_xlfn.LET(_xlpm.p,AX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51" s="3" cm="1">
        <f t="array" ref="AY51">IF(AY$6="","",_xlfn.LET(_xlpm.p,AY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51" s="3" cm="1">
        <f t="array" ref="AZ51">IF(AZ$6="","",_xlfn.LET(_xlpm.p,AZ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-58680.391549903223</v>
      </c>
      <c r="BA51" s="3" cm="1">
        <f t="array" ref="BA51">IF(BA$6="","",_xlfn.LET(_xlpm.p,BA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51" s="3" cm="1">
        <f t="array" ref="BB51">IF(BB$6="","",_xlfn.LET(_xlpm.p,BB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51" s="3" cm="1">
        <f t="array" ref="BC51">IF(BC$6="","",_xlfn.LET(_xlpm.p,BC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51" s="3" cm="1">
        <f t="array" ref="BD51">IF(BD$6="","",_xlfn.LET(_xlpm.p,BD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51" s="3" cm="1">
        <f t="array" ref="BE51">IF(BE$6="","",_xlfn.LET(_xlpm.p,BE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51" s="3" cm="1">
        <f t="array" ref="BF51">IF(BF$6="","",_xlfn.LET(_xlpm.p,BF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51" s="3" cm="1">
        <f t="array" ref="BG51">IF(BG$6="","",_xlfn.LET(_xlpm.p,BG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51" s="3" cm="1">
        <f t="array" ref="BH51">IF(BH$6="","",_xlfn.LET(_xlpm.p,BH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51" s="3" cm="1">
        <f t="array" ref="BI51">IF(BI$6="","",_xlfn.LET(_xlpm.p,BI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51" s="3" cm="1">
        <f t="array" ref="BJ51">IF(BJ$6="","",_xlfn.LET(_xlpm.p,BJ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51" s="3" cm="1">
        <f t="array" ref="BK51">IF(BK$6="","",_xlfn.LET(_xlpm.p,BK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51" s="3" cm="1">
        <f t="array" ref="BL51">IF(BL$6="","",_xlfn.LET(_xlpm.p,BL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51" s="3" cm="1">
        <f t="array" ref="BM51">IF(BM$6="","",_xlfn.LET(_xlpm.p,BM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51" s="3" cm="1">
        <f t="array" ref="BN51">IF(BN$6="","",_xlfn.LET(_xlpm.p,BN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51" s="3" cm="1">
        <f t="array" ref="BO51">IF(BO$6="","",_xlfn.LET(_xlpm.p,BO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51" s="3" cm="1">
        <f t="array" ref="BP51">IF(BP$6="","",_xlfn.LET(_xlpm.p,BP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51" s="3" cm="1">
        <f t="array" ref="BQ51">IF(BQ$6="","",_xlfn.LET(_xlpm.p,BQ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51" s="3" cm="1">
        <f t="array" ref="BR51">IF(BR$6="","",_xlfn.LET(_xlpm.p,BR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51" s="3" cm="1">
        <f t="array" ref="BS51">IF(BS$6="","",_xlfn.LET(_xlpm.p,BS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51" s="3" cm="1">
        <f t="array" ref="BT51">IF(BT$6="","",_xlfn.LET(_xlpm.p,BT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51" s="3" cm="1">
        <f t="array" ref="BU51">IF(BU$6="","",_xlfn.LET(_xlpm.p,BU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51" s="3" cm="1">
        <f t="array" ref="BV51">IF(BV$6="","",_xlfn.LET(_xlpm.p,BV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51" s="3" cm="1">
        <f t="array" ref="BW51">IF(BW$6="","",_xlfn.LET(_xlpm.p,BW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51" s="3" cm="1">
        <f t="array" ref="BX51">IF(BX$6="","",_xlfn.LET(_xlpm.p,BX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51" s="3" cm="1">
        <f t="array" ref="BY51">IF(BY$6="","",_xlfn.LET(_xlpm.p,BY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51" s="3" cm="1">
        <f t="array" ref="BZ51">IF(BZ$6="","",_xlfn.LET(_xlpm.p,BZ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51" s="3" cm="1">
        <f t="array" ref="CA51">IF(CA$6="","",_xlfn.LET(_xlpm.p,CA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51" s="3" cm="1">
        <f t="array" ref="CB51">IF(CB$6="","",_xlfn.LET(_xlpm.p,CB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51" s="3" cm="1">
        <f t="array" ref="CC51">IF(CC$6="","",_xlfn.LET(_xlpm.p,CC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51" s="3" cm="1">
        <f t="array" ref="CD51">IF(CD$6="","",_xlfn.LET(_xlpm.p,CD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51" s="3" cm="1">
        <f t="array" ref="CE51">IF(CE$6="","",_xlfn.LET(_xlpm.p,CE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51" s="3" cm="1">
        <f t="array" ref="CF51">IF(CF$6="","",_xlfn.LET(_xlpm.p,CF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51" s="3" cm="1">
        <f t="array" ref="CG51">IF(CG$6="","",_xlfn.LET(_xlpm.p,CG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H51" s="3" t="str" cm="1">
        <f t="array" ref="CH51">IF(CH$6="","",_xlfn.LET(_xlpm.p,CH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51" s="3" t="str" cm="1">
        <f t="array" ref="CI51">IF(CI$6="","",_xlfn.LET(_xlpm.p,CI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51" s="3" t="str" cm="1">
        <f t="array" ref="CJ51">IF(CJ$6="","",_xlfn.LET(_xlpm.p,CJ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K51" s="3" t="str" cm="1">
        <f t="array" ref="CK51">IF(CK$6="","",_xlfn.LET(_xlpm.p,CK$6,_xlpm.i,MATCH($L51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2" spans="12:89" x14ac:dyDescent="0.2">
      <c r="L52">
        <f t="shared" si="38"/>
        <v>7</v>
      </c>
      <c r="M52" s="3" cm="1">
        <f t="array" ref="M52">IF(M$6="","",_xlfn.LET(_xlpm.p,M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52" s="3" cm="1">
        <f t="array" ref="N52">IF(N$6="","",_xlfn.LET(_xlpm.p,N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52" s="3" cm="1">
        <f t="array" ref="O52">IF(O$6="","",_xlfn.LET(_xlpm.p,O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52" s="3" cm="1">
        <f t="array" ref="P52">IF(P$6="","",_xlfn.LET(_xlpm.p,P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52" s="3" cm="1">
        <f t="array" ref="Q52">IF(Q$6="","",_xlfn.LET(_xlpm.p,Q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52" s="3" cm="1">
        <f t="array" ref="R52">IF(R$6="","",_xlfn.LET(_xlpm.p,R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52" s="3" cm="1">
        <f t="array" ref="S52">IF(S$6="","",_xlfn.LET(_xlpm.p,S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52" s="3" cm="1">
        <f t="array" ref="T52">IF(T$6="","",_xlfn.LET(_xlpm.p,T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52" s="3" cm="1">
        <f t="array" ref="U52">IF(U$6="","",_xlfn.LET(_xlpm.p,U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52" s="3" cm="1">
        <f t="array" ref="V52">IF(V$6="","",_xlfn.LET(_xlpm.p,V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52" s="3" cm="1">
        <f t="array" ref="W52">IF(W$6="","",_xlfn.LET(_xlpm.p,W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52" s="3" cm="1">
        <f t="array" ref="X52">IF(X$6="","",_xlfn.LET(_xlpm.p,X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52" s="3" cm="1">
        <f t="array" ref="Y52">IF(Y$6="","",_xlfn.LET(_xlpm.p,Y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52" s="3" cm="1">
        <f t="array" ref="Z52">IF(Z$6="","",_xlfn.LET(_xlpm.p,Z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52" s="3" cm="1">
        <f t="array" ref="AA52">IF(AA$6="","",_xlfn.LET(_xlpm.p,AA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52" s="3" cm="1">
        <f t="array" ref="AB52">IF(AB$6="","",_xlfn.LET(_xlpm.p,AB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52" s="3" cm="1">
        <f t="array" ref="AC52">IF(AC$6="","",_xlfn.LET(_xlpm.p,AC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52" s="3" cm="1">
        <f t="array" ref="AD52">IF(AD$6="","",_xlfn.LET(_xlpm.p,AD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52" s="3" cm="1">
        <f t="array" ref="AE52">IF(AE$6="","",_xlfn.LET(_xlpm.p,AE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52" s="3" cm="1">
        <f t="array" ref="AF52">IF(AF$6="","",_xlfn.LET(_xlpm.p,AF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52" s="3" cm="1">
        <f t="array" ref="AG52">IF(AG$6="","",_xlfn.LET(_xlpm.p,AG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52" s="3" cm="1">
        <f t="array" ref="AH52">IF(AH$6="","",_xlfn.LET(_xlpm.p,AH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52" s="3" cm="1">
        <f t="array" ref="AI52">IF(AI$6="","",_xlfn.LET(_xlpm.p,AI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52" s="3" cm="1">
        <f t="array" ref="AJ52">IF(AJ$6="","",_xlfn.LET(_xlpm.p,AJ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52" s="3" cm="1">
        <f t="array" ref="AK52">IF(AK$6="","",_xlfn.LET(_xlpm.p,AK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52" s="3" cm="1">
        <f t="array" ref="AL52">IF(AL$6="","",_xlfn.LET(_xlpm.p,AL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52" s="3" cm="1">
        <f t="array" ref="AM52">IF(AM$6="","",_xlfn.LET(_xlpm.p,AM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52" s="3" cm="1">
        <f t="array" ref="AN52">IF(AN$6="","",_xlfn.LET(_xlpm.p,AN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52" s="3" cm="1">
        <f t="array" ref="AO52">IF(AO$6="","",_xlfn.LET(_xlpm.p,AO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52" s="3" cm="1">
        <f t="array" ref="AP52">IF(AP$6="","",_xlfn.LET(_xlpm.p,AP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-25473.658347244811</v>
      </c>
      <c r="AQ52" s="3" cm="1">
        <f t="array" ref="AQ52">IF(AQ$6="","",_xlfn.LET(_xlpm.p,AQ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52" s="3" cm="1">
        <f t="array" ref="AR52">IF(AR$6="","",_xlfn.LET(_xlpm.p,AR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52" s="3" cm="1">
        <f t="array" ref="AS52">IF(AS$6="","",_xlfn.LET(_xlpm.p,AS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52" s="3" cm="1">
        <f t="array" ref="AT52">IF(AT$6="","",_xlfn.LET(_xlpm.p,AT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52" s="3" cm="1">
        <f t="array" ref="AU52">IF(AU$6="","",_xlfn.LET(_xlpm.p,AU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52" s="3" cm="1">
        <f t="array" ref="AV52">IF(AV$6="","",_xlfn.LET(_xlpm.p,AV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52" s="3" cm="1">
        <f t="array" ref="AW52">IF(AW$6="","",_xlfn.LET(_xlpm.p,AW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52" s="3" cm="1">
        <f t="array" ref="AX52">IF(AX$6="","",_xlfn.LET(_xlpm.p,AX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52" s="3" cm="1">
        <f t="array" ref="AY52">IF(AY$6="","",_xlfn.LET(_xlpm.p,AY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-38210.487520867209</v>
      </c>
      <c r="AZ52" s="3" cm="1">
        <f t="array" ref="AZ52">IF(AZ$6="","",_xlfn.LET(_xlpm.p,AZ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52" s="3" cm="1">
        <f t="array" ref="BA52">IF(BA$6="","",_xlfn.LET(_xlpm.p,BA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52" s="3" cm="1">
        <f t="array" ref="BB52">IF(BB$6="","",_xlfn.LET(_xlpm.p,BB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52" s="3" cm="1">
        <f t="array" ref="BC52">IF(BC$6="","",_xlfn.LET(_xlpm.p,BC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52" s="3" cm="1">
        <f t="array" ref="BD52">IF(BD$6="","",_xlfn.LET(_xlpm.p,BD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52" s="3" cm="1">
        <f t="array" ref="BE52">IF(BE$6="","",_xlfn.LET(_xlpm.p,BE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52" s="3" cm="1">
        <f t="array" ref="BF52">IF(BF$6="","",_xlfn.LET(_xlpm.p,BF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52" s="3" cm="1">
        <f t="array" ref="BG52">IF(BG$6="","",_xlfn.LET(_xlpm.p,BG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52" s="3" cm="1">
        <f t="array" ref="BH52">IF(BH$6="","",_xlfn.LET(_xlpm.p,BH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52" s="3" cm="1">
        <f t="array" ref="BI52">IF(BI$6="","",_xlfn.LET(_xlpm.p,BI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52" s="3" cm="1">
        <f t="array" ref="BJ52">IF(BJ$6="","",_xlfn.LET(_xlpm.p,BJ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52" s="3" cm="1">
        <f t="array" ref="BK52">IF(BK$6="","",_xlfn.LET(_xlpm.p,BK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52" s="3" cm="1">
        <f t="array" ref="BL52">IF(BL$6="","",_xlfn.LET(_xlpm.p,BL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52" s="3" cm="1">
        <f t="array" ref="BM52">IF(BM$6="","",_xlfn.LET(_xlpm.p,BM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52" s="3" cm="1">
        <f t="array" ref="BN52">IF(BN$6="","",_xlfn.LET(_xlpm.p,BN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52" s="3" cm="1">
        <f t="array" ref="BO52">IF(BO$6="","",_xlfn.LET(_xlpm.p,BO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52" s="3" cm="1">
        <f t="array" ref="BP52">IF(BP$6="","",_xlfn.LET(_xlpm.p,BP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52" s="3" cm="1">
        <f t="array" ref="BQ52">IF(BQ$6="","",_xlfn.LET(_xlpm.p,BQ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52" s="3" cm="1">
        <f t="array" ref="BR52">IF(BR$6="","",_xlfn.LET(_xlpm.p,BR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52" s="3" cm="1">
        <f t="array" ref="BS52">IF(BS$6="","",_xlfn.LET(_xlpm.p,BS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52" s="3" cm="1">
        <f t="array" ref="BT52">IF(BT$6="","",_xlfn.LET(_xlpm.p,BT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52" s="3" cm="1">
        <f t="array" ref="BU52">IF(BU$6="","",_xlfn.LET(_xlpm.p,BU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52" s="3" cm="1">
        <f t="array" ref="BV52">IF(BV$6="","",_xlfn.LET(_xlpm.p,BV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52" s="3" cm="1">
        <f t="array" ref="BW52">IF(BW$6="","",_xlfn.LET(_xlpm.p,BW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52" s="3" cm="1">
        <f t="array" ref="BX52">IF(BX$6="","",_xlfn.LET(_xlpm.p,BX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52" s="3" cm="1">
        <f t="array" ref="BY52">IF(BY$6="","",_xlfn.LET(_xlpm.p,BY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52" s="3" cm="1">
        <f t="array" ref="BZ52">IF(BZ$6="","",_xlfn.LET(_xlpm.p,BZ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52" s="3" cm="1">
        <f t="array" ref="CA52">IF(CA$6="","",_xlfn.LET(_xlpm.p,CA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52" s="3" cm="1">
        <f t="array" ref="CB52">IF(CB$6="","",_xlfn.LET(_xlpm.p,CB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52" s="3" cm="1">
        <f t="array" ref="CC52">IF(CC$6="","",_xlfn.LET(_xlpm.p,CC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52" s="3" cm="1">
        <f t="array" ref="CD52">IF(CD$6="","",_xlfn.LET(_xlpm.p,CD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52" s="3" cm="1">
        <f t="array" ref="CE52">IF(CE$6="","",_xlfn.LET(_xlpm.p,CE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52" s="3" cm="1">
        <f t="array" ref="CF52">IF(CF$6="","",_xlfn.LET(_xlpm.p,CF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52" s="3" cm="1">
        <f t="array" ref="CG52">IF(CG$6="","",_xlfn.LET(_xlpm.p,CG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H52" s="3" t="str" cm="1">
        <f t="array" ref="CH52">IF(CH$6="","",_xlfn.LET(_xlpm.p,CH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52" s="3" t="str" cm="1">
        <f t="array" ref="CI52">IF(CI$6="","",_xlfn.LET(_xlpm.p,CI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52" s="3" t="str" cm="1">
        <f t="array" ref="CJ52">IF(CJ$6="","",_xlfn.LET(_xlpm.p,CJ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K52" s="3" t="str" cm="1">
        <f t="array" ref="CK52">IF(CK$6="","",_xlfn.LET(_xlpm.p,CK$6,_xlpm.i,MATCH($L52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3" spans="12:89" x14ac:dyDescent="0.2">
      <c r="L53">
        <f t="shared" si="38"/>
        <v>8</v>
      </c>
      <c r="M53" s="3" cm="1">
        <f t="array" ref="M53">IF(M$6="","",_xlfn.LET(_xlpm.p,M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53" s="3" cm="1">
        <f t="array" ref="N53">IF(N$6="","",_xlfn.LET(_xlpm.p,N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53" s="3" cm="1">
        <f t="array" ref="O53">IF(O$6="","",_xlfn.LET(_xlpm.p,O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53" s="3" cm="1">
        <f t="array" ref="P53">IF(P$6="","",_xlfn.LET(_xlpm.p,P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53" s="3" cm="1">
        <f t="array" ref="Q53">IF(Q$6="","",_xlfn.LET(_xlpm.p,Q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53" s="3" cm="1">
        <f t="array" ref="R53">IF(R$6="","",_xlfn.LET(_xlpm.p,R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53" s="3" cm="1">
        <f t="array" ref="S53">IF(S$6="","",_xlfn.LET(_xlpm.p,S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53" s="3" cm="1">
        <f t="array" ref="T53">IF(T$6="","",_xlfn.LET(_xlpm.p,T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53" s="3" cm="1">
        <f t="array" ref="U53">IF(U$6="","",_xlfn.LET(_xlpm.p,U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53" s="3" cm="1">
        <f t="array" ref="V53">IF(V$6="","",_xlfn.LET(_xlpm.p,V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53" s="3" cm="1">
        <f t="array" ref="W53">IF(W$6="","",_xlfn.LET(_xlpm.p,W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53" s="3" cm="1">
        <f t="array" ref="X53">IF(X$6="","",_xlfn.LET(_xlpm.p,X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53" s="3" cm="1">
        <f t="array" ref="Y53">IF(Y$6="","",_xlfn.LET(_xlpm.p,Y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53" s="3" cm="1">
        <f t="array" ref="Z53">IF(Z$6="","",_xlfn.LET(_xlpm.p,Z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53" s="3" cm="1">
        <f t="array" ref="AA53">IF(AA$6="","",_xlfn.LET(_xlpm.p,AA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53" s="3" cm="1">
        <f t="array" ref="AB53">IF(AB$6="","",_xlfn.LET(_xlpm.p,AB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53" s="3" cm="1">
        <f t="array" ref="AC53">IF(AC$6="","",_xlfn.LET(_xlpm.p,AC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53" s="3" cm="1">
        <f t="array" ref="AD53">IF(AD$6="","",_xlfn.LET(_xlpm.p,AD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53" s="3" cm="1">
        <f t="array" ref="AE53">IF(AE$6="","",_xlfn.LET(_xlpm.p,AE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53" s="3" cm="1">
        <f t="array" ref="AF53">IF(AF$6="","",_xlfn.LET(_xlpm.p,AF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53" s="3" cm="1">
        <f t="array" ref="AG53">IF(AG$6="","",_xlfn.LET(_xlpm.p,AG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-15921.036467028005</v>
      </c>
      <c r="AH53" s="3" cm="1">
        <f t="array" ref="AH53">IF(AH$6="","",_xlfn.LET(_xlpm.p,AH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53" s="3" cm="1">
        <f t="array" ref="AI53">IF(AI$6="","",_xlfn.LET(_xlpm.p,AI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53" s="3" cm="1">
        <f t="array" ref="AJ53">IF(AJ$6="","",_xlfn.LET(_xlpm.p,AJ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53" s="3" cm="1">
        <f t="array" ref="AK53">IF(AK$6="","",_xlfn.LET(_xlpm.p,AK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53" s="3" cm="1">
        <f t="array" ref="AL53">IF(AL$6="","",_xlfn.LET(_xlpm.p,AL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53" s="3" cm="1">
        <f t="array" ref="AM53">IF(AM$6="","",_xlfn.LET(_xlpm.p,AM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53" s="3" cm="1">
        <f t="array" ref="AN53">IF(AN$6="","",_xlfn.LET(_xlpm.p,AN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53" s="3" cm="1">
        <f t="array" ref="AO53">IF(AO$6="","",_xlfn.LET(_xlpm.p,AO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53" s="3" cm="1">
        <f t="array" ref="AP53">IF(AP$6="","",_xlfn.LET(_xlpm.p,AP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-23881.554700542005</v>
      </c>
      <c r="AQ53" s="3" cm="1">
        <f t="array" ref="AQ53">IF(AQ$6="","",_xlfn.LET(_xlpm.p,AQ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53" s="3" cm="1">
        <f t="array" ref="AR53">IF(AR$6="","",_xlfn.LET(_xlpm.p,AR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53" s="3" cm="1">
        <f t="array" ref="AS53">IF(AS$6="","",_xlfn.LET(_xlpm.p,AS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53" s="3" cm="1">
        <f t="array" ref="AT53">IF(AT$6="","",_xlfn.LET(_xlpm.p,AT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53" s="3" cm="1">
        <f t="array" ref="AU53">IF(AU$6="","",_xlfn.LET(_xlpm.p,AU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53" s="3" cm="1">
        <f t="array" ref="AV53">IF(AV$6="","",_xlfn.LET(_xlpm.p,AV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53" s="3" cm="1">
        <f t="array" ref="AW53">IF(AW$6="","",_xlfn.LET(_xlpm.p,AW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53" s="3" cm="1">
        <f t="array" ref="AX53">IF(AX$6="","",_xlfn.LET(_xlpm.p,AX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53" s="3" cm="1">
        <f t="array" ref="AY53">IF(AY$6="","",_xlfn.LET(_xlpm.p,AY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53" s="3" cm="1">
        <f t="array" ref="AZ53">IF(AZ$6="","",_xlfn.LET(_xlpm.p,AZ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53" s="3" cm="1">
        <f t="array" ref="BA53">IF(BA$6="","",_xlfn.LET(_xlpm.p,BA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53" s="3" cm="1">
        <f t="array" ref="BB53">IF(BB$6="","",_xlfn.LET(_xlpm.p,BB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53" s="3" cm="1">
        <f t="array" ref="BC53">IF(BC$6="","",_xlfn.LET(_xlpm.p,BC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53" s="3" cm="1">
        <f t="array" ref="BD53">IF(BD$6="","",_xlfn.LET(_xlpm.p,BD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53" s="3" cm="1">
        <f t="array" ref="BE53">IF(BE$6="","",_xlfn.LET(_xlpm.p,BE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53" s="3" cm="1">
        <f t="array" ref="BF53">IF(BF$6="","",_xlfn.LET(_xlpm.p,BF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53" s="3" cm="1">
        <f t="array" ref="BG53">IF(BG$6="","",_xlfn.LET(_xlpm.p,BG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53" s="3" cm="1">
        <f t="array" ref="BH53">IF(BH$6="","",_xlfn.LET(_xlpm.p,BH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53" s="3" cm="1">
        <f t="array" ref="BI53">IF(BI$6="","",_xlfn.LET(_xlpm.p,BI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53" s="3" cm="1">
        <f t="array" ref="BJ53">IF(BJ$6="","",_xlfn.LET(_xlpm.p,BJ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53" s="3" cm="1">
        <f t="array" ref="BK53">IF(BK$6="","",_xlfn.LET(_xlpm.p,BK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53" s="3" cm="1">
        <f t="array" ref="BL53">IF(BL$6="","",_xlfn.LET(_xlpm.p,BL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53" s="3" cm="1">
        <f t="array" ref="BM53">IF(BM$6="","",_xlfn.LET(_xlpm.p,BM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53" s="3" cm="1">
        <f t="array" ref="BN53">IF(BN$6="","",_xlfn.LET(_xlpm.p,BN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53" s="3" cm="1">
        <f t="array" ref="BO53">IF(BO$6="","",_xlfn.LET(_xlpm.p,BO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53" s="3" cm="1">
        <f t="array" ref="BP53">IF(BP$6="","",_xlfn.LET(_xlpm.p,BP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53" s="3" cm="1">
        <f t="array" ref="BQ53">IF(BQ$6="","",_xlfn.LET(_xlpm.p,BQ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53" s="3" cm="1">
        <f t="array" ref="BR53">IF(BR$6="","",_xlfn.LET(_xlpm.p,BR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53" s="3" cm="1">
        <f t="array" ref="BS53">IF(BS$6="","",_xlfn.LET(_xlpm.p,BS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53" s="3" cm="1">
        <f t="array" ref="BT53">IF(BT$6="","",_xlfn.LET(_xlpm.p,BT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53" s="3" cm="1">
        <f t="array" ref="BU53">IF(BU$6="","",_xlfn.LET(_xlpm.p,BU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53" s="3" cm="1">
        <f t="array" ref="BV53">IF(BV$6="","",_xlfn.LET(_xlpm.p,BV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53" s="3" cm="1">
        <f t="array" ref="BW53">IF(BW$6="","",_xlfn.LET(_xlpm.p,BW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53" s="3" cm="1">
        <f t="array" ref="BX53">IF(BX$6="","",_xlfn.LET(_xlpm.p,BX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53" s="3" cm="1">
        <f t="array" ref="BY53">IF(BY$6="","",_xlfn.LET(_xlpm.p,BY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53" s="3" cm="1">
        <f t="array" ref="BZ53">IF(BZ$6="","",_xlfn.LET(_xlpm.p,BZ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53" s="3" cm="1">
        <f t="array" ref="CA53">IF(CA$6="","",_xlfn.LET(_xlpm.p,CA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53" s="3" cm="1">
        <f t="array" ref="CB53">IF(CB$6="","",_xlfn.LET(_xlpm.p,CB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53" s="3" cm="1">
        <f t="array" ref="CC53">IF(CC$6="","",_xlfn.LET(_xlpm.p,CC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53" s="3" cm="1">
        <f t="array" ref="CD53">IF(CD$6="","",_xlfn.LET(_xlpm.p,CD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53" s="3" cm="1">
        <f t="array" ref="CE53">IF(CE$6="","",_xlfn.LET(_xlpm.p,CE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53" s="3" cm="1">
        <f t="array" ref="CF53">IF(CF$6="","",_xlfn.LET(_xlpm.p,CF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53" s="3" cm="1">
        <f t="array" ref="CG53">IF(CG$6="","",_xlfn.LET(_xlpm.p,CG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H53" s="3" t="str" cm="1">
        <f t="array" ref="CH53">IF(CH$6="","",_xlfn.LET(_xlpm.p,CH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53" s="3" t="str" cm="1">
        <f t="array" ref="CI53">IF(CI$6="","",_xlfn.LET(_xlpm.p,CI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53" s="3" t="str" cm="1">
        <f t="array" ref="CJ53">IF(CJ$6="","",_xlfn.LET(_xlpm.p,CJ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K53" s="3" t="str" cm="1">
        <f t="array" ref="CK53">IF(CK$6="","",_xlfn.LET(_xlpm.p,CK$6,_xlpm.i,MATCH($L53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4" spans="12:89" x14ac:dyDescent="0.2">
      <c r="L54">
        <f t="shared" si="38"/>
        <v>9</v>
      </c>
      <c r="M54" s="3" cm="1">
        <f t="array" ref="M54">IF(M$6="","",_xlfn.LET(_xlpm.p,M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54" s="3" cm="1">
        <f t="array" ref="N54">IF(N$6="","",_xlfn.LET(_xlpm.p,N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54" s="3" cm="1">
        <f t="array" ref="O54">IF(O$6="","",_xlfn.LET(_xlpm.p,O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54" s="3" cm="1">
        <f t="array" ref="P54">IF(P$6="","",_xlfn.LET(_xlpm.p,P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54" s="3" cm="1">
        <f t="array" ref="Q54">IF(Q$6="","",_xlfn.LET(_xlpm.p,Q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54" s="3" cm="1">
        <f t="array" ref="R54">IF(R$6="","",_xlfn.LET(_xlpm.p,R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54" s="3" cm="1">
        <f t="array" ref="S54">IF(S$6="","",_xlfn.LET(_xlpm.p,S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54" s="3" cm="1">
        <f t="array" ref="T54">IF(T$6="","",_xlfn.LET(_xlpm.p,T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54" s="3" cm="1">
        <f t="array" ref="U54">IF(U$6="","",_xlfn.LET(_xlpm.p,U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54" s="3" cm="1">
        <f t="array" ref="V54">IF(V$6="","",_xlfn.LET(_xlpm.p,V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54" s="3" cm="1">
        <f t="array" ref="W54">IF(W$6="","",_xlfn.LET(_xlpm.p,W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54" s="3" cm="1">
        <f t="array" ref="X54">IF(X$6="","",_xlfn.LET(_xlpm.p,X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54" s="3" cm="1">
        <f t="array" ref="Y54">IF(Y$6="","",_xlfn.LET(_xlpm.p,Y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54" s="3" cm="1">
        <f t="array" ref="Z54">IF(Z$6="","",_xlfn.LET(_xlpm.p,Z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54" s="3" cm="1">
        <f t="array" ref="AA54">IF(AA$6="","",_xlfn.LET(_xlpm.p,AA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54" s="3" cm="1">
        <f t="array" ref="AB54">IF(AB$6="","",_xlfn.LET(_xlpm.p,AB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54" s="3" cm="1">
        <f t="array" ref="AC54">IF(AC$6="","",_xlfn.LET(_xlpm.p,AC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54" s="3" cm="1">
        <f t="array" ref="AD54">IF(AD$6="","",_xlfn.LET(_xlpm.p,AD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54" s="3" cm="1">
        <f t="array" ref="AE54">IF(AE$6="","",_xlfn.LET(_xlpm.p,AE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54" s="3" cm="1">
        <f t="array" ref="AF54">IF(AF$6="","",_xlfn.LET(_xlpm.p,AF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54" s="3" cm="1">
        <f t="array" ref="AG54">IF(AG$6="","",_xlfn.LET(_xlpm.p,AG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54" s="3" cm="1">
        <f t="array" ref="AH54">IF(AH$6="","",_xlfn.LET(_xlpm.p,AH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54" s="3" cm="1">
        <f t="array" ref="AI54">IF(AI$6="","",_xlfn.LET(_xlpm.p,AI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54" s="3" cm="1">
        <f t="array" ref="AJ54">IF(AJ$6="","",_xlfn.LET(_xlpm.p,AJ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54" s="3" cm="1">
        <f t="array" ref="AK54">IF(AK$6="","",_xlfn.LET(_xlpm.p,AK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54" s="3" cm="1">
        <f t="array" ref="AL54">IF(AL$6="","",_xlfn.LET(_xlpm.p,AL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54" s="3" cm="1">
        <f t="array" ref="AM54">IF(AM$6="","",_xlfn.LET(_xlpm.p,AM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54" s="3" cm="1">
        <f t="array" ref="AN54">IF(AN$6="","",_xlfn.LET(_xlpm.p,AN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54" s="3" cm="1">
        <f t="array" ref="AO54">IF(AO$6="","",_xlfn.LET(_xlpm.p,AO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54" s="3" cm="1">
        <f t="array" ref="AP54">IF(AP$6="","",_xlfn.LET(_xlpm.p,AP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54" s="3" cm="1">
        <f t="array" ref="AQ54">IF(AQ$6="","",_xlfn.LET(_xlpm.p,AQ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54" s="3" cm="1">
        <f t="array" ref="AR54">IF(AR$6="","",_xlfn.LET(_xlpm.p,AR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54" s="3" cm="1">
        <f t="array" ref="AS54">IF(AS$6="","",_xlfn.LET(_xlpm.p,AS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54" s="3" cm="1">
        <f t="array" ref="AT54">IF(AT$6="","",_xlfn.LET(_xlpm.p,AT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54" s="3" cm="1">
        <f t="array" ref="AU54">IF(AU$6="","",_xlfn.LET(_xlpm.p,AU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54" s="3" cm="1">
        <f t="array" ref="AV54">IF(AV$6="","",_xlfn.LET(_xlpm.p,AV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54" s="3" cm="1">
        <f t="array" ref="AW54">IF(AW$6="","",_xlfn.LET(_xlpm.p,AW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54" s="3" cm="1">
        <f t="array" ref="AX54">IF(AX$6="","",_xlfn.LET(_xlpm.p,AX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54" s="3" cm="1">
        <f t="array" ref="AY54">IF(AY$6="","",_xlfn.LET(_xlpm.p,AY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54" s="3" cm="1">
        <f t="array" ref="AZ54">IF(AZ$6="","",_xlfn.LET(_xlpm.p,AZ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54" s="3" cm="1">
        <f t="array" ref="BA54">IF(BA$6="","",_xlfn.LET(_xlpm.p,BA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54" s="3" cm="1">
        <f t="array" ref="BB54">IF(BB$6="","",_xlfn.LET(_xlpm.p,BB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54" s="3" cm="1">
        <f t="array" ref="BC54">IF(BC$6="","",_xlfn.LET(_xlpm.p,BC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54" s="3" cm="1">
        <f t="array" ref="BD54">IF(BD$6="","",_xlfn.LET(_xlpm.p,BD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54" s="3" cm="1">
        <f t="array" ref="BE54">IF(BE$6="","",_xlfn.LET(_xlpm.p,BE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54" s="3" cm="1">
        <f t="array" ref="BF54">IF(BF$6="","",_xlfn.LET(_xlpm.p,BF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54" s="3" cm="1">
        <f t="array" ref="BG54">IF(BG$6="","",_xlfn.LET(_xlpm.p,BG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54" s="3" cm="1">
        <f t="array" ref="BH54">IF(BH$6="","",_xlfn.LET(_xlpm.p,BH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54" s="3" cm="1">
        <f t="array" ref="BI54">IF(BI$6="","",_xlfn.LET(_xlpm.p,BI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54" s="3" cm="1">
        <f t="array" ref="BJ54">IF(BJ$6="","",_xlfn.LET(_xlpm.p,BJ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54" s="3" cm="1">
        <f t="array" ref="BK54">IF(BK$6="","",_xlfn.LET(_xlpm.p,BK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54" s="3" cm="1">
        <f t="array" ref="BL54">IF(BL$6="","",_xlfn.LET(_xlpm.p,BL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54" s="3" cm="1">
        <f t="array" ref="BM54">IF(BM$6="","",_xlfn.LET(_xlpm.p,BM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54" s="3" cm="1">
        <f t="array" ref="BN54">IF(BN$6="","",_xlfn.LET(_xlpm.p,BN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54" s="3" cm="1">
        <f t="array" ref="BO54">IF(BO$6="","",_xlfn.LET(_xlpm.p,BO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54" s="3" cm="1">
        <f t="array" ref="BP54">IF(BP$6="","",_xlfn.LET(_xlpm.p,BP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54" s="3" cm="1">
        <f t="array" ref="BQ54">IF(BQ$6="","",_xlfn.LET(_xlpm.p,BQ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54" s="3" cm="1">
        <f t="array" ref="BR54">IF(BR$6="","",_xlfn.LET(_xlpm.p,BR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54" s="3" cm="1">
        <f t="array" ref="BS54">IF(BS$6="","",_xlfn.LET(_xlpm.p,BS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54" s="3" cm="1">
        <f t="array" ref="BT54">IF(BT$6="","",_xlfn.LET(_xlpm.p,BT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54" s="3" cm="1">
        <f t="array" ref="BU54">IF(BU$6="","",_xlfn.LET(_xlpm.p,BU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54" s="3" cm="1">
        <f t="array" ref="BV54">IF(BV$6="","",_xlfn.LET(_xlpm.p,BV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54" s="3" cm="1">
        <f t="array" ref="BW54">IF(BW$6="","",_xlfn.LET(_xlpm.p,BW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54" s="3" cm="1">
        <f t="array" ref="BX54">IF(BX$6="","",_xlfn.LET(_xlpm.p,BX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54" s="3" cm="1">
        <f t="array" ref="BY54">IF(BY$6="","",_xlfn.LET(_xlpm.p,BY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54" s="3" cm="1">
        <f t="array" ref="BZ54">IF(BZ$6="","",_xlfn.LET(_xlpm.p,BZ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54" s="3" cm="1">
        <f t="array" ref="CA54">IF(CA$6="","",_xlfn.LET(_xlpm.p,CA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54" s="3" cm="1">
        <f t="array" ref="CB54">IF(CB$6="","",_xlfn.LET(_xlpm.p,CB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54" s="3" cm="1">
        <f t="array" ref="CC54">IF(CC$6="","",_xlfn.LET(_xlpm.p,CC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54" s="3" cm="1">
        <f t="array" ref="CD54">IF(CD$6="","",_xlfn.LET(_xlpm.p,CD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54" s="3" cm="1">
        <f t="array" ref="CE54">IF(CE$6="","",_xlfn.LET(_xlpm.p,CE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54" s="3" cm="1">
        <f t="array" ref="CF54">IF(CF$6="","",_xlfn.LET(_xlpm.p,CF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54" s="3" cm="1">
        <f t="array" ref="CG54">IF(CG$6="","",_xlfn.LET(_xlpm.p,CG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H54" s="3" t="str" cm="1">
        <f t="array" ref="CH54">IF(CH$6="","",_xlfn.LET(_xlpm.p,CH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54" s="3" t="str" cm="1">
        <f t="array" ref="CI54">IF(CI$6="","",_xlfn.LET(_xlpm.p,CI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54" s="3" t="str" cm="1">
        <f t="array" ref="CJ54">IF(CJ$6="","",_xlfn.LET(_xlpm.p,CJ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K54" s="3" t="str" cm="1">
        <f t="array" ref="CK54">IF(CK$6="","",_xlfn.LET(_xlpm.p,CK$6,_xlpm.i,MATCH($L54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5" spans="12:89" x14ac:dyDescent="0.2">
      <c r="L55">
        <f t="shared" si="38"/>
        <v>10</v>
      </c>
      <c r="M55" s="3" cm="1">
        <f t="array" ref="M55">IF(M$6="","",_xlfn.LET(_xlpm.p,M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55" s="3" cm="1">
        <f t="array" ref="N55">IF(N$6="","",_xlfn.LET(_xlpm.p,N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55" s="3" cm="1">
        <f t="array" ref="O55">IF(O$6="","",_xlfn.LET(_xlpm.p,O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55" s="3" cm="1">
        <f t="array" ref="P55">IF(P$6="","",_xlfn.LET(_xlpm.p,P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55" s="3" cm="1">
        <f t="array" ref="Q55">IF(Q$6="","",_xlfn.LET(_xlpm.p,Q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55" s="3" cm="1">
        <f t="array" ref="R55">IF(R$6="","",_xlfn.LET(_xlpm.p,R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55" s="3" cm="1">
        <f t="array" ref="S55">IF(S$6="","",_xlfn.LET(_xlpm.p,S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55" s="3" cm="1">
        <f t="array" ref="T55">IF(T$6="","",_xlfn.LET(_xlpm.p,T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55" s="3" cm="1">
        <f t="array" ref="U55">IF(U$6="","",_xlfn.LET(_xlpm.p,U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55" s="3" cm="1">
        <f t="array" ref="V55">IF(V$6="","",_xlfn.LET(_xlpm.p,V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55" s="3" cm="1">
        <f t="array" ref="W55">IF(W$6="","",_xlfn.LET(_xlpm.p,W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55" s="3" cm="1">
        <f t="array" ref="X55">IF(X$6="","",_xlfn.LET(_xlpm.p,X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55" s="3" cm="1">
        <f t="array" ref="Y55">IF(Y$6="","",_xlfn.LET(_xlpm.p,Y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55" s="3" cm="1">
        <f t="array" ref="Z55">IF(Z$6="","",_xlfn.LET(_xlpm.p,Z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55" s="3" cm="1">
        <f t="array" ref="AA55">IF(AA$6="","",_xlfn.LET(_xlpm.p,AA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55" s="3" cm="1">
        <f t="array" ref="AB55">IF(AB$6="","",_xlfn.LET(_xlpm.p,AB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55" s="3" cm="1">
        <f t="array" ref="AC55">IF(AC$6="","",_xlfn.LET(_xlpm.p,AC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55" s="3" cm="1">
        <f t="array" ref="AD55">IF(AD$6="","",_xlfn.LET(_xlpm.p,AD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55" s="3" cm="1">
        <f t="array" ref="AE55">IF(AE$6="","",_xlfn.LET(_xlpm.p,AE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55" s="3" cm="1">
        <f t="array" ref="AF55">IF(AF$6="","",_xlfn.LET(_xlpm.p,AF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55" s="3" cm="1">
        <f t="array" ref="AG55">IF(AG$6="","",_xlfn.LET(_xlpm.p,AG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55" s="3" cm="1">
        <f t="array" ref="AH55">IF(AH$6="","",_xlfn.LET(_xlpm.p,AH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55" s="3" cm="1">
        <f t="array" ref="AI55">IF(AI$6="","",_xlfn.LET(_xlpm.p,AI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55" s="3" cm="1">
        <f t="array" ref="AJ55">IF(AJ$6="","",_xlfn.LET(_xlpm.p,AJ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55" s="3" cm="1">
        <f t="array" ref="AK55">IF(AK$6="","",_xlfn.LET(_xlpm.p,AK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55" s="3" cm="1">
        <f t="array" ref="AL55">IF(AL$6="","",_xlfn.LET(_xlpm.p,AL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55" s="3" cm="1">
        <f t="array" ref="AM55">IF(AM$6="","",_xlfn.LET(_xlpm.p,AM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55" s="3" cm="1">
        <f t="array" ref="AN55">IF(AN$6="","",_xlfn.LET(_xlpm.p,AN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55" s="3" cm="1">
        <f t="array" ref="AO55">IF(AO$6="","",_xlfn.LET(_xlpm.p,AO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55" s="3" cm="1">
        <f t="array" ref="AP55">IF(AP$6="","",_xlfn.LET(_xlpm.p,AP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55" s="3" cm="1">
        <f t="array" ref="AQ55">IF(AQ$6="","",_xlfn.LET(_xlpm.p,AQ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55" s="3" cm="1">
        <f t="array" ref="AR55">IF(AR$6="","",_xlfn.LET(_xlpm.p,AR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55" s="3" cm="1">
        <f t="array" ref="AS55">IF(AS$6="","",_xlfn.LET(_xlpm.p,AS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55" s="3" cm="1">
        <f t="array" ref="AT55">IF(AT$6="","",_xlfn.LET(_xlpm.p,AT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55" s="3" cm="1">
        <f t="array" ref="AU55">IF(AU$6="","",_xlfn.LET(_xlpm.p,AU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55" s="3" cm="1">
        <f t="array" ref="AV55">IF(AV$6="","",_xlfn.LET(_xlpm.p,AV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55" s="3" cm="1">
        <f t="array" ref="AW55">IF(AW$6="","",_xlfn.LET(_xlpm.p,AW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55" s="3" cm="1">
        <f t="array" ref="AX55">IF(AX$6="","",_xlfn.LET(_xlpm.p,AX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55" s="3" cm="1">
        <f t="array" ref="AY55">IF(AY$6="","",_xlfn.LET(_xlpm.p,AY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55" s="3" cm="1">
        <f t="array" ref="AZ55">IF(AZ$6="","",_xlfn.LET(_xlpm.p,AZ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55" s="3" cm="1">
        <f t="array" ref="BA55">IF(BA$6="","",_xlfn.LET(_xlpm.p,BA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55" s="3" cm="1">
        <f t="array" ref="BB55">IF(BB$6="","",_xlfn.LET(_xlpm.p,BB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55" s="3" cm="1">
        <f t="array" ref="BC55">IF(BC$6="","",_xlfn.LET(_xlpm.p,BC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55" s="3" cm="1">
        <f t="array" ref="BD55">IF(BD$6="","",_xlfn.LET(_xlpm.p,BD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55" s="3" cm="1">
        <f t="array" ref="BE55">IF(BE$6="","",_xlfn.LET(_xlpm.p,BE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55" s="3" cm="1">
        <f t="array" ref="BF55">IF(BF$6="","",_xlfn.LET(_xlpm.p,BF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55" s="3" cm="1">
        <f t="array" ref="BG55">IF(BG$6="","",_xlfn.LET(_xlpm.p,BG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55" s="3" cm="1">
        <f t="array" ref="BH55">IF(BH$6="","",_xlfn.LET(_xlpm.p,BH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55" s="3" cm="1">
        <f t="array" ref="BI55">IF(BI$6="","",_xlfn.LET(_xlpm.p,BI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55" s="3" cm="1">
        <f t="array" ref="BJ55">IF(BJ$6="","",_xlfn.LET(_xlpm.p,BJ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55" s="3" cm="1">
        <f t="array" ref="BK55">IF(BK$6="","",_xlfn.LET(_xlpm.p,BK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55" s="3" cm="1">
        <f t="array" ref="BL55">IF(BL$6="","",_xlfn.LET(_xlpm.p,BL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55" s="3" cm="1">
        <f t="array" ref="BM55">IF(BM$6="","",_xlfn.LET(_xlpm.p,BM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55" s="3" cm="1">
        <f t="array" ref="BN55">IF(BN$6="","",_xlfn.LET(_xlpm.p,BN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55" s="3" cm="1">
        <f t="array" ref="BO55">IF(BO$6="","",_xlfn.LET(_xlpm.p,BO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55" s="3" cm="1">
        <f t="array" ref="BP55">IF(BP$6="","",_xlfn.LET(_xlpm.p,BP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55" s="3" cm="1">
        <f t="array" ref="BQ55">IF(BQ$6="","",_xlfn.LET(_xlpm.p,BQ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55" s="3" cm="1">
        <f t="array" ref="BR55">IF(BR$6="","",_xlfn.LET(_xlpm.p,BR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55" s="3" cm="1">
        <f t="array" ref="BS55">IF(BS$6="","",_xlfn.LET(_xlpm.p,BS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55" s="3" cm="1">
        <f t="array" ref="BT55">IF(BT$6="","",_xlfn.LET(_xlpm.p,BT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55" s="3" cm="1">
        <f t="array" ref="BU55">IF(BU$6="","",_xlfn.LET(_xlpm.p,BU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55" s="3" cm="1">
        <f t="array" ref="BV55">IF(BV$6="","",_xlfn.LET(_xlpm.p,BV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55" s="3" cm="1">
        <f t="array" ref="BW55">IF(BW$6="","",_xlfn.LET(_xlpm.p,BW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55" s="3" cm="1">
        <f t="array" ref="BX55">IF(BX$6="","",_xlfn.LET(_xlpm.p,BX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55" s="3" cm="1">
        <f t="array" ref="BY55">IF(BY$6="","",_xlfn.LET(_xlpm.p,BY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55" s="3" cm="1">
        <f t="array" ref="BZ55">IF(BZ$6="","",_xlfn.LET(_xlpm.p,BZ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55" s="3" cm="1">
        <f t="array" ref="CA55">IF(CA$6="","",_xlfn.LET(_xlpm.p,CA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55" s="3" cm="1">
        <f t="array" ref="CB55">IF(CB$6="","",_xlfn.LET(_xlpm.p,CB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55" s="3" cm="1">
        <f t="array" ref="CC55">IF(CC$6="","",_xlfn.LET(_xlpm.p,CC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55" s="3" cm="1">
        <f t="array" ref="CD55">IF(CD$6="","",_xlfn.LET(_xlpm.p,CD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55" s="3" cm="1">
        <f t="array" ref="CE55">IF(CE$6="","",_xlfn.LET(_xlpm.p,CE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55" s="3" cm="1">
        <f t="array" ref="CF55">IF(CF$6="","",_xlfn.LET(_xlpm.p,CF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55" s="3" cm="1">
        <f t="array" ref="CG55">IF(CG$6="","",_xlfn.LET(_xlpm.p,CG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H55" s="3" t="str" cm="1">
        <f t="array" ref="CH55">IF(CH$6="","",_xlfn.LET(_xlpm.p,CH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55" s="3" t="str" cm="1">
        <f t="array" ref="CI55">IF(CI$6="","",_xlfn.LET(_xlpm.p,CI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55" s="3" t="str" cm="1">
        <f t="array" ref="CJ55">IF(CJ$6="","",_xlfn.LET(_xlpm.p,CJ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K55" s="3" t="str" cm="1">
        <f t="array" ref="CK55">IF(CK$6="","",_xlfn.LET(_xlpm.p,CK$6,_xlpm.i,MATCH($L55,$B$12:$B$26,0),_xlpm.sf,INDEX($C$12:$C$26,_xlpm.i),_xlpm.curpsf,INDEX($D$12:$D$26,_xlpm.i),_xlpm.lend,INDEX($G$12:$G$26,_xlpm.i),_xlpm.renew,INDEX($H$12:$H$26,_xlpm.i),_xlpm.up,VALUE(SUBSTITUTE(LOWER(INDEX($I$12:$I$26,_xlpm.i)),"month","")),_xlpm.mr,$C$8,_xlpm.esc,$C$4,_xlpm.term,$C$7,_xlpm.renStart,IF(_xlpm.lend&gt;0,EOMONTH(_xlpm.lend,0)+1,0),_xlpm.newStart,IF(_xlpm.lend&gt;0,EDATE(_xlpm.renStart,_xlpm.up),EDATE($M$6,_xlpm.up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6" spans="12:89" x14ac:dyDescent="0.2">
      <c r="L56">
        <f t="shared" si="38"/>
        <v>11</v>
      </c>
      <c r="M56" s="3" cm="1">
        <f t="array" ref="M56">IF(M$6="","",_xlfn.LET(_xlpm.p,M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N56" s="3" cm="1">
        <f t="array" ref="N56">IF(N$6="","",_xlfn.LET(_xlpm.p,N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O56" s="3" cm="1">
        <f t="array" ref="O56">IF(O$6="","",_xlfn.LET(_xlpm.p,O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P56" s="3" cm="1">
        <f t="array" ref="P56">IF(P$6="","",_xlfn.LET(_xlpm.p,P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Q56" s="3" cm="1">
        <f t="array" ref="Q56">IF(Q$6="","",_xlfn.LET(_xlpm.p,Q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R56" s="3" cm="1">
        <f t="array" ref="R56">IF(R$6="","",_xlfn.LET(_xlpm.p,R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S56" s="3" cm="1">
        <f t="array" ref="S56">IF(S$6="","",_xlfn.LET(_xlpm.p,S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T56" s="3" cm="1">
        <f t="array" ref="T56">IF(T$6="","",_xlfn.LET(_xlpm.p,T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U56" s="3" cm="1">
        <f t="array" ref="U56">IF(U$6="","",_xlfn.LET(_xlpm.p,U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V56" s="3" cm="1">
        <f t="array" ref="V56">IF(V$6="","",_xlfn.LET(_xlpm.p,V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W56" s="3" cm="1">
        <f t="array" ref="W56">IF(W$6="","",_xlfn.LET(_xlpm.p,W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-25018.771591044009</v>
      </c>
      <c r="X56" s="3" cm="1">
        <f t="array" ref="X56">IF(X$6="","",_xlfn.LET(_xlpm.p,X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Y56" s="3" cm="1">
        <f t="array" ref="Y56">IF(Y$6="","",_xlfn.LET(_xlpm.p,Y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Z56" s="3" cm="1">
        <f t="array" ref="Z56">IF(Z$6="","",_xlfn.LET(_xlpm.p,Z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A56" s="3" cm="1">
        <f t="array" ref="AA56">IF(AA$6="","",_xlfn.LET(_xlpm.p,AA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B56" s="3" cm="1">
        <f t="array" ref="AB56">IF(AB$6="","",_xlfn.LET(_xlpm.p,AB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C56" s="3" cm="1">
        <f t="array" ref="AC56">IF(AC$6="","",_xlfn.LET(_xlpm.p,AC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D56" s="3" cm="1">
        <f t="array" ref="AD56">IF(AD$6="","",_xlfn.LET(_xlpm.p,AD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E56" s="3" cm="1">
        <f t="array" ref="AE56">IF(AE$6="","",_xlfn.LET(_xlpm.p,AE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F56" s="3" cm="1">
        <f t="array" ref="AF56">IF(AF$6="","",_xlfn.LET(_xlpm.p,AF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G56" s="3" cm="1">
        <f t="array" ref="AG56">IF(AG$6="","",_xlfn.LET(_xlpm.p,AG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H56" s="3" cm="1">
        <f t="array" ref="AH56">IF(AH$6="","",_xlfn.LET(_xlpm.p,AH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I56" s="3" cm="1">
        <f t="array" ref="AI56">IF(AI$6="","",_xlfn.LET(_xlpm.p,AI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J56" s="3" cm="1">
        <f t="array" ref="AJ56">IF(AJ$6="","",_xlfn.LET(_xlpm.p,AJ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K56" s="3" cm="1">
        <f t="array" ref="AK56">IF(AK$6="","",_xlfn.LET(_xlpm.p,AK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L56" s="3" cm="1">
        <f t="array" ref="AL56">IF(AL$6="","",_xlfn.LET(_xlpm.p,AL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M56" s="3" cm="1">
        <f t="array" ref="AM56">IF(AM$6="","",_xlfn.LET(_xlpm.p,AM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N56" s="3" cm="1">
        <f t="array" ref="AN56">IF(AN$6="","",_xlfn.LET(_xlpm.p,AN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O56" s="3" cm="1">
        <f t="array" ref="AO56">IF(AO$6="","",_xlfn.LET(_xlpm.p,AO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P56" s="3" cm="1">
        <f t="array" ref="AP56">IF(AP$6="","",_xlfn.LET(_xlpm.p,AP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Q56" s="3" cm="1">
        <f t="array" ref="AQ56">IF(AQ$6="","",_xlfn.LET(_xlpm.p,AQ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R56" s="3" cm="1">
        <f t="array" ref="AR56">IF(AR$6="","",_xlfn.LET(_xlpm.p,AR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S56" s="3" cm="1">
        <f t="array" ref="AS56">IF(AS$6="","",_xlfn.LET(_xlpm.p,AS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T56" s="3" cm="1">
        <f t="array" ref="AT56">IF(AT$6="","",_xlfn.LET(_xlpm.p,AT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U56" s="3" cm="1">
        <f t="array" ref="AU56">IF(AU$6="","",_xlfn.LET(_xlpm.p,AU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V56" s="3" cm="1">
        <f t="array" ref="AV56">IF(AV$6="","",_xlfn.LET(_xlpm.p,AV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W56" s="3" cm="1">
        <f t="array" ref="AW56">IF(AW$6="","",_xlfn.LET(_xlpm.p,AW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X56" s="3" cm="1">
        <f t="array" ref="AX56">IF(AX$6="","",_xlfn.LET(_xlpm.p,AX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Y56" s="3" cm="1">
        <f t="array" ref="AY56">IF(AY$6="","",_xlfn.LET(_xlpm.p,AY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Z56" s="3" cm="1">
        <f t="array" ref="AZ56">IF(AZ$6="","",_xlfn.LET(_xlpm.p,AZ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A56" s="3" cm="1">
        <f t="array" ref="BA56">IF(BA$6="","",_xlfn.LET(_xlpm.p,BA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B56" s="3" cm="1">
        <f t="array" ref="BB56">IF(BB$6="","",_xlfn.LET(_xlpm.p,BB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C56" s="3" cm="1">
        <f t="array" ref="BC56">IF(BC$6="","",_xlfn.LET(_xlpm.p,BC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D56" s="3" cm="1">
        <f t="array" ref="BD56">IF(BD$6="","",_xlfn.LET(_xlpm.p,BD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E56" s="3" cm="1">
        <f t="array" ref="BE56">IF(BE$6="","",_xlfn.LET(_xlpm.p,BE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F56" s="3" cm="1">
        <f t="array" ref="BF56">IF(BF$6="","",_xlfn.LET(_xlpm.p,BF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G56" s="3" cm="1">
        <f t="array" ref="BG56">IF(BG$6="","",_xlfn.LET(_xlpm.p,BG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H56" s="3" cm="1">
        <f t="array" ref="BH56">IF(BH$6="","",_xlfn.LET(_xlpm.p,BH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I56" s="3" cm="1">
        <f t="array" ref="BI56">IF(BI$6="","",_xlfn.LET(_xlpm.p,BI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J56" s="3" cm="1">
        <f t="array" ref="BJ56">IF(BJ$6="","",_xlfn.LET(_xlpm.p,BJ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K56" s="3" cm="1">
        <f t="array" ref="BK56">IF(BK$6="","",_xlfn.LET(_xlpm.p,BK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L56" s="3" cm="1">
        <f t="array" ref="BL56">IF(BL$6="","",_xlfn.LET(_xlpm.p,BL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M56" s="3" cm="1">
        <f t="array" ref="BM56">IF(BM$6="","",_xlfn.LET(_xlpm.p,BM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N56" s="3" cm="1">
        <f t="array" ref="BN56">IF(BN$6="","",_xlfn.LET(_xlpm.p,BN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O56" s="3" cm="1">
        <f t="array" ref="BO56">IF(BO$6="","",_xlfn.LET(_xlpm.p,BO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P56" s="3" cm="1">
        <f t="array" ref="BP56">IF(BP$6="","",_xlfn.LET(_xlpm.p,BP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Q56" s="3" cm="1">
        <f t="array" ref="BQ56">IF(BQ$6="","",_xlfn.LET(_xlpm.p,BQ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R56" s="3" cm="1">
        <f t="array" ref="BR56">IF(BR$6="","",_xlfn.LET(_xlpm.p,BR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S56" s="3" cm="1">
        <f t="array" ref="BS56">IF(BS$6="","",_xlfn.LET(_xlpm.p,BS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T56" s="3" cm="1">
        <f t="array" ref="BT56">IF(BT$6="","",_xlfn.LET(_xlpm.p,BT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U56" s="3" cm="1">
        <f t="array" ref="BU56">IF(BU$6="","",_xlfn.LET(_xlpm.p,BU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V56" s="3" cm="1">
        <f t="array" ref="BV56">IF(BV$6="","",_xlfn.LET(_xlpm.p,BV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W56" s="3" cm="1">
        <f t="array" ref="BW56">IF(BW$6="","",_xlfn.LET(_xlpm.p,BW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X56" s="3" cm="1">
        <f t="array" ref="BX56">IF(BX$6="","",_xlfn.LET(_xlpm.p,BX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Y56" s="3" cm="1">
        <f t="array" ref="BY56">IF(BY$6="","",_xlfn.LET(_xlpm.p,BY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Z56" s="3" cm="1">
        <f t="array" ref="BZ56">IF(BZ$6="","",_xlfn.LET(_xlpm.p,BZ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A56" s="3" cm="1">
        <f t="array" ref="CA56">IF(CA$6="","",_xlfn.LET(_xlpm.p,CA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B56" s="3" cm="1">
        <f t="array" ref="CB56">IF(CB$6="","",_xlfn.LET(_xlpm.p,CB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C56" s="3" cm="1">
        <f t="array" ref="CC56">IF(CC$6="","",_xlfn.LET(_xlpm.p,CC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D56" s="3" cm="1">
        <f t="array" ref="CD56">IF(CD$6="","",_xlfn.LET(_xlpm.p,CD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E56" s="3" cm="1">
        <f t="array" ref="CE56">IF(CE$6="","",_xlfn.LET(_xlpm.p,CE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F56" s="3" cm="1">
        <f t="array" ref="CF56">IF(CF$6="","",_xlfn.LET(_xlpm.p,CF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G56" s="3" cm="1">
        <f t="array" ref="CG56">IF(CG$6="","",_xlfn.LET(_xlpm.p,CG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H56" s="3" t="str" cm="1">
        <f t="array" ref="CH56">IF(CH$6="","",_xlfn.LET(_xlpm.p,CH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  <c r="CI56" s="3" t="str" cm="1">
        <f t="array" ref="CI56">IF(CI$6="","",_xlfn.LET(_xlpm.p,CI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  <c r="CJ56" s="3" t="str" cm="1">
        <f t="array" ref="CJ56">IF(CJ$6="","",_xlfn.LET(_xlpm.p,CJ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  <c r="CK56" s="3" t="str" cm="1">
        <f t="array" ref="CK56">IF(CK$6="","",_xlfn.LET(_xlpm.p,CK$6,_xlpm.i,MATCH($L56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</row>
    <row r="57" spans="12:89" x14ac:dyDescent="0.2">
      <c r="L57">
        <f t="shared" si="38"/>
        <v>12</v>
      </c>
      <c r="M57" s="3" cm="1">
        <f t="array" ref="M57">IF(M$6="","",_xlfn.LET(_xlpm.p,M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N57" s="3" cm="1">
        <f t="array" ref="N57">IF(N$6="","",_xlfn.LET(_xlpm.p,N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O57" s="3" cm="1">
        <f t="array" ref="O57">IF(O$6="","",_xlfn.LET(_xlpm.p,O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P57" s="3" cm="1">
        <f t="array" ref="P57">IF(P$6="","",_xlfn.LET(_xlpm.p,P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Q57" s="3" cm="1">
        <f t="array" ref="Q57">IF(Q$6="","",_xlfn.LET(_xlpm.p,Q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R57" s="3" cm="1">
        <f t="array" ref="R57">IF(R$6="","",_xlfn.LET(_xlpm.p,R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S57" s="3" cm="1">
        <f t="array" ref="S57">IF(S$6="","",_xlfn.LET(_xlpm.p,S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T57" s="3" cm="1">
        <f t="array" ref="T57">IF(T$6="","",_xlfn.LET(_xlpm.p,T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U57" s="3" cm="1">
        <f t="array" ref="U57">IF(U$6="","",_xlfn.LET(_xlpm.p,U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V57" s="3" cm="1">
        <f t="array" ref="V57">IF(V$6="","",_xlfn.LET(_xlpm.p,V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W57" s="3" cm="1">
        <f t="array" ref="W57">IF(W$6="","",_xlfn.LET(_xlpm.p,W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X57" s="3" cm="1">
        <f t="array" ref="X57">IF(X$6="","",_xlfn.LET(_xlpm.p,X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Y57" s="3" cm="1">
        <f t="array" ref="Y57">IF(Y$6="","",_xlfn.LET(_xlpm.p,Y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-37528.15738656601</v>
      </c>
      <c r="Z57" s="3" cm="1">
        <f t="array" ref="Z57">IF(Z$6="","",_xlfn.LET(_xlpm.p,Z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A57" s="3" cm="1">
        <f t="array" ref="AA57">IF(AA$6="","",_xlfn.LET(_xlpm.p,AA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B57" s="3" cm="1">
        <f t="array" ref="AB57">IF(AB$6="","",_xlfn.LET(_xlpm.p,AB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C57" s="3" cm="1">
        <f t="array" ref="AC57">IF(AC$6="","",_xlfn.LET(_xlpm.p,AC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D57" s="3" cm="1">
        <f t="array" ref="AD57">IF(AD$6="","",_xlfn.LET(_xlpm.p,AD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E57" s="3" cm="1">
        <f t="array" ref="AE57">IF(AE$6="","",_xlfn.LET(_xlpm.p,AE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F57" s="3" cm="1">
        <f t="array" ref="AF57">IF(AF$6="","",_xlfn.LET(_xlpm.p,AF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G57" s="3" cm="1">
        <f t="array" ref="AG57">IF(AG$6="","",_xlfn.LET(_xlpm.p,AG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H57" s="3" cm="1">
        <f t="array" ref="AH57">IF(AH$6="","",_xlfn.LET(_xlpm.p,AH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I57" s="3" cm="1">
        <f t="array" ref="AI57">IF(AI$6="","",_xlfn.LET(_xlpm.p,AI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J57" s="3" cm="1">
        <f t="array" ref="AJ57">IF(AJ$6="","",_xlfn.LET(_xlpm.p,AJ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K57" s="3" cm="1">
        <f t="array" ref="AK57">IF(AK$6="","",_xlfn.LET(_xlpm.p,AK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L57" s="3" cm="1">
        <f t="array" ref="AL57">IF(AL$6="","",_xlfn.LET(_xlpm.p,AL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M57" s="3" cm="1">
        <f t="array" ref="AM57">IF(AM$6="","",_xlfn.LET(_xlpm.p,AM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N57" s="3" cm="1">
        <f t="array" ref="AN57">IF(AN$6="","",_xlfn.LET(_xlpm.p,AN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O57" s="3" cm="1">
        <f t="array" ref="AO57">IF(AO$6="","",_xlfn.LET(_xlpm.p,AO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P57" s="3" cm="1">
        <f t="array" ref="AP57">IF(AP$6="","",_xlfn.LET(_xlpm.p,AP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Q57" s="3" cm="1">
        <f t="array" ref="AQ57">IF(AQ$6="","",_xlfn.LET(_xlpm.p,AQ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R57" s="3" cm="1">
        <f t="array" ref="AR57">IF(AR$6="","",_xlfn.LET(_xlpm.p,AR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S57" s="3" cm="1">
        <f t="array" ref="AS57">IF(AS$6="","",_xlfn.LET(_xlpm.p,AS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T57" s="3" cm="1">
        <f t="array" ref="AT57">IF(AT$6="","",_xlfn.LET(_xlpm.p,AT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U57" s="3" cm="1">
        <f t="array" ref="AU57">IF(AU$6="","",_xlfn.LET(_xlpm.p,AU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V57" s="3" cm="1">
        <f t="array" ref="AV57">IF(AV$6="","",_xlfn.LET(_xlpm.p,AV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W57" s="3" cm="1">
        <f t="array" ref="AW57">IF(AW$6="","",_xlfn.LET(_xlpm.p,AW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X57" s="3" cm="1">
        <f t="array" ref="AX57">IF(AX$6="","",_xlfn.LET(_xlpm.p,AX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Y57" s="3" cm="1">
        <f t="array" ref="AY57">IF(AY$6="","",_xlfn.LET(_xlpm.p,AY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Z57" s="3" cm="1">
        <f t="array" ref="AZ57">IF(AZ$6="","",_xlfn.LET(_xlpm.p,AZ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A57" s="3" cm="1">
        <f t="array" ref="BA57">IF(BA$6="","",_xlfn.LET(_xlpm.p,BA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B57" s="3" cm="1">
        <f t="array" ref="BB57">IF(BB$6="","",_xlfn.LET(_xlpm.p,BB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C57" s="3" cm="1">
        <f t="array" ref="BC57">IF(BC$6="","",_xlfn.LET(_xlpm.p,BC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D57" s="3" cm="1">
        <f t="array" ref="BD57">IF(BD$6="","",_xlfn.LET(_xlpm.p,BD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E57" s="3" cm="1">
        <f t="array" ref="BE57">IF(BE$6="","",_xlfn.LET(_xlpm.p,BE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F57" s="3" cm="1">
        <f t="array" ref="BF57">IF(BF$6="","",_xlfn.LET(_xlpm.p,BF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G57" s="3" cm="1">
        <f t="array" ref="BG57">IF(BG$6="","",_xlfn.LET(_xlpm.p,BG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H57" s="3" cm="1">
        <f t="array" ref="BH57">IF(BH$6="","",_xlfn.LET(_xlpm.p,BH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I57" s="3" cm="1">
        <f t="array" ref="BI57">IF(BI$6="","",_xlfn.LET(_xlpm.p,BI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J57" s="3" cm="1">
        <f t="array" ref="BJ57">IF(BJ$6="","",_xlfn.LET(_xlpm.p,BJ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K57" s="3" cm="1">
        <f t="array" ref="BK57">IF(BK$6="","",_xlfn.LET(_xlpm.p,BK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L57" s="3" cm="1">
        <f t="array" ref="BL57">IF(BL$6="","",_xlfn.LET(_xlpm.p,BL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M57" s="3" cm="1">
        <f t="array" ref="BM57">IF(BM$6="","",_xlfn.LET(_xlpm.p,BM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N57" s="3" cm="1">
        <f t="array" ref="BN57">IF(BN$6="","",_xlfn.LET(_xlpm.p,BN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O57" s="3" cm="1">
        <f t="array" ref="BO57">IF(BO$6="","",_xlfn.LET(_xlpm.p,BO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P57" s="3" cm="1">
        <f t="array" ref="BP57">IF(BP$6="","",_xlfn.LET(_xlpm.p,BP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Q57" s="3" cm="1">
        <f t="array" ref="BQ57">IF(BQ$6="","",_xlfn.LET(_xlpm.p,BQ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R57" s="3" cm="1">
        <f t="array" ref="BR57">IF(BR$6="","",_xlfn.LET(_xlpm.p,BR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S57" s="3" cm="1">
        <f t="array" ref="BS57">IF(BS$6="","",_xlfn.LET(_xlpm.p,BS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T57" s="3" cm="1">
        <f t="array" ref="BT57">IF(BT$6="","",_xlfn.LET(_xlpm.p,BT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U57" s="3" cm="1">
        <f t="array" ref="BU57">IF(BU$6="","",_xlfn.LET(_xlpm.p,BU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V57" s="3" cm="1">
        <f t="array" ref="BV57">IF(BV$6="","",_xlfn.LET(_xlpm.p,BV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W57" s="3" cm="1">
        <f t="array" ref="BW57">IF(BW$6="","",_xlfn.LET(_xlpm.p,BW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X57" s="3" cm="1">
        <f t="array" ref="BX57">IF(BX$6="","",_xlfn.LET(_xlpm.p,BX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Y57" s="3" cm="1">
        <f t="array" ref="BY57">IF(BY$6="","",_xlfn.LET(_xlpm.p,BY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Z57" s="3" cm="1">
        <f t="array" ref="BZ57">IF(BZ$6="","",_xlfn.LET(_xlpm.p,BZ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A57" s="3" cm="1">
        <f t="array" ref="CA57">IF(CA$6="","",_xlfn.LET(_xlpm.p,CA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B57" s="3" cm="1">
        <f t="array" ref="CB57">IF(CB$6="","",_xlfn.LET(_xlpm.p,CB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C57" s="3" cm="1">
        <f t="array" ref="CC57">IF(CC$6="","",_xlfn.LET(_xlpm.p,CC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D57" s="3" cm="1">
        <f t="array" ref="CD57">IF(CD$6="","",_xlfn.LET(_xlpm.p,CD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E57" s="3" cm="1">
        <f t="array" ref="CE57">IF(CE$6="","",_xlfn.LET(_xlpm.p,CE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F57" s="3" cm="1">
        <f t="array" ref="CF57">IF(CF$6="","",_xlfn.LET(_xlpm.p,CF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G57" s="3" cm="1">
        <f t="array" ref="CG57">IF(CG$6="","",_xlfn.LET(_xlpm.p,CG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-25018.771591044009</v>
      </c>
      <c r="CH57" s="3" t="str" cm="1">
        <f t="array" ref="CH57">IF(CH$6="","",_xlfn.LET(_xlpm.p,CH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  <c r="CI57" s="3" t="str" cm="1">
        <f t="array" ref="CI57">IF(CI$6="","",_xlfn.LET(_xlpm.p,CI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  <c r="CJ57" s="3" t="str" cm="1">
        <f t="array" ref="CJ57">IF(CJ$6="","",_xlfn.LET(_xlpm.p,CJ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  <c r="CK57" s="3" t="str" cm="1">
        <f t="array" ref="CK57">IF(CK$6="","",_xlfn.LET(_xlpm.p,CK$6,_xlpm.i,MATCH($L57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</row>
    <row r="58" spans="12:89" x14ac:dyDescent="0.2">
      <c r="L58">
        <f t="shared" si="38"/>
        <v>13</v>
      </c>
      <c r="M58" s="3" cm="1">
        <f t="array" ref="M58">IF(M$6="","",_xlfn.LET(_xlpm.p,M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N58" s="3" cm="1">
        <f t="array" ref="N58">IF(N$6="","",_xlfn.LET(_xlpm.p,N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O58" s="3" cm="1">
        <f t="array" ref="O58">IF(O$6="","",_xlfn.LET(_xlpm.p,O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P58" s="3" cm="1">
        <f t="array" ref="P58">IF(P$6="","",_xlfn.LET(_xlpm.p,P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Q58" s="3" cm="1">
        <f t="array" ref="Q58">IF(Q$6="","",_xlfn.LET(_xlpm.p,Q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R58" s="3" cm="1">
        <f t="array" ref="R58">IF(R$6="","",_xlfn.LET(_xlpm.p,R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S58" s="3" cm="1">
        <f t="array" ref="S58">IF(S$6="","",_xlfn.LET(_xlpm.p,S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T58" s="3" cm="1">
        <f t="array" ref="T58">IF(T$6="","",_xlfn.LET(_xlpm.p,T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U58" s="3" cm="1">
        <f t="array" ref="U58">IF(U$6="","",_xlfn.LET(_xlpm.p,U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V58" s="3" cm="1">
        <f t="array" ref="V58">IF(V$6="","",_xlfn.LET(_xlpm.p,V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W58" s="3" cm="1">
        <f t="array" ref="W58">IF(W$6="","",_xlfn.LET(_xlpm.p,W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-11599.612283120403</v>
      </c>
      <c r="X58" s="3" cm="1">
        <f t="array" ref="X58">IF(X$6="","",_xlfn.LET(_xlpm.p,X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Y58" s="3" cm="1">
        <f t="array" ref="Y58">IF(Y$6="","",_xlfn.LET(_xlpm.p,Y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Z58" s="3" cm="1">
        <f t="array" ref="Z58">IF(Z$6="","",_xlfn.LET(_xlpm.p,Z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A58" s="3" cm="1">
        <f t="array" ref="AA58">IF(AA$6="","",_xlfn.LET(_xlpm.p,AA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B58" s="3" cm="1">
        <f t="array" ref="AB58">IF(AB$6="","",_xlfn.LET(_xlpm.p,AB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C58" s="3" cm="1">
        <f t="array" ref="AC58">IF(AC$6="","",_xlfn.LET(_xlpm.p,AC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D58" s="3" cm="1">
        <f t="array" ref="AD58">IF(AD$6="","",_xlfn.LET(_xlpm.p,AD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E58" s="3" cm="1">
        <f t="array" ref="AE58">IF(AE$6="","",_xlfn.LET(_xlpm.p,AE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F58" s="3" cm="1">
        <f t="array" ref="AF58">IF(AF$6="","",_xlfn.LET(_xlpm.p,AF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G58" s="3" cm="1">
        <f t="array" ref="AG58">IF(AG$6="","",_xlfn.LET(_xlpm.p,AG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H58" s="3" cm="1">
        <f t="array" ref="AH58">IF(AH$6="","",_xlfn.LET(_xlpm.p,AH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I58" s="3" cm="1">
        <f t="array" ref="AI58">IF(AI$6="","",_xlfn.LET(_xlpm.p,AI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J58" s="3" cm="1">
        <f t="array" ref="AJ58">IF(AJ$6="","",_xlfn.LET(_xlpm.p,AJ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K58" s="3" cm="1">
        <f t="array" ref="AK58">IF(AK$6="","",_xlfn.LET(_xlpm.p,AK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L58" s="3" cm="1">
        <f t="array" ref="AL58">IF(AL$6="","",_xlfn.LET(_xlpm.p,AL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M58" s="3" cm="1">
        <f t="array" ref="AM58">IF(AM$6="","",_xlfn.LET(_xlpm.p,AM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N58" s="3" cm="1">
        <f t="array" ref="AN58">IF(AN$6="","",_xlfn.LET(_xlpm.p,AN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O58" s="3" cm="1">
        <f t="array" ref="AO58">IF(AO$6="","",_xlfn.LET(_xlpm.p,AO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P58" s="3" cm="1">
        <f t="array" ref="AP58">IF(AP$6="","",_xlfn.LET(_xlpm.p,AP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Q58" s="3" cm="1">
        <f t="array" ref="AQ58">IF(AQ$6="","",_xlfn.LET(_xlpm.p,AQ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R58" s="3" cm="1">
        <f t="array" ref="AR58">IF(AR$6="","",_xlfn.LET(_xlpm.p,AR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S58" s="3" cm="1">
        <f t="array" ref="AS58">IF(AS$6="","",_xlfn.LET(_xlpm.p,AS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T58" s="3" cm="1">
        <f t="array" ref="AT58">IF(AT$6="","",_xlfn.LET(_xlpm.p,AT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U58" s="3" cm="1">
        <f t="array" ref="AU58">IF(AU$6="","",_xlfn.LET(_xlpm.p,AU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V58" s="3" cm="1">
        <f t="array" ref="AV58">IF(AV$6="","",_xlfn.LET(_xlpm.p,AV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W58" s="3" cm="1">
        <f t="array" ref="AW58">IF(AW$6="","",_xlfn.LET(_xlpm.p,AW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X58" s="3" cm="1">
        <f t="array" ref="AX58">IF(AX$6="","",_xlfn.LET(_xlpm.p,AX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Y58" s="3" cm="1">
        <f t="array" ref="AY58">IF(AY$6="","",_xlfn.LET(_xlpm.p,AY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Z58" s="3" cm="1">
        <f t="array" ref="AZ58">IF(AZ$6="","",_xlfn.LET(_xlpm.p,AZ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A58" s="3" cm="1">
        <f t="array" ref="BA58">IF(BA$6="","",_xlfn.LET(_xlpm.p,BA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B58" s="3" cm="1">
        <f t="array" ref="BB58">IF(BB$6="","",_xlfn.LET(_xlpm.p,BB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C58" s="3" cm="1">
        <f t="array" ref="BC58">IF(BC$6="","",_xlfn.LET(_xlpm.p,BC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D58" s="3" cm="1">
        <f t="array" ref="BD58">IF(BD$6="","",_xlfn.LET(_xlpm.p,BD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E58" s="3" cm="1">
        <f t="array" ref="BE58">IF(BE$6="","",_xlfn.LET(_xlpm.p,BE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F58" s="3" cm="1">
        <f t="array" ref="BF58">IF(BF$6="","",_xlfn.LET(_xlpm.p,BF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G58" s="3" cm="1">
        <f t="array" ref="BG58">IF(BG$6="","",_xlfn.LET(_xlpm.p,BG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H58" s="3" cm="1">
        <f t="array" ref="BH58">IF(BH$6="","",_xlfn.LET(_xlpm.p,BH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I58" s="3" cm="1">
        <f t="array" ref="BI58">IF(BI$6="","",_xlfn.LET(_xlpm.p,BI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J58" s="3" cm="1">
        <f t="array" ref="BJ58">IF(BJ$6="","",_xlfn.LET(_xlpm.p,BJ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K58" s="3" cm="1">
        <f t="array" ref="BK58">IF(BK$6="","",_xlfn.LET(_xlpm.p,BK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L58" s="3" cm="1">
        <f t="array" ref="BL58">IF(BL$6="","",_xlfn.LET(_xlpm.p,BL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M58" s="3" cm="1">
        <f t="array" ref="BM58">IF(BM$6="","",_xlfn.LET(_xlpm.p,BM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N58" s="3" cm="1">
        <f t="array" ref="BN58">IF(BN$6="","",_xlfn.LET(_xlpm.p,BN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O58" s="3" cm="1">
        <f t="array" ref="BO58">IF(BO$6="","",_xlfn.LET(_xlpm.p,BO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P58" s="3" cm="1">
        <f t="array" ref="BP58">IF(BP$6="","",_xlfn.LET(_xlpm.p,BP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Q58" s="3" cm="1">
        <f t="array" ref="BQ58">IF(BQ$6="","",_xlfn.LET(_xlpm.p,BQ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R58" s="3" cm="1">
        <f t="array" ref="BR58">IF(BR$6="","",_xlfn.LET(_xlpm.p,BR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S58" s="3" cm="1">
        <f t="array" ref="BS58">IF(BS$6="","",_xlfn.LET(_xlpm.p,BS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T58" s="3" cm="1">
        <f t="array" ref="BT58">IF(BT$6="","",_xlfn.LET(_xlpm.p,BT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U58" s="3" cm="1">
        <f t="array" ref="BU58">IF(BU$6="","",_xlfn.LET(_xlpm.p,BU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V58" s="3" cm="1">
        <f t="array" ref="BV58">IF(BV$6="","",_xlfn.LET(_xlpm.p,BV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W58" s="3" cm="1">
        <f t="array" ref="BW58">IF(BW$6="","",_xlfn.LET(_xlpm.p,BW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X58" s="3" cm="1">
        <f t="array" ref="BX58">IF(BX$6="","",_xlfn.LET(_xlpm.p,BX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Y58" s="3" cm="1">
        <f t="array" ref="BY58">IF(BY$6="","",_xlfn.LET(_xlpm.p,BY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Z58" s="3" cm="1">
        <f t="array" ref="BZ58">IF(BZ$6="","",_xlfn.LET(_xlpm.p,BZ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A58" s="3" cm="1">
        <f t="array" ref="CA58">IF(CA$6="","",_xlfn.LET(_xlpm.p,CA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B58" s="3" cm="1">
        <f t="array" ref="CB58">IF(CB$6="","",_xlfn.LET(_xlpm.p,CB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C58" s="3" cm="1">
        <f t="array" ref="CC58">IF(CC$6="","",_xlfn.LET(_xlpm.p,CC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D58" s="3" cm="1">
        <f t="array" ref="CD58">IF(CD$6="","",_xlfn.LET(_xlpm.p,CD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E58" s="3" cm="1">
        <f t="array" ref="CE58">IF(CE$6="","",_xlfn.LET(_xlpm.p,CE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-7733.0748554136026</v>
      </c>
      <c r="CF58" s="3" cm="1">
        <f t="array" ref="CF58">IF(CF$6="","",_xlfn.LET(_xlpm.p,CF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G58" s="3" cm="1">
        <f t="array" ref="CG58">IF(CG$6="","",_xlfn.LET(_xlpm.p,CG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H58" s="3" t="str" cm="1">
        <f t="array" ref="CH58">IF(CH$6="","",_xlfn.LET(_xlpm.p,CH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  <c r="CI58" s="3" t="str" cm="1">
        <f t="array" ref="CI58">IF(CI$6="","",_xlfn.LET(_xlpm.p,CI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  <c r="CJ58" s="3" t="str" cm="1">
        <f t="array" ref="CJ58">IF(CJ$6="","",_xlfn.LET(_xlpm.p,CJ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  <c r="CK58" s="3" t="str" cm="1">
        <f t="array" ref="CK58">IF(CK$6="","",_xlfn.LET(_xlpm.p,CK$6,_xlpm.i,MATCH($L58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</row>
    <row r="59" spans="12:89" x14ac:dyDescent="0.2">
      <c r="L59">
        <f t="shared" si="38"/>
        <v>14</v>
      </c>
      <c r="M59" s="3" cm="1">
        <f t="array" ref="M59">IF(M$6="","",_xlfn.LET(_xlpm.p,M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N59" s="3" cm="1">
        <f t="array" ref="N59">IF(N$6="","",_xlfn.LET(_xlpm.p,N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O59" s="3" cm="1">
        <f t="array" ref="O59">IF(O$6="","",_xlfn.LET(_xlpm.p,O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P59" s="3" cm="1">
        <f t="array" ref="P59">IF(P$6="","",_xlfn.LET(_xlpm.p,P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Q59" s="3" cm="1">
        <f t="array" ref="Q59">IF(Q$6="","",_xlfn.LET(_xlpm.p,Q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R59" s="3" cm="1">
        <f t="array" ref="R59">IF(R$6="","",_xlfn.LET(_xlpm.p,R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S59" s="3" cm="1">
        <f t="array" ref="S59">IF(S$6="","",_xlfn.LET(_xlpm.p,S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T59" s="3" cm="1">
        <f t="array" ref="T59">IF(T$6="","",_xlfn.LET(_xlpm.p,T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U59" s="3" cm="1">
        <f t="array" ref="U59">IF(U$6="","",_xlfn.LET(_xlpm.p,U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V59" s="3" cm="1">
        <f t="array" ref="V59">IF(V$6="","",_xlfn.LET(_xlpm.p,V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W59" s="3" cm="1">
        <f t="array" ref="W59">IF(W$6="","",_xlfn.LET(_xlpm.p,W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X59" s="3" cm="1">
        <f t="array" ref="X59">IF(X$6="","",_xlfn.LET(_xlpm.p,X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Y59" s="3" cm="1">
        <f t="array" ref="Y59">IF(Y$6="","",_xlfn.LET(_xlpm.p,Y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Z59" s="3" cm="1">
        <f t="array" ref="Z59">IF(Z$6="","",_xlfn.LET(_xlpm.p,Z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A59" s="3" cm="1">
        <f t="array" ref="AA59">IF(AA$6="","",_xlfn.LET(_xlpm.p,AA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B59" s="3" cm="1">
        <f t="array" ref="AB59">IF(AB$6="","",_xlfn.LET(_xlpm.p,AB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C59" s="3" cm="1">
        <f t="array" ref="AC59">IF(AC$6="","",_xlfn.LET(_xlpm.p,AC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D59" s="3" cm="1">
        <f t="array" ref="AD59">IF(AD$6="","",_xlfn.LET(_xlpm.p,AD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E59" s="3" cm="1">
        <f t="array" ref="AE59">IF(AE$6="","",_xlfn.LET(_xlpm.p,AE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F59" s="3" cm="1">
        <f t="array" ref="AF59">IF(AF$6="","",_xlfn.LET(_xlpm.p,AF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-120544.99039321205</v>
      </c>
      <c r="AG59" s="3" cm="1">
        <f t="array" ref="AG59">IF(AG$6="","",_xlfn.LET(_xlpm.p,AG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H59" s="3" cm="1">
        <f t="array" ref="AH59">IF(AH$6="","",_xlfn.LET(_xlpm.p,AH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I59" s="3" cm="1">
        <f t="array" ref="AI59">IF(AI$6="","",_xlfn.LET(_xlpm.p,AI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J59" s="3" cm="1">
        <f t="array" ref="AJ59">IF(AJ$6="","",_xlfn.LET(_xlpm.p,AJ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K59" s="3" cm="1">
        <f t="array" ref="AK59">IF(AK$6="","",_xlfn.LET(_xlpm.p,AK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L59" s="3" cm="1">
        <f t="array" ref="AL59">IF(AL$6="","",_xlfn.LET(_xlpm.p,AL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M59" s="3" cm="1">
        <f t="array" ref="AM59">IF(AM$6="","",_xlfn.LET(_xlpm.p,AM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N59" s="3" cm="1">
        <f t="array" ref="AN59">IF(AN$6="","",_xlfn.LET(_xlpm.p,AN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O59" s="3" cm="1">
        <f t="array" ref="AO59">IF(AO$6="","",_xlfn.LET(_xlpm.p,AO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P59" s="3" cm="1">
        <f t="array" ref="AP59">IF(AP$6="","",_xlfn.LET(_xlpm.p,AP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Q59" s="3" cm="1">
        <f t="array" ref="AQ59">IF(AQ$6="","",_xlfn.LET(_xlpm.p,AQ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R59" s="3" cm="1">
        <f t="array" ref="AR59">IF(AR$6="","",_xlfn.LET(_xlpm.p,AR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S59" s="3" cm="1">
        <f t="array" ref="AS59">IF(AS$6="","",_xlfn.LET(_xlpm.p,AS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T59" s="3" cm="1">
        <f t="array" ref="AT59">IF(AT$6="","",_xlfn.LET(_xlpm.p,AT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U59" s="3" cm="1">
        <f t="array" ref="AU59">IF(AU$6="","",_xlfn.LET(_xlpm.p,AU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V59" s="3" cm="1">
        <f t="array" ref="AV59">IF(AV$6="","",_xlfn.LET(_xlpm.p,AV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W59" s="3" cm="1">
        <f t="array" ref="AW59">IF(AW$6="","",_xlfn.LET(_xlpm.p,AW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X59" s="3" cm="1">
        <f t="array" ref="AX59">IF(AX$6="","",_xlfn.LET(_xlpm.p,AX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Y59" s="3" cm="1">
        <f t="array" ref="AY59">IF(AY$6="","",_xlfn.LET(_xlpm.p,AY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Z59" s="3" cm="1">
        <f t="array" ref="AZ59">IF(AZ$6="","",_xlfn.LET(_xlpm.p,AZ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A59" s="3" cm="1">
        <f t="array" ref="BA59">IF(BA$6="","",_xlfn.LET(_xlpm.p,BA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B59" s="3" cm="1">
        <f t="array" ref="BB59">IF(BB$6="","",_xlfn.LET(_xlpm.p,BB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C59" s="3" cm="1">
        <f t="array" ref="BC59">IF(BC$6="","",_xlfn.LET(_xlpm.p,BC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D59" s="3" cm="1">
        <f t="array" ref="BD59">IF(BD$6="","",_xlfn.LET(_xlpm.p,BD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E59" s="3" cm="1">
        <f t="array" ref="BE59">IF(BE$6="","",_xlfn.LET(_xlpm.p,BE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F59" s="3" cm="1">
        <f t="array" ref="BF59">IF(BF$6="","",_xlfn.LET(_xlpm.p,BF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G59" s="3" cm="1">
        <f t="array" ref="BG59">IF(BG$6="","",_xlfn.LET(_xlpm.p,BG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H59" s="3" cm="1">
        <f t="array" ref="BH59">IF(BH$6="","",_xlfn.LET(_xlpm.p,BH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I59" s="3" cm="1">
        <f t="array" ref="BI59">IF(BI$6="","",_xlfn.LET(_xlpm.p,BI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J59" s="3" cm="1">
        <f t="array" ref="BJ59">IF(BJ$6="","",_xlfn.LET(_xlpm.p,BJ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K59" s="3" cm="1">
        <f t="array" ref="BK59">IF(BK$6="","",_xlfn.LET(_xlpm.p,BK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L59" s="3" cm="1">
        <f t="array" ref="BL59">IF(BL$6="","",_xlfn.LET(_xlpm.p,BL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M59" s="3" cm="1">
        <f t="array" ref="BM59">IF(BM$6="","",_xlfn.LET(_xlpm.p,BM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N59" s="3" cm="1">
        <f t="array" ref="BN59">IF(BN$6="","",_xlfn.LET(_xlpm.p,BN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O59" s="3" cm="1">
        <f t="array" ref="BO59">IF(BO$6="","",_xlfn.LET(_xlpm.p,BO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P59" s="3" cm="1">
        <f t="array" ref="BP59">IF(BP$6="","",_xlfn.LET(_xlpm.p,BP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Q59" s="3" cm="1">
        <f t="array" ref="BQ59">IF(BQ$6="","",_xlfn.LET(_xlpm.p,BQ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R59" s="3" cm="1">
        <f t="array" ref="BR59">IF(BR$6="","",_xlfn.LET(_xlpm.p,BR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S59" s="3" cm="1">
        <f t="array" ref="BS59">IF(BS$6="","",_xlfn.LET(_xlpm.p,BS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T59" s="3" cm="1">
        <f t="array" ref="BT59">IF(BT$6="","",_xlfn.LET(_xlpm.p,BT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U59" s="3" cm="1">
        <f t="array" ref="BU59">IF(BU$6="","",_xlfn.LET(_xlpm.p,BU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V59" s="3" cm="1">
        <f t="array" ref="BV59">IF(BV$6="","",_xlfn.LET(_xlpm.p,BV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W59" s="3" cm="1">
        <f t="array" ref="BW59">IF(BW$6="","",_xlfn.LET(_xlpm.p,BW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X59" s="3" cm="1">
        <f t="array" ref="BX59">IF(BX$6="","",_xlfn.LET(_xlpm.p,BX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Y59" s="3" cm="1">
        <f t="array" ref="BY59">IF(BY$6="","",_xlfn.LET(_xlpm.p,BY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Z59" s="3" cm="1">
        <f t="array" ref="BZ59">IF(BZ$6="","",_xlfn.LET(_xlpm.p,BZ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A59" s="3" cm="1">
        <f t="array" ref="CA59">IF(CA$6="","",_xlfn.LET(_xlpm.p,CA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B59" s="3" cm="1">
        <f t="array" ref="CB59">IF(CB$6="","",_xlfn.LET(_xlpm.p,CB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C59" s="3" cm="1">
        <f t="array" ref="CC59">IF(CC$6="","",_xlfn.LET(_xlpm.p,CC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D59" s="3" cm="1">
        <f t="array" ref="CD59">IF(CD$6="","",_xlfn.LET(_xlpm.p,CD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E59" s="3" cm="1">
        <f t="array" ref="CE59">IF(CE$6="","",_xlfn.LET(_xlpm.p,CE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F59" s="3" cm="1">
        <f t="array" ref="CF59">IF(CF$6="","",_xlfn.LET(_xlpm.p,CF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G59" s="3" cm="1">
        <f t="array" ref="CG59">IF(CG$6="","",_xlfn.LET(_xlpm.p,CG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H59" s="3" t="str" cm="1">
        <f t="array" ref="CH59">IF(CH$6="","",_xlfn.LET(_xlpm.p,CH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  <c r="CI59" s="3" t="str" cm="1">
        <f t="array" ref="CI59">IF(CI$6="","",_xlfn.LET(_xlpm.p,CI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  <c r="CJ59" s="3" t="str" cm="1">
        <f t="array" ref="CJ59">IF(CJ$6="","",_xlfn.LET(_xlpm.p,CJ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  <c r="CK59" s="3" t="str" cm="1">
        <f t="array" ref="CK59">IF(CK$6="","",_xlfn.LET(_xlpm.p,CK$6,_xlpm.i,MATCH($L59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</row>
    <row r="60" spans="12:89" x14ac:dyDescent="0.2">
      <c r="L60">
        <f t="shared" si="38"/>
        <v>15</v>
      </c>
      <c r="M60" s="3" cm="1">
        <f t="array" ref="M60">IF(M$6="","",_xlfn.LET(_xlpm.p,M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N60" s="3" cm="1">
        <f t="array" ref="N60">IF(N$6="","",_xlfn.LET(_xlpm.p,N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O60" s="3" cm="1">
        <f t="array" ref="O60">IF(O$6="","",_xlfn.LET(_xlpm.p,O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P60" s="3" cm="1">
        <f t="array" ref="P60">IF(P$6="","",_xlfn.LET(_xlpm.p,P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Q60" s="3" cm="1">
        <f t="array" ref="Q60">IF(Q$6="","",_xlfn.LET(_xlpm.p,Q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R60" s="3" cm="1">
        <f t="array" ref="R60">IF(R$6="","",_xlfn.LET(_xlpm.p,R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S60" s="3" cm="1">
        <f t="array" ref="S60">IF(S$6="","",_xlfn.LET(_xlpm.p,S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T60" s="3" cm="1">
        <f t="array" ref="T60">IF(T$6="","",_xlfn.LET(_xlpm.p,T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U60" s="3" cm="1">
        <f t="array" ref="U60">IF(U$6="","",_xlfn.LET(_xlpm.p,U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V60" s="3" cm="1">
        <f t="array" ref="V60">IF(V$6="","",_xlfn.LET(_xlpm.p,V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W60" s="3" cm="1">
        <f t="array" ref="W60">IF(W$6="","",_xlfn.LET(_xlpm.p,W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X60" s="3" cm="1">
        <f t="array" ref="X60">IF(X$6="","",_xlfn.LET(_xlpm.p,X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Y60" s="3" cm="1">
        <f t="array" ref="Y60">IF(Y$6="","",_xlfn.LET(_xlpm.p,Y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Z60" s="3" cm="1">
        <f t="array" ref="Z60">IF(Z$6="","",_xlfn.LET(_xlpm.p,Z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A60" s="3" cm="1">
        <f t="array" ref="AA60">IF(AA$6="","",_xlfn.LET(_xlpm.p,AA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B60" s="3" cm="1">
        <f t="array" ref="AB60">IF(AB$6="","",_xlfn.LET(_xlpm.p,AB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C60" s="3" cm="1">
        <f t="array" ref="AC60">IF(AC$6="","",_xlfn.LET(_xlpm.p,AC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D60" s="3" cm="1">
        <f t="array" ref="AD60">IF(AD$6="","",_xlfn.LET(_xlpm.p,AD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E60" s="3" cm="1">
        <f t="array" ref="AE60">IF(AE$6="","",_xlfn.LET(_xlpm.p,AE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F60" s="3" cm="1">
        <f t="array" ref="AF60">IF(AF$6="","",_xlfn.LET(_xlpm.p,AF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G60" s="3" cm="1">
        <f t="array" ref="AG60">IF(AG$6="","",_xlfn.LET(_xlpm.p,AG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H60" s="3" cm="1">
        <f t="array" ref="AH60">IF(AH$6="","",_xlfn.LET(_xlpm.p,AH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-111447.25526919604</v>
      </c>
      <c r="AI60" s="3" cm="1">
        <f t="array" ref="AI60">IF(AI$6="","",_xlfn.LET(_xlpm.p,AI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J60" s="3" cm="1">
        <f t="array" ref="AJ60">IF(AJ$6="","",_xlfn.LET(_xlpm.p,AJ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K60" s="3" cm="1">
        <f t="array" ref="AK60">IF(AK$6="","",_xlfn.LET(_xlpm.p,AK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L60" s="3" cm="1">
        <f t="array" ref="AL60">IF(AL$6="","",_xlfn.LET(_xlpm.p,AL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M60" s="3" cm="1">
        <f t="array" ref="AM60">IF(AM$6="","",_xlfn.LET(_xlpm.p,AM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N60" s="3" cm="1">
        <f t="array" ref="AN60">IF(AN$6="","",_xlfn.LET(_xlpm.p,AN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O60" s="3" cm="1">
        <f t="array" ref="AO60">IF(AO$6="","",_xlfn.LET(_xlpm.p,AO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P60" s="3" cm="1">
        <f t="array" ref="AP60">IF(AP$6="","",_xlfn.LET(_xlpm.p,AP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Q60" s="3" cm="1">
        <f t="array" ref="AQ60">IF(AQ$6="","",_xlfn.LET(_xlpm.p,AQ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R60" s="3" cm="1">
        <f t="array" ref="AR60">IF(AR$6="","",_xlfn.LET(_xlpm.p,AR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S60" s="3" cm="1">
        <f t="array" ref="AS60">IF(AS$6="","",_xlfn.LET(_xlpm.p,AS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T60" s="3" cm="1">
        <f t="array" ref="AT60">IF(AT$6="","",_xlfn.LET(_xlpm.p,AT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U60" s="3" cm="1">
        <f t="array" ref="AU60">IF(AU$6="","",_xlfn.LET(_xlpm.p,AU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V60" s="3" cm="1">
        <f t="array" ref="AV60">IF(AV$6="","",_xlfn.LET(_xlpm.p,AV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W60" s="3" cm="1">
        <f t="array" ref="AW60">IF(AW$6="","",_xlfn.LET(_xlpm.p,AW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X60" s="3" cm="1">
        <f t="array" ref="AX60">IF(AX$6="","",_xlfn.LET(_xlpm.p,AX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Y60" s="3" cm="1">
        <f t="array" ref="AY60">IF(AY$6="","",_xlfn.LET(_xlpm.p,AY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AZ60" s="3" cm="1">
        <f t="array" ref="AZ60">IF(AZ$6="","",_xlfn.LET(_xlpm.p,AZ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A60" s="3" cm="1">
        <f t="array" ref="BA60">IF(BA$6="","",_xlfn.LET(_xlpm.p,BA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B60" s="3" cm="1">
        <f t="array" ref="BB60">IF(BB$6="","",_xlfn.LET(_xlpm.p,BB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C60" s="3" cm="1">
        <f t="array" ref="BC60">IF(BC$6="","",_xlfn.LET(_xlpm.p,BC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D60" s="3" cm="1">
        <f t="array" ref="BD60">IF(BD$6="","",_xlfn.LET(_xlpm.p,BD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E60" s="3" cm="1">
        <f t="array" ref="BE60">IF(BE$6="","",_xlfn.LET(_xlpm.p,BE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F60" s="3" cm="1">
        <f t="array" ref="BF60">IF(BF$6="","",_xlfn.LET(_xlpm.p,BF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G60" s="3" cm="1">
        <f t="array" ref="BG60">IF(BG$6="","",_xlfn.LET(_xlpm.p,BG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H60" s="3" cm="1">
        <f t="array" ref="BH60">IF(BH$6="","",_xlfn.LET(_xlpm.p,BH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I60" s="3" cm="1">
        <f t="array" ref="BI60">IF(BI$6="","",_xlfn.LET(_xlpm.p,BI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J60" s="3" cm="1">
        <f t="array" ref="BJ60">IF(BJ$6="","",_xlfn.LET(_xlpm.p,BJ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K60" s="3" cm="1">
        <f t="array" ref="BK60">IF(BK$6="","",_xlfn.LET(_xlpm.p,BK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L60" s="3" cm="1">
        <f t="array" ref="BL60">IF(BL$6="","",_xlfn.LET(_xlpm.p,BL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M60" s="3" cm="1">
        <f t="array" ref="BM60">IF(BM$6="","",_xlfn.LET(_xlpm.p,BM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N60" s="3" cm="1">
        <f t="array" ref="BN60">IF(BN$6="","",_xlfn.LET(_xlpm.p,BN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O60" s="3" cm="1">
        <f t="array" ref="BO60">IF(BO$6="","",_xlfn.LET(_xlpm.p,BO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P60" s="3" cm="1">
        <f t="array" ref="BP60">IF(BP$6="","",_xlfn.LET(_xlpm.p,BP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Q60" s="3" cm="1">
        <f t="array" ref="BQ60">IF(BQ$6="","",_xlfn.LET(_xlpm.p,BQ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R60" s="3" cm="1">
        <f t="array" ref="BR60">IF(BR$6="","",_xlfn.LET(_xlpm.p,BR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S60" s="3" cm="1">
        <f t="array" ref="BS60">IF(BS$6="","",_xlfn.LET(_xlpm.p,BS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T60" s="3" cm="1">
        <f t="array" ref="BT60">IF(BT$6="","",_xlfn.LET(_xlpm.p,BT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U60" s="3" cm="1">
        <f t="array" ref="BU60">IF(BU$6="","",_xlfn.LET(_xlpm.p,BU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V60" s="3" cm="1">
        <f t="array" ref="BV60">IF(BV$6="","",_xlfn.LET(_xlpm.p,BV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W60" s="3" cm="1">
        <f t="array" ref="BW60">IF(BW$6="","",_xlfn.LET(_xlpm.p,BW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X60" s="3" cm="1">
        <f t="array" ref="BX60">IF(BX$6="","",_xlfn.LET(_xlpm.p,BX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Y60" s="3" cm="1">
        <f t="array" ref="BY60">IF(BY$6="","",_xlfn.LET(_xlpm.p,BY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BZ60" s="3" cm="1">
        <f t="array" ref="BZ60">IF(BZ$6="","",_xlfn.LET(_xlpm.p,BZ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A60" s="3" cm="1">
        <f t="array" ref="CA60">IF(CA$6="","",_xlfn.LET(_xlpm.p,CA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B60" s="3" cm="1">
        <f t="array" ref="CB60">IF(CB$6="","",_xlfn.LET(_xlpm.p,CB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C60" s="3" cm="1">
        <f t="array" ref="CC60">IF(CC$6="","",_xlfn.LET(_xlpm.p,CC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D60" s="3" cm="1">
        <f t="array" ref="CD60">IF(CD$6="","",_xlfn.LET(_xlpm.p,CD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E60" s="3" cm="1">
        <f t="array" ref="CE60">IF(CE$6="","",_xlfn.LET(_xlpm.p,CE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F60" s="3" cm="1">
        <f t="array" ref="CF60">IF(CF$6="","",_xlfn.LET(_xlpm.p,CF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G60" s="3" cm="1">
        <f t="array" ref="CG60">IF(CG$6="","",_xlfn.LET(_xlpm.p,CG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>0</v>
      </c>
      <c r="CH60" s="3" t="str" cm="1">
        <f t="array" ref="CH60">IF(CH$6="","",_xlfn.LET(_xlpm.p,CH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  <c r="CI60" s="3" t="str" cm="1">
        <f t="array" ref="CI60">IF(CI$6="","",_xlfn.LET(_xlpm.p,CI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  <c r="CJ60" s="3" t="str" cm="1">
        <f t="array" ref="CJ60">IF(CJ$6="","",_xlfn.LET(_xlpm.p,CJ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  <c r="CK60" s="3" t="str" cm="1">
        <f t="array" ref="CK60">IF(CK$6="","",_xlfn.LET(_xlpm.p,CK$6,_xlpm.i,MATCH($L60,$B$12:$B$26,0),_xlpm.sf,INDEX($C$12:$C$26,_xlpm.i),_xlpm.curpsf,INDEX($D$12:$D$26,_xlpm.i),_xlpm.start,INDEX($E$12:$E$26,_xlpm.i),_xlpm.lend,INDEX($G$12:$G$26,_xlpm.i),_xlpm.renew,INDEX($H$12:$H$26,_xlpm.i),_xlpm.up,VALUE(SUBSTITUTE(LOWER(INDEX($I$12:$I$26,_xlpm.i)),"month","")),_xlpm.mr,$C$8,_xlpm.esc,$C$4,_xlpm.term,$C$7,_xlpm.renStart,IF(_xlpm.lend&gt;0,EOMONTH(_xlpm.lend,0)+1,0),_xlpm.leaseStart,IF(AND(_xlpm.start&lt;&gt;"",_xlpm.start&gt;0),_xlpm.start,IF(_xlpm.lend&gt;0,EDATE(_xlpm.renStart,_xlpm.up),EDATE($M$6,_xlpm.up))),_xlpm.lcPSF,SUMPRODUCT(_xlpm.mr*(1+_xlpm.esc)^INT((_xlfn.SEQUENCE(_xlpm.term,,0))/12)*IF(_xlfn.SEQUENCE(_xlpm.term,,1)&lt;=60,$F$6,$H$6)),IF(AND(_xlpm.curpsf&gt;0,_xlpm.lend&gt;0,EOMONTH(_xlpm.p,0)=EOMONTH(_xlpm.renStart,0)),-_xlpm.sf*_xlpm.lcPSF*_xlpm.renew,0)+IF(EOMONTH(_xlpm.p,0)=EOMONTH(_xlpm.leaseStart,0),-_xlpm.sf*_xlpm.lcPSF*IF(_xlpm.curpsf&gt;0,1-_xlpm.renew,1),0)))</f>
        <v/>
      </c>
    </row>
    <row r="61" spans="12:89" x14ac:dyDescent="0.2">
      <c r="L61" t="s">
        <v>311</v>
      </c>
      <c r="M61" s="3">
        <f>IF(M$6="","",SUM(M22:M26)+SUM(M12:M21))</f>
        <v>140326</v>
      </c>
      <c r="N61" s="3">
        <f t="shared" ref="N61:BY61" si="39">IF(N$6="","",SUM(N22:N26)+SUM(N12:N21))</f>
        <v>140326</v>
      </c>
      <c r="O61" s="3">
        <f t="shared" si="39"/>
        <v>140326</v>
      </c>
      <c r="P61" s="3">
        <f t="shared" si="39"/>
        <v>140506.9</v>
      </c>
      <c r="Q61" s="3">
        <f t="shared" si="39"/>
        <v>141209.94999999998</v>
      </c>
      <c r="R61" s="3">
        <f t="shared" si="39"/>
        <v>141469.50999999998</v>
      </c>
      <c r="S61" s="3">
        <f t="shared" si="39"/>
        <v>142317.03999999998</v>
      </c>
      <c r="T61" s="3">
        <f t="shared" si="39"/>
        <v>142317.03999999998</v>
      </c>
      <c r="U61" s="3">
        <f t="shared" si="39"/>
        <v>142683.49</v>
      </c>
      <c r="V61" s="3">
        <f t="shared" si="39"/>
        <v>130491.49</v>
      </c>
      <c r="W61" s="3">
        <f t="shared" si="39"/>
        <v>142136.49</v>
      </c>
      <c r="X61" s="3">
        <f t="shared" si="39"/>
        <v>142937.04</v>
      </c>
      <c r="Y61" s="3">
        <f t="shared" si="39"/>
        <v>158062.04</v>
      </c>
      <c r="Z61" s="3">
        <f t="shared" si="39"/>
        <v>158519.54</v>
      </c>
      <c r="AA61" s="3">
        <f t="shared" si="39"/>
        <v>158519.54</v>
      </c>
      <c r="AB61" s="3">
        <f t="shared" si="39"/>
        <v>154688.64000000001</v>
      </c>
      <c r="AC61" s="3">
        <f t="shared" si="39"/>
        <v>155412.78149999998</v>
      </c>
      <c r="AD61" s="3">
        <f t="shared" si="39"/>
        <v>155680.12829999998</v>
      </c>
      <c r="AE61" s="3">
        <f t="shared" si="39"/>
        <v>167977.08419999998</v>
      </c>
      <c r="AF61" s="3">
        <f t="shared" si="39"/>
        <v>199512.08419999998</v>
      </c>
      <c r="AG61" s="3">
        <f t="shared" si="39"/>
        <v>191095.6342</v>
      </c>
      <c r="AH61" s="3">
        <f t="shared" si="39"/>
        <v>220479.11420000001</v>
      </c>
      <c r="AI61" s="3">
        <f t="shared" si="39"/>
        <v>220675.46420000002</v>
      </c>
      <c r="AJ61" s="3">
        <f t="shared" si="39"/>
        <v>221500.0307</v>
      </c>
      <c r="AK61" s="3">
        <f t="shared" si="39"/>
        <v>225523.7807</v>
      </c>
      <c r="AL61" s="3">
        <f t="shared" si="39"/>
        <v>215766.2807</v>
      </c>
      <c r="AM61" s="3">
        <f t="shared" si="39"/>
        <v>215766.2807</v>
      </c>
      <c r="AN61" s="3">
        <f t="shared" si="39"/>
        <v>215837.6807</v>
      </c>
      <c r="AO61" s="3">
        <f t="shared" si="39"/>
        <v>216583.54644500001</v>
      </c>
      <c r="AP61" s="3">
        <f t="shared" si="39"/>
        <v>220316.13964500002</v>
      </c>
      <c r="AQ61" s="3">
        <f t="shared" si="39"/>
        <v>200921.37374500002</v>
      </c>
      <c r="AR61" s="3">
        <f t="shared" si="39"/>
        <v>201867.42374500001</v>
      </c>
      <c r="AS61" s="3">
        <f t="shared" si="39"/>
        <v>201992.37374499999</v>
      </c>
      <c r="AT61" s="3">
        <f t="shared" si="39"/>
        <v>203102.35814500001</v>
      </c>
      <c r="AU61" s="3">
        <f t="shared" si="39"/>
        <v>212382.59864500002</v>
      </c>
      <c r="AV61" s="3">
        <f t="shared" si="39"/>
        <v>200965.07062000001</v>
      </c>
      <c r="AW61" s="3">
        <f t="shared" si="39"/>
        <v>201539.53311999998</v>
      </c>
      <c r="AX61" s="3">
        <f t="shared" si="39"/>
        <v>201718.03311999998</v>
      </c>
      <c r="AY61" s="3">
        <f t="shared" si="39"/>
        <v>211714.03311999998</v>
      </c>
      <c r="AZ61" s="3">
        <f t="shared" si="39"/>
        <v>227138.57511999999</v>
      </c>
      <c r="BA61" s="3">
        <f t="shared" si="39"/>
        <v>227906.81683734999</v>
      </c>
      <c r="BB61" s="3">
        <f t="shared" si="39"/>
        <v>228294.16183735</v>
      </c>
      <c r="BC61" s="3">
        <f t="shared" si="39"/>
        <v>228954.18343735</v>
      </c>
      <c r="BD61" s="3">
        <f t="shared" si="39"/>
        <v>229928.61493735001</v>
      </c>
      <c r="BE61" s="3">
        <f t="shared" si="39"/>
        <v>240767.31343734998</v>
      </c>
      <c r="BF61" s="3">
        <f t="shared" si="39"/>
        <v>241910.59736934997</v>
      </c>
      <c r="BG61" s="3">
        <f t="shared" si="39"/>
        <v>242544.24508435</v>
      </c>
      <c r="BH61" s="3">
        <f t="shared" si="39"/>
        <v>243051.02273859998</v>
      </c>
      <c r="BI61" s="3">
        <f t="shared" si="39"/>
        <v>243642.71911359997</v>
      </c>
      <c r="BJ61" s="3">
        <f t="shared" si="39"/>
        <v>243826.57411359996</v>
      </c>
      <c r="BK61" s="3">
        <f t="shared" si="39"/>
        <v>244126.45411359996</v>
      </c>
      <c r="BL61" s="3">
        <f t="shared" si="39"/>
        <v>244662.73237360001</v>
      </c>
      <c r="BM61" s="3">
        <f t="shared" si="39"/>
        <v>245454.02134247049</v>
      </c>
      <c r="BN61" s="3">
        <f t="shared" si="39"/>
        <v>245852.9866924705</v>
      </c>
      <c r="BO61" s="3">
        <f t="shared" si="39"/>
        <v>246532.80894047051</v>
      </c>
      <c r="BP61" s="3">
        <f t="shared" si="39"/>
        <v>247536.47338547048</v>
      </c>
      <c r="BQ61" s="3">
        <f t="shared" si="39"/>
        <v>247990.33284047048</v>
      </c>
      <c r="BR61" s="3">
        <f t="shared" si="39"/>
        <v>249167.91529043051</v>
      </c>
      <c r="BS61" s="3">
        <f t="shared" si="39"/>
        <v>249820.57243688047</v>
      </c>
      <c r="BT61" s="3">
        <f t="shared" si="39"/>
        <v>250342.55342075796</v>
      </c>
      <c r="BU61" s="3">
        <f t="shared" si="39"/>
        <v>250952.00068700797</v>
      </c>
      <c r="BV61" s="3">
        <f t="shared" si="39"/>
        <v>251141.37133700796</v>
      </c>
      <c r="BW61" s="3">
        <f t="shared" si="39"/>
        <v>251450.24773700794</v>
      </c>
      <c r="BX61" s="3">
        <f t="shared" si="39"/>
        <v>252002.61434480795</v>
      </c>
      <c r="BY61" s="3">
        <f t="shared" si="39"/>
        <v>252817.64198274459</v>
      </c>
      <c r="BZ61" s="3">
        <f t="shared" ref="BZ61:CK61" si="40">IF(BZ$6="","",SUM(BZ22:BZ26)+SUM(BZ12:BZ21))</f>
        <v>253228.57629324461</v>
      </c>
      <c r="CA61" s="3">
        <f t="shared" si="40"/>
        <v>253928.7932086846</v>
      </c>
      <c r="CB61" s="3">
        <f t="shared" si="40"/>
        <v>254962.5675870346</v>
      </c>
      <c r="CC61" s="3">
        <f t="shared" si="40"/>
        <v>255430.04282568462</v>
      </c>
      <c r="CD61" s="3">
        <f t="shared" si="40"/>
        <v>247813.92139927458</v>
      </c>
      <c r="CE61" s="3">
        <f t="shared" si="40"/>
        <v>237181.61451282463</v>
      </c>
      <c r="CF61" s="3">
        <f t="shared" si="40"/>
        <v>237719.25492621845</v>
      </c>
      <c r="CG61" s="3">
        <f t="shared" si="40"/>
        <v>227357.96523666842</v>
      </c>
      <c r="CH61" s="3" t="str">
        <f t="shared" si="40"/>
        <v/>
      </c>
      <c r="CI61" s="3" t="str">
        <f t="shared" si="40"/>
        <v/>
      </c>
      <c r="CJ61" s="3" t="str">
        <f t="shared" si="40"/>
        <v/>
      </c>
      <c r="CK61" s="3" t="str">
        <f t="shared" si="40"/>
        <v/>
      </c>
    </row>
    <row r="62" spans="12:89" x14ac:dyDescent="0.2">
      <c r="L62" s="1" t="s">
        <v>260</v>
      </c>
      <c r="M62" s="41">
        <f>SUM(M12:M26)</f>
        <v>140326</v>
      </c>
      <c r="N62" s="41">
        <f t="shared" ref="N62:BU62" si="41">SUM(N12:N26)</f>
        <v>140326</v>
      </c>
      <c r="O62" s="41">
        <f t="shared" si="41"/>
        <v>140326</v>
      </c>
      <c r="P62" s="41">
        <f t="shared" si="41"/>
        <v>140506.9</v>
      </c>
      <c r="Q62" s="41">
        <f t="shared" si="41"/>
        <v>141209.94999999998</v>
      </c>
      <c r="R62" s="41">
        <f t="shared" si="41"/>
        <v>141469.50999999998</v>
      </c>
      <c r="S62" s="41">
        <f t="shared" si="41"/>
        <v>142317.03999999998</v>
      </c>
      <c r="T62" s="41">
        <f t="shared" si="41"/>
        <v>142317.03999999998</v>
      </c>
      <c r="U62" s="41">
        <f t="shared" si="41"/>
        <v>142683.49</v>
      </c>
      <c r="V62" s="41">
        <f t="shared" si="41"/>
        <v>130491.49</v>
      </c>
      <c r="W62" s="41">
        <f t="shared" si="41"/>
        <v>142136.49</v>
      </c>
      <c r="X62" s="41">
        <f t="shared" si="41"/>
        <v>142937.04</v>
      </c>
      <c r="Y62" s="41">
        <f t="shared" si="41"/>
        <v>158062.04</v>
      </c>
      <c r="Z62" s="41">
        <f t="shared" si="41"/>
        <v>158519.54</v>
      </c>
      <c r="AA62" s="41">
        <f t="shared" si="41"/>
        <v>158519.54</v>
      </c>
      <c r="AB62" s="41">
        <f t="shared" si="41"/>
        <v>154688.64000000001</v>
      </c>
      <c r="AC62" s="41">
        <f t="shared" si="41"/>
        <v>155412.78149999998</v>
      </c>
      <c r="AD62" s="41">
        <f t="shared" si="41"/>
        <v>155680.12829999998</v>
      </c>
      <c r="AE62" s="41">
        <f t="shared" si="41"/>
        <v>167977.08419999998</v>
      </c>
      <c r="AF62" s="41">
        <f t="shared" si="41"/>
        <v>199512.08419999998</v>
      </c>
      <c r="AG62" s="41">
        <f t="shared" si="41"/>
        <v>191095.6342</v>
      </c>
      <c r="AH62" s="41">
        <f t="shared" si="41"/>
        <v>220479.11420000001</v>
      </c>
      <c r="AI62" s="41">
        <f t="shared" si="41"/>
        <v>220675.46420000002</v>
      </c>
      <c r="AJ62" s="41">
        <f t="shared" si="41"/>
        <v>221500.0307</v>
      </c>
      <c r="AK62" s="41">
        <f t="shared" si="41"/>
        <v>225523.7807</v>
      </c>
      <c r="AL62" s="41">
        <f t="shared" si="41"/>
        <v>215766.2807</v>
      </c>
      <c r="AM62" s="41">
        <f t="shared" si="41"/>
        <v>215766.2807</v>
      </c>
      <c r="AN62" s="41">
        <f t="shared" si="41"/>
        <v>215837.6807</v>
      </c>
      <c r="AO62" s="41">
        <f t="shared" si="41"/>
        <v>216583.54644500001</v>
      </c>
      <c r="AP62" s="41">
        <f t="shared" si="41"/>
        <v>220316.13964500002</v>
      </c>
      <c r="AQ62" s="41">
        <f t="shared" si="41"/>
        <v>200921.37374500002</v>
      </c>
      <c r="AR62" s="41">
        <f t="shared" si="41"/>
        <v>201867.42374500001</v>
      </c>
      <c r="AS62" s="41">
        <f t="shared" si="41"/>
        <v>201992.37374499999</v>
      </c>
      <c r="AT62" s="41">
        <f t="shared" si="41"/>
        <v>203102.35814499998</v>
      </c>
      <c r="AU62" s="41">
        <f t="shared" si="41"/>
        <v>212382.59864499999</v>
      </c>
      <c r="AV62" s="41">
        <f t="shared" si="41"/>
        <v>200965.07061999998</v>
      </c>
      <c r="AW62" s="41">
        <f t="shared" si="41"/>
        <v>201539.53311999998</v>
      </c>
      <c r="AX62" s="41">
        <f t="shared" si="41"/>
        <v>201718.03311999998</v>
      </c>
      <c r="AY62" s="41">
        <f t="shared" si="41"/>
        <v>211714.03311999998</v>
      </c>
      <c r="AZ62" s="41">
        <f t="shared" si="41"/>
        <v>227138.57511999996</v>
      </c>
      <c r="BA62" s="41">
        <f t="shared" si="41"/>
        <v>227906.81683734996</v>
      </c>
      <c r="BB62" s="41">
        <f t="shared" si="41"/>
        <v>228294.16183734997</v>
      </c>
      <c r="BC62" s="41">
        <f t="shared" si="41"/>
        <v>228954.18343734997</v>
      </c>
      <c r="BD62" s="41">
        <f t="shared" si="41"/>
        <v>229928.61493734998</v>
      </c>
      <c r="BE62" s="41">
        <f t="shared" si="41"/>
        <v>240767.31343734995</v>
      </c>
      <c r="BF62" s="41">
        <f t="shared" si="41"/>
        <v>241910.59736934997</v>
      </c>
      <c r="BG62" s="41">
        <f t="shared" si="41"/>
        <v>242544.24508434994</v>
      </c>
      <c r="BH62" s="41">
        <f t="shared" si="41"/>
        <v>243051.02273859998</v>
      </c>
      <c r="BI62" s="41">
        <f t="shared" si="41"/>
        <v>243642.71911359997</v>
      </c>
      <c r="BJ62" s="41">
        <f t="shared" si="41"/>
        <v>243826.57411359996</v>
      </c>
      <c r="BK62" s="41">
        <f t="shared" si="41"/>
        <v>244126.45411359996</v>
      </c>
      <c r="BL62" s="41">
        <f t="shared" si="41"/>
        <v>244662.73237359995</v>
      </c>
      <c r="BM62" s="41">
        <f t="shared" si="41"/>
        <v>245454.02134247049</v>
      </c>
      <c r="BN62" s="41">
        <f t="shared" si="41"/>
        <v>245852.98669247044</v>
      </c>
      <c r="BO62" s="41">
        <f t="shared" si="41"/>
        <v>246532.80894047045</v>
      </c>
      <c r="BP62" s="41">
        <f t="shared" si="41"/>
        <v>247536.47338547045</v>
      </c>
      <c r="BQ62" s="41">
        <f t="shared" si="41"/>
        <v>247990.33284047048</v>
      </c>
      <c r="BR62" s="41">
        <f t="shared" si="41"/>
        <v>249167.91529043048</v>
      </c>
      <c r="BS62" s="41">
        <f t="shared" si="41"/>
        <v>249820.57243688047</v>
      </c>
      <c r="BT62" s="41">
        <f t="shared" si="41"/>
        <v>250342.55342075796</v>
      </c>
      <c r="BU62" s="41">
        <f t="shared" si="41"/>
        <v>250952.00068700797</v>
      </c>
      <c r="BV62" s="41">
        <f t="shared" ref="BV62:CK62" si="42">SUM(BV12:BV26)</f>
        <v>251141.37133700796</v>
      </c>
      <c r="BW62" s="41">
        <f t="shared" si="42"/>
        <v>251450.24773700794</v>
      </c>
      <c r="BX62" s="41">
        <f t="shared" si="42"/>
        <v>252002.61434480795</v>
      </c>
      <c r="BY62" s="41">
        <f t="shared" si="42"/>
        <v>252817.64198274459</v>
      </c>
      <c r="BZ62" s="41">
        <f t="shared" si="42"/>
        <v>253228.57629324461</v>
      </c>
      <c r="CA62" s="41">
        <f t="shared" si="42"/>
        <v>253928.7932086846</v>
      </c>
      <c r="CB62" s="41">
        <f t="shared" si="42"/>
        <v>254962.5675870346</v>
      </c>
      <c r="CC62" s="41">
        <f t="shared" si="42"/>
        <v>255430.04282568462</v>
      </c>
      <c r="CD62" s="41">
        <f t="shared" si="42"/>
        <v>247813.92139927461</v>
      </c>
      <c r="CE62" s="41">
        <f t="shared" si="42"/>
        <v>237181.61451282463</v>
      </c>
      <c r="CF62" s="41">
        <f t="shared" si="42"/>
        <v>237719.25492621845</v>
      </c>
      <c r="CG62" s="41">
        <f t="shared" si="42"/>
        <v>227357.96523666842</v>
      </c>
      <c r="CH62" s="41">
        <f t="shared" si="42"/>
        <v>0</v>
      </c>
      <c r="CI62" s="41">
        <f t="shared" si="42"/>
        <v>0</v>
      </c>
      <c r="CJ62" s="41">
        <f t="shared" si="42"/>
        <v>0</v>
      </c>
      <c r="CK62" s="41">
        <f t="shared" si="42"/>
        <v>0</v>
      </c>
    </row>
    <row r="63" spans="12:89" x14ac:dyDescent="0.2">
      <c r="L63" s="1" t="s">
        <v>265</v>
      </c>
      <c r="M63" s="41">
        <f>SUM(M29:M43)</f>
        <v>0</v>
      </c>
      <c r="N63" s="41">
        <f t="shared" ref="N63:BU63" si="43">SUM(N29:N43)</f>
        <v>0</v>
      </c>
      <c r="O63" s="41">
        <f t="shared" si="43"/>
        <v>0</v>
      </c>
      <c r="P63" s="41">
        <f t="shared" si="43"/>
        <v>0</v>
      </c>
      <c r="Q63" s="41">
        <f t="shared" si="43"/>
        <v>0</v>
      </c>
      <c r="R63" s="41">
        <f t="shared" si="43"/>
        <v>0</v>
      </c>
      <c r="S63" s="41">
        <f t="shared" si="43"/>
        <v>0</v>
      </c>
      <c r="T63" s="41">
        <f t="shared" si="43"/>
        <v>0</v>
      </c>
      <c r="U63" s="41">
        <f t="shared" si="43"/>
        <v>0</v>
      </c>
      <c r="V63" s="41">
        <f t="shared" si="43"/>
        <v>-192000</v>
      </c>
      <c r="W63" s="41">
        <f t="shared" si="43"/>
        <v>-241500</v>
      </c>
      <c r="X63" s="41">
        <f t="shared" si="43"/>
        <v>0</v>
      </c>
      <c r="Y63" s="41">
        <f t="shared" si="43"/>
        <v>-247500</v>
      </c>
      <c r="Z63" s="41">
        <f t="shared" si="43"/>
        <v>0</v>
      </c>
      <c r="AA63" s="41">
        <f t="shared" si="43"/>
        <v>0</v>
      </c>
      <c r="AB63" s="41">
        <f t="shared" si="43"/>
        <v>-60000</v>
      </c>
      <c r="AC63" s="41">
        <f t="shared" si="43"/>
        <v>0</v>
      </c>
      <c r="AD63" s="41">
        <f t="shared" si="43"/>
        <v>0</v>
      </c>
      <c r="AE63" s="41">
        <f t="shared" si="43"/>
        <v>-288000</v>
      </c>
      <c r="AF63" s="41">
        <f t="shared" si="43"/>
        <v>-795000</v>
      </c>
      <c r="AG63" s="41">
        <f t="shared" si="43"/>
        <v>-105000</v>
      </c>
      <c r="AH63" s="41">
        <f t="shared" si="43"/>
        <v>-735000</v>
      </c>
      <c r="AI63" s="41">
        <f t="shared" si="43"/>
        <v>0</v>
      </c>
      <c r="AJ63" s="41">
        <f t="shared" si="43"/>
        <v>0</v>
      </c>
      <c r="AK63" s="41">
        <f t="shared" si="43"/>
        <v>-90000</v>
      </c>
      <c r="AL63" s="41">
        <f t="shared" si="43"/>
        <v>-150000</v>
      </c>
      <c r="AM63" s="41">
        <f t="shared" si="43"/>
        <v>0</v>
      </c>
      <c r="AN63" s="41">
        <f t="shared" si="43"/>
        <v>0</v>
      </c>
      <c r="AO63" s="41">
        <f t="shared" si="43"/>
        <v>0</v>
      </c>
      <c r="AP63" s="41">
        <f t="shared" si="43"/>
        <v>-325500</v>
      </c>
      <c r="AQ63" s="41">
        <f t="shared" si="43"/>
        <v>-258000</v>
      </c>
      <c r="AR63" s="41">
        <f t="shared" si="43"/>
        <v>0</v>
      </c>
      <c r="AS63" s="41">
        <f t="shared" si="43"/>
        <v>0</v>
      </c>
      <c r="AT63" s="41">
        <f t="shared" si="43"/>
        <v>0</v>
      </c>
      <c r="AU63" s="41">
        <f t="shared" si="43"/>
        <v>-225000</v>
      </c>
      <c r="AV63" s="41">
        <f t="shared" si="43"/>
        <v>-180000</v>
      </c>
      <c r="AW63" s="41">
        <f t="shared" si="43"/>
        <v>0</v>
      </c>
      <c r="AX63" s="41">
        <f t="shared" si="43"/>
        <v>0</v>
      </c>
      <c r="AY63" s="41">
        <f t="shared" si="43"/>
        <v>-252000</v>
      </c>
      <c r="AZ63" s="41">
        <f t="shared" si="43"/>
        <v>-387000</v>
      </c>
      <c r="BA63" s="41">
        <f t="shared" si="43"/>
        <v>0</v>
      </c>
      <c r="BB63" s="41">
        <f t="shared" si="43"/>
        <v>0</v>
      </c>
      <c r="BC63" s="41">
        <f t="shared" si="43"/>
        <v>0</v>
      </c>
      <c r="BD63" s="41">
        <f t="shared" si="43"/>
        <v>0</v>
      </c>
      <c r="BE63" s="41">
        <f t="shared" si="43"/>
        <v>-270000</v>
      </c>
      <c r="BF63" s="41">
        <f t="shared" si="43"/>
        <v>0</v>
      </c>
      <c r="BG63" s="41">
        <f t="shared" si="43"/>
        <v>0</v>
      </c>
      <c r="BH63" s="41">
        <f t="shared" si="43"/>
        <v>0</v>
      </c>
      <c r="BI63" s="41">
        <f t="shared" si="43"/>
        <v>0</v>
      </c>
      <c r="BJ63" s="41">
        <f t="shared" si="43"/>
        <v>0</v>
      </c>
      <c r="BK63" s="41">
        <f t="shared" si="43"/>
        <v>0</v>
      </c>
      <c r="BL63" s="41">
        <f t="shared" si="43"/>
        <v>0</v>
      </c>
      <c r="BM63" s="41">
        <f t="shared" si="43"/>
        <v>0</v>
      </c>
      <c r="BN63" s="41">
        <f t="shared" si="43"/>
        <v>0</v>
      </c>
      <c r="BO63" s="41">
        <f t="shared" si="43"/>
        <v>0</v>
      </c>
      <c r="BP63" s="41">
        <f t="shared" si="43"/>
        <v>0</v>
      </c>
      <c r="BQ63" s="41">
        <f t="shared" si="43"/>
        <v>0</v>
      </c>
      <c r="BR63" s="41">
        <f t="shared" si="43"/>
        <v>0</v>
      </c>
      <c r="BS63" s="41">
        <f t="shared" si="43"/>
        <v>0</v>
      </c>
      <c r="BT63" s="41">
        <f t="shared" si="43"/>
        <v>0</v>
      </c>
      <c r="BU63" s="41">
        <f t="shared" si="43"/>
        <v>0</v>
      </c>
      <c r="BV63" s="41">
        <f t="shared" ref="BV63:CK63" si="44">SUM(BV29:BV43)</f>
        <v>0</v>
      </c>
      <c r="BW63" s="41">
        <f t="shared" si="44"/>
        <v>0</v>
      </c>
      <c r="BX63" s="41">
        <f t="shared" si="44"/>
        <v>0</v>
      </c>
      <c r="BY63" s="41">
        <f t="shared" si="44"/>
        <v>0</v>
      </c>
      <c r="BZ63" s="41">
        <f t="shared" si="44"/>
        <v>0</v>
      </c>
      <c r="CA63" s="41">
        <f t="shared" si="44"/>
        <v>0</v>
      </c>
      <c r="CB63" s="41">
        <f t="shared" si="44"/>
        <v>0</v>
      </c>
      <c r="CC63" s="41">
        <f t="shared" si="44"/>
        <v>0</v>
      </c>
      <c r="CD63" s="41">
        <f t="shared" si="44"/>
        <v>0</v>
      </c>
      <c r="CE63" s="41">
        <f t="shared" si="44"/>
        <v>-51000</v>
      </c>
      <c r="CF63" s="41">
        <f t="shared" si="44"/>
        <v>0</v>
      </c>
      <c r="CG63" s="41">
        <f t="shared" si="44"/>
        <v>-165000</v>
      </c>
      <c r="CH63" s="41">
        <f t="shared" si="44"/>
        <v>0</v>
      </c>
      <c r="CI63" s="41">
        <f t="shared" si="44"/>
        <v>0</v>
      </c>
      <c r="CJ63" s="41">
        <f t="shared" si="44"/>
        <v>0</v>
      </c>
      <c r="CK63" s="41">
        <f t="shared" si="44"/>
        <v>0</v>
      </c>
    </row>
    <row r="64" spans="12:89" x14ac:dyDescent="0.2">
      <c r="L64" s="1" t="s">
        <v>266</v>
      </c>
      <c r="M64" s="41">
        <f>SUM(M46:M60)</f>
        <v>0</v>
      </c>
      <c r="N64" s="41">
        <f t="shared" ref="N64:BU64" si="45">SUM(N46:N60)</f>
        <v>0</v>
      </c>
      <c r="O64" s="41">
        <f t="shared" si="45"/>
        <v>0</v>
      </c>
      <c r="P64" s="41">
        <f t="shared" si="45"/>
        <v>0</v>
      </c>
      <c r="Q64" s="41">
        <f t="shared" si="45"/>
        <v>0</v>
      </c>
      <c r="R64" s="41">
        <f t="shared" si="45"/>
        <v>0</v>
      </c>
      <c r="S64" s="41">
        <f t="shared" si="45"/>
        <v>0</v>
      </c>
      <c r="T64" s="41">
        <f t="shared" si="45"/>
        <v>0</v>
      </c>
      <c r="U64" s="41">
        <f t="shared" si="45"/>
        <v>0</v>
      </c>
      <c r="V64" s="41">
        <f t="shared" si="45"/>
        <v>-29112.752396851211</v>
      </c>
      <c r="W64" s="41">
        <f t="shared" si="45"/>
        <v>-36618.383874164414</v>
      </c>
      <c r="X64" s="41">
        <f t="shared" si="45"/>
        <v>0</v>
      </c>
      <c r="Y64" s="41">
        <f t="shared" si="45"/>
        <v>-37528.15738656601</v>
      </c>
      <c r="Z64" s="41">
        <f t="shared" si="45"/>
        <v>0</v>
      </c>
      <c r="AA64" s="41">
        <f t="shared" si="45"/>
        <v>0</v>
      </c>
      <c r="AB64" s="41">
        <f t="shared" si="45"/>
        <v>-9097.7351240160042</v>
      </c>
      <c r="AC64" s="41">
        <f t="shared" si="45"/>
        <v>0</v>
      </c>
      <c r="AD64" s="41">
        <f t="shared" si="45"/>
        <v>0</v>
      </c>
      <c r="AE64" s="41">
        <f t="shared" si="45"/>
        <v>-43669.128595276808</v>
      </c>
      <c r="AF64" s="41">
        <f t="shared" si="45"/>
        <v>-120544.99039321205</v>
      </c>
      <c r="AG64" s="41">
        <f t="shared" si="45"/>
        <v>-15921.036467028005</v>
      </c>
      <c r="AH64" s="41">
        <f t="shared" si="45"/>
        <v>-111447.25526919604</v>
      </c>
      <c r="AI64" s="41">
        <f t="shared" si="45"/>
        <v>0</v>
      </c>
      <c r="AJ64" s="41">
        <f t="shared" si="45"/>
        <v>0</v>
      </c>
      <c r="AK64" s="41">
        <f t="shared" si="45"/>
        <v>-13646.602686024004</v>
      </c>
      <c r="AL64" s="41">
        <f t="shared" si="45"/>
        <v>-22744.337810040011</v>
      </c>
      <c r="AM64" s="41">
        <f t="shared" si="45"/>
        <v>0</v>
      </c>
      <c r="AN64" s="41">
        <f t="shared" si="45"/>
        <v>0</v>
      </c>
      <c r="AO64" s="41">
        <f t="shared" si="45"/>
        <v>0</v>
      </c>
      <c r="AP64" s="41">
        <f t="shared" si="45"/>
        <v>-49355.21304778682</v>
      </c>
      <c r="AQ64" s="41">
        <f t="shared" si="45"/>
        <v>-39120.261033268813</v>
      </c>
      <c r="AR64" s="41">
        <f t="shared" si="45"/>
        <v>0</v>
      </c>
      <c r="AS64" s="41">
        <f t="shared" si="45"/>
        <v>0</v>
      </c>
      <c r="AT64" s="41">
        <f t="shared" si="45"/>
        <v>0</v>
      </c>
      <c r="AU64" s="41">
        <f t="shared" si="45"/>
        <v>-34116.506715060015</v>
      </c>
      <c r="AV64" s="41">
        <f t="shared" si="45"/>
        <v>-27293.205372048014</v>
      </c>
      <c r="AW64" s="41">
        <f t="shared" si="45"/>
        <v>0</v>
      </c>
      <c r="AX64" s="41">
        <f t="shared" si="45"/>
        <v>0</v>
      </c>
      <c r="AY64" s="41">
        <f t="shared" si="45"/>
        <v>-38210.487520867209</v>
      </c>
      <c r="AZ64" s="41">
        <f t="shared" si="45"/>
        <v>-58680.391549903223</v>
      </c>
      <c r="BA64" s="41">
        <f t="shared" si="45"/>
        <v>0</v>
      </c>
      <c r="BB64" s="41">
        <f t="shared" si="45"/>
        <v>0</v>
      </c>
      <c r="BC64" s="41">
        <f t="shared" si="45"/>
        <v>0</v>
      </c>
      <c r="BD64" s="41">
        <f t="shared" si="45"/>
        <v>0</v>
      </c>
      <c r="BE64" s="41">
        <f t="shared" si="45"/>
        <v>-40939.80805807202</v>
      </c>
      <c r="BF64" s="41">
        <f t="shared" si="45"/>
        <v>0</v>
      </c>
      <c r="BG64" s="41">
        <f t="shared" si="45"/>
        <v>0</v>
      </c>
      <c r="BH64" s="41">
        <f t="shared" si="45"/>
        <v>0</v>
      </c>
      <c r="BI64" s="41">
        <f t="shared" si="45"/>
        <v>0</v>
      </c>
      <c r="BJ64" s="41">
        <f t="shared" si="45"/>
        <v>0</v>
      </c>
      <c r="BK64" s="41">
        <f t="shared" si="45"/>
        <v>0</v>
      </c>
      <c r="BL64" s="41">
        <f t="shared" si="45"/>
        <v>0</v>
      </c>
      <c r="BM64" s="41">
        <f t="shared" si="45"/>
        <v>0</v>
      </c>
      <c r="BN64" s="41">
        <f t="shared" si="45"/>
        <v>0</v>
      </c>
      <c r="BO64" s="41">
        <f t="shared" si="45"/>
        <v>0</v>
      </c>
      <c r="BP64" s="41">
        <f t="shared" si="45"/>
        <v>0</v>
      </c>
      <c r="BQ64" s="41">
        <f t="shared" si="45"/>
        <v>0</v>
      </c>
      <c r="BR64" s="41">
        <f t="shared" si="45"/>
        <v>0</v>
      </c>
      <c r="BS64" s="41">
        <f t="shared" si="45"/>
        <v>0</v>
      </c>
      <c r="BT64" s="41">
        <f t="shared" si="45"/>
        <v>0</v>
      </c>
      <c r="BU64" s="41">
        <f t="shared" si="45"/>
        <v>0</v>
      </c>
      <c r="BV64" s="41">
        <f t="shared" ref="BV64:CK64" si="46">SUM(BV46:BV60)</f>
        <v>0</v>
      </c>
      <c r="BW64" s="41">
        <f t="shared" si="46"/>
        <v>0</v>
      </c>
      <c r="BX64" s="41">
        <f t="shared" si="46"/>
        <v>0</v>
      </c>
      <c r="BY64" s="41">
        <f t="shared" si="46"/>
        <v>0</v>
      </c>
      <c r="BZ64" s="41">
        <f t="shared" si="46"/>
        <v>0</v>
      </c>
      <c r="CA64" s="41">
        <f t="shared" si="46"/>
        <v>0</v>
      </c>
      <c r="CB64" s="41">
        <f t="shared" si="46"/>
        <v>0</v>
      </c>
      <c r="CC64" s="41">
        <f t="shared" si="46"/>
        <v>0</v>
      </c>
      <c r="CD64" s="41">
        <f t="shared" si="46"/>
        <v>0</v>
      </c>
      <c r="CE64" s="41">
        <f t="shared" si="46"/>
        <v>-7733.0748554136026</v>
      </c>
      <c r="CF64" s="41">
        <f t="shared" si="46"/>
        <v>0</v>
      </c>
      <c r="CG64" s="41">
        <f t="shared" si="46"/>
        <v>-25018.771591044009</v>
      </c>
      <c r="CH64" s="41">
        <f t="shared" si="46"/>
        <v>0</v>
      </c>
      <c r="CI64" s="41">
        <f t="shared" si="46"/>
        <v>0</v>
      </c>
      <c r="CJ64" s="41">
        <f t="shared" si="46"/>
        <v>0</v>
      </c>
      <c r="CK64" s="41">
        <f t="shared" si="46"/>
        <v>0</v>
      </c>
    </row>
    <row r="66" spans="12:89" x14ac:dyDescent="0.2">
      <c r="L66" s="1" t="s">
        <v>260</v>
      </c>
      <c r="M66" s="3">
        <f>SUM(M12:M26)</f>
        <v>140326</v>
      </c>
      <c r="N66" s="3">
        <f t="shared" ref="N66:BY66" si="47">SUM(N12:N26)</f>
        <v>140326</v>
      </c>
      <c r="O66" s="3">
        <f t="shared" si="47"/>
        <v>140326</v>
      </c>
      <c r="P66" s="3">
        <f t="shared" si="47"/>
        <v>140506.9</v>
      </c>
      <c r="Q66" s="3">
        <f t="shared" si="47"/>
        <v>141209.94999999998</v>
      </c>
      <c r="R66" s="3">
        <f t="shared" si="47"/>
        <v>141469.50999999998</v>
      </c>
      <c r="S66" s="3">
        <f t="shared" si="47"/>
        <v>142317.03999999998</v>
      </c>
      <c r="T66" s="3">
        <f t="shared" si="47"/>
        <v>142317.03999999998</v>
      </c>
      <c r="U66" s="3">
        <f t="shared" si="47"/>
        <v>142683.49</v>
      </c>
      <c r="V66" s="3">
        <f t="shared" si="47"/>
        <v>130491.49</v>
      </c>
      <c r="W66" s="3">
        <f t="shared" si="47"/>
        <v>142136.49</v>
      </c>
      <c r="X66" s="3">
        <f t="shared" si="47"/>
        <v>142937.04</v>
      </c>
      <c r="Y66" s="3">
        <f t="shared" si="47"/>
        <v>158062.04</v>
      </c>
      <c r="Z66" s="3">
        <f t="shared" si="47"/>
        <v>158519.54</v>
      </c>
      <c r="AA66" s="3">
        <f t="shared" si="47"/>
        <v>158519.54</v>
      </c>
      <c r="AB66" s="3">
        <f t="shared" si="47"/>
        <v>154688.64000000001</v>
      </c>
      <c r="AC66" s="3">
        <f t="shared" si="47"/>
        <v>155412.78149999998</v>
      </c>
      <c r="AD66" s="3">
        <f t="shared" si="47"/>
        <v>155680.12829999998</v>
      </c>
      <c r="AE66" s="3">
        <f t="shared" si="47"/>
        <v>167977.08419999998</v>
      </c>
      <c r="AF66" s="3">
        <f t="shared" si="47"/>
        <v>199512.08419999998</v>
      </c>
      <c r="AG66" s="3">
        <f t="shared" si="47"/>
        <v>191095.6342</v>
      </c>
      <c r="AH66" s="3">
        <f t="shared" si="47"/>
        <v>220479.11420000001</v>
      </c>
      <c r="AI66" s="3">
        <f t="shared" si="47"/>
        <v>220675.46420000002</v>
      </c>
      <c r="AJ66" s="3">
        <f t="shared" si="47"/>
        <v>221500.0307</v>
      </c>
      <c r="AK66" s="3">
        <f t="shared" si="47"/>
        <v>225523.7807</v>
      </c>
      <c r="AL66" s="3">
        <f t="shared" si="47"/>
        <v>215766.2807</v>
      </c>
      <c r="AM66" s="3">
        <f t="shared" si="47"/>
        <v>215766.2807</v>
      </c>
      <c r="AN66" s="3">
        <f t="shared" si="47"/>
        <v>215837.6807</v>
      </c>
      <c r="AO66" s="3">
        <f t="shared" si="47"/>
        <v>216583.54644500001</v>
      </c>
      <c r="AP66" s="3">
        <f t="shared" si="47"/>
        <v>220316.13964500002</v>
      </c>
      <c r="AQ66" s="3">
        <f t="shared" si="47"/>
        <v>200921.37374500002</v>
      </c>
      <c r="AR66" s="3">
        <f t="shared" si="47"/>
        <v>201867.42374500001</v>
      </c>
      <c r="AS66" s="3">
        <f t="shared" si="47"/>
        <v>201992.37374499999</v>
      </c>
      <c r="AT66" s="3">
        <f t="shared" si="47"/>
        <v>203102.35814499998</v>
      </c>
      <c r="AU66" s="3">
        <f t="shared" si="47"/>
        <v>212382.59864499999</v>
      </c>
      <c r="AV66" s="3">
        <f t="shared" si="47"/>
        <v>200965.07061999998</v>
      </c>
      <c r="AW66" s="3">
        <f t="shared" si="47"/>
        <v>201539.53311999998</v>
      </c>
      <c r="AX66" s="3">
        <f t="shared" si="47"/>
        <v>201718.03311999998</v>
      </c>
      <c r="AY66" s="3">
        <f t="shared" si="47"/>
        <v>211714.03311999998</v>
      </c>
      <c r="AZ66" s="3">
        <f t="shared" si="47"/>
        <v>227138.57511999996</v>
      </c>
      <c r="BA66" s="3">
        <f t="shared" si="47"/>
        <v>227906.81683734996</v>
      </c>
      <c r="BB66" s="3">
        <f t="shared" si="47"/>
        <v>228294.16183734997</v>
      </c>
      <c r="BC66" s="3">
        <f t="shared" si="47"/>
        <v>228954.18343734997</v>
      </c>
      <c r="BD66" s="3">
        <f t="shared" si="47"/>
        <v>229928.61493734998</v>
      </c>
      <c r="BE66" s="3">
        <f t="shared" si="47"/>
        <v>240767.31343734995</v>
      </c>
      <c r="BF66" s="3">
        <f t="shared" si="47"/>
        <v>241910.59736934997</v>
      </c>
      <c r="BG66" s="3">
        <f t="shared" si="47"/>
        <v>242544.24508434994</v>
      </c>
      <c r="BH66" s="3">
        <f t="shared" si="47"/>
        <v>243051.02273859998</v>
      </c>
      <c r="BI66" s="3">
        <f t="shared" si="47"/>
        <v>243642.71911359997</v>
      </c>
      <c r="BJ66" s="3">
        <f t="shared" si="47"/>
        <v>243826.57411359996</v>
      </c>
      <c r="BK66" s="3">
        <f t="shared" si="47"/>
        <v>244126.45411359996</v>
      </c>
      <c r="BL66" s="3">
        <f t="shared" si="47"/>
        <v>244662.73237359995</v>
      </c>
      <c r="BM66" s="3">
        <f t="shared" si="47"/>
        <v>245454.02134247049</v>
      </c>
      <c r="BN66" s="3">
        <f t="shared" si="47"/>
        <v>245852.98669247044</v>
      </c>
      <c r="BO66" s="3">
        <f t="shared" si="47"/>
        <v>246532.80894047045</v>
      </c>
      <c r="BP66" s="3">
        <f t="shared" si="47"/>
        <v>247536.47338547045</v>
      </c>
      <c r="BQ66" s="3">
        <f t="shared" si="47"/>
        <v>247990.33284047048</v>
      </c>
      <c r="BR66" s="3">
        <f t="shared" si="47"/>
        <v>249167.91529043048</v>
      </c>
      <c r="BS66" s="3">
        <f t="shared" si="47"/>
        <v>249820.57243688047</v>
      </c>
      <c r="BT66" s="3">
        <f t="shared" si="47"/>
        <v>250342.55342075796</v>
      </c>
      <c r="BU66" s="3">
        <f t="shared" si="47"/>
        <v>250952.00068700797</v>
      </c>
      <c r="BV66" s="3">
        <f t="shared" si="47"/>
        <v>251141.37133700796</v>
      </c>
      <c r="BW66" s="3">
        <f t="shared" si="47"/>
        <v>251450.24773700794</v>
      </c>
      <c r="BX66" s="3">
        <f t="shared" si="47"/>
        <v>252002.61434480795</v>
      </c>
      <c r="BY66" s="3">
        <f t="shared" si="47"/>
        <v>252817.64198274459</v>
      </c>
      <c r="BZ66" s="3">
        <f t="shared" ref="BZ66:CG66" si="48">SUM(BZ12:BZ26)</f>
        <v>253228.57629324461</v>
      </c>
      <c r="CA66" s="3">
        <f t="shared" si="48"/>
        <v>253928.7932086846</v>
      </c>
      <c r="CB66" s="3">
        <f t="shared" si="48"/>
        <v>254962.5675870346</v>
      </c>
      <c r="CC66" s="3">
        <f t="shared" si="48"/>
        <v>255430.04282568462</v>
      </c>
      <c r="CD66" s="3">
        <f t="shared" si="48"/>
        <v>247813.92139927461</v>
      </c>
      <c r="CE66" s="3">
        <f t="shared" si="48"/>
        <v>237181.61451282463</v>
      </c>
      <c r="CF66" s="3">
        <f t="shared" si="48"/>
        <v>237719.25492621845</v>
      </c>
      <c r="CG66" s="3">
        <f t="shared" si="48"/>
        <v>227357.96523666842</v>
      </c>
    </row>
    <row r="67" spans="12:89" x14ac:dyDescent="0.2">
      <c r="L67" s="88" t="s">
        <v>340</v>
      </c>
      <c r="M67" s="87" cm="1">
        <f t="array" ref="M67:M81">IF(M$6="","",IF(M$12:M$26=0,$C$12:$C$26*$C$8*(1+$C$4)^INT(DATEDIF($M$6,M$6,"m")/12),0))</f>
        <v>0</v>
      </c>
      <c r="N67" s="87" cm="1">
        <f t="array" ref="N67:N81">IF(N$6="","",IF(N$12:N$26=0,$C$12:$C$26*$C$8*(1+$C$4)^INT(DATEDIF($M$6,N$6,"m")/12),0))</f>
        <v>0</v>
      </c>
      <c r="O67" s="87" cm="1">
        <f t="array" ref="O67:O81">IF(O$6="","",IF(O$12:O$26=0,$C$12:$C$26*$C$8*(1+$C$4)^INT(DATEDIF($M$6,O$6,"m")/12),0))</f>
        <v>0</v>
      </c>
      <c r="P67" s="87" cm="1">
        <f t="array" ref="P67:P81">IF(P$6="","",IF(P$12:P$26=0,$C$12:$C$26*$C$8*(1+$C$4)^INT(DATEDIF($M$6,P$6,"m")/12),0))</f>
        <v>0</v>
      </c>
      <c r="Q67" s="87" cm="1">
        <f t="array" ref="Q67:Q81">IF(Q$6="","",IF(Q$12:Q$26=0,$C$12:$C$26*$C$8*(1+$C$4)^INT(DATEDIF($M$6,Q$6,"m")/12),0))</f>
        <v>0</v>
      </c>
      <c r="R67" s="87" cm="1">
        <f t="array" ref="R67:R81">IF(R$6="","",IF(R$12:R$26=0,$C$12:$C$26*$C$8*(1+$C$4)^INT(DATEDIF($M$6,R$6,"m")/12),0))</f>
        <v>0</v>
      </c>
      <c r="S67" s="87" cm="1">
        <f t="array" ref="S67:S81">IF(S$6="","",IF(S$12:S$26=0,$C$12:$C$26*$C$8*(1+$C$4)^INT(DATEDIF($M$6,S$6,"m")/12),0))</f>
        <v>0</v>
      </c>
      <c r="T67" s="87" cm="1">
        <f t="array" ref="T67:T81">IF(T$6="","",IF(T$12:T$26=0,$C$12:$C$26*$C$8*(1+$C$4)^INT(DATEDIF($M$6,T$6,"m")/12),0))</f>
        <v>0</v>
      </c>
      <c r="U67" s="87" cm="1">
        <f t="array" ref="U67:U81">IF(U$6="","",IF(U$12:U$26=0,$C$12:$C$26*$C$8*(1+$C$4)^INT(DATEDIF($M$6,U$6,"m")/12),0))</f>
        <v>0</v>
      </c>
      <c r="V67" s="87" cm="1">
        <f t="array" ref="V67:V81">IF(V$6="","",IF(V$12:V$26=0,$C$12:$C$26*$C$8*(1+$C$4)^INT(DATEDIF($M$6,V$6,"m")/12),0))</f>
        <v>0</v>
      </c>
      <c r="W67" s="87" cm="1">
        <f t="array" ref="W67:W81">IF(W$6="","",IF(W$12:W$26=0,$C$12:$C$26*$C$8*(1+$C$4)^INT(DATEDIF($M$6,W$6,"m")/12),0))</f>
        <v>0</v>
      </c>
      <c r="X67" s="87" cm="1">
        <f t="array" ref="X67:X81">IF(X$6="","",IF(X$12:X$26=0,$C$12:$C$26*$C$8*(1+$C$4)^INT(DATEDIF($M$6,X$6,"m")/12),0))</f>
        <v>0</v>
      </c>
      <c r="Y67" s="87" cm="1">
        <f t="array" ref="Y67:Y81">IF(Y$6="","",IF(Y$12:Y$26=0,$C$12:$C$26*$C$8*(1+$C$4)^INT(DATEDIF($M$6,Y$6,"m")/12),0))</f>
        <v>0</v>
      </c>
      <c r="Z67" s="87" cm="1">
        <f t="array" ref="Z67:Z81">IF(Z$6="","",IF(Z$12:Z$26=0,$C$12:$C$26*$C$8*(1+$C$4)^INT(DATEDIF($M$6,Z$6,"m")/12),0))</f>
        <v>0</v>
      </c>
      <c r="AA67" s="87" cm="1">
        <f t="array" ref="AA67:AA81">IF(AA$6="","",IF(AA$12:AA$26=0,$C$12:$C$26*$C$8*(1+$C$4)^INT(DATEDIF($M$6,AA$6,"m")/12),0))</f>
        <v>0</v>
      </c>
      <c r="AB67" s="87" cm="1">
        <f t="array" ref="AB67:AB81">IF(AB$6="","",IF(AB$12:AB$26=0,$C$12:$C$26*$C$8*(1+$C$4)^INT(DATEDIF($M$6,AB$6,"m")/12),0))</f>
        <v>0</v>
      </c>
      <c r="AC67" s="87" cm="1">
        <f t="array" ref="AC67:AC81">IF(AC$6="","",IF(AC$12:AC$26=0,$C$12:$C$26*$C$8*(1+$C$4)^INT(DATEDIF($M$6,AC$6,"m")/12),0))</f>
        <v>0</v>
      </c>
      <c r="AD67" s="87" cm="1">
        <f t="array" ref="AD67:AD81">IF(AD$6="","",IF(AD$12:AD$26=0,$C$12:$C$26*$C$8*(1+$C$4)^INT(DATEDIF($M$6,AD$6,"m")/12),0))</f>
        <v>0</v>
      </c>
      <c r="AE67" s="87" cm="1">
        <f t="array" ref="AE67:AE81">IF(AE$6="","",IF(AE$12:AE$26=0,$C$12:$C$26*$C$8*(1+$C$4)^INT(DATEDIF($M$6,AE$6,"m")/12),0))</f>
        <v>0</v>
      </c>
      <c r="AF67" s="87" cm="1">
        <f t="array" ref="AF67:AF81">IF(AF$6="","",IF(AF$12:AF$26=0,$C$12:$C$26*$C$8*(1+$C$4)^INT(DATEDIF($M$6,AF$6,"m")/12),0))</f>
        <v>0</v>
      </c>
      <c r="AG67" s="87" cm="1">
        <f t="array" ref="AG67:AG81">IF(AG$6="","",IF(AG$12:AG$26=0,$C$12:$C$26*$C$8*(1+$C$4)^INT(DATEDIF($M$6,AG$6,"m")/12),0))</f>
        <v>0</v>
      </c>
      <c r="AH67" s="87" cm="1">
        <f t="array" ref="AH67:AH81">IF(AH$6="","",IF(AH$12:AH$26=0,$C$12:$C$26*$C$8*(1+$C$4)^INT(DATEDIF($M$6,AH$6,"m")/12),0))</f>
        <v>0</v>
      </c>
      <c r="AI67" s="87" cm="1">
        <f t="array" ref="AI67:AI81">IF(AI$6="","",IF(AI$12:AI$26=0,$C$12:$C$26*$C$8*(1+$C$4)^INT(DATEDIF($M$6,AI$6,"m")/12),0))</f>
        <v>0</v>
      </c>
      <c r="AJ67" s="87" cm="1">
        <f t="array" ref="AJ67:AJ81">IF(AJ$6="","",IF(AJ$12:AJ$26=0,$C$12:$C$26*$C$8*(1+$C$4)^INT(DATEDIF($M$6,AJ$6,"m")/12),0))</f>
        <v>0</v>
      </c>
      <c r="AK67" s="87" cm="1">
        <f t="array" ref="AK67:AK81">IF(AK$6="","",IF(AK$12:AK$26=0,$C$12:$C$26*$C$8*(1+$C$4)^INT(DATEDIF($M$6,AK$6,"m")/12),0))</f>
        <v>0</v>
      </c>
      <c r="AL67" s="87" cm="1">
        <f t="array" ref="AL67:AL81">IF(AL$6="","",IF(AL$12:AL$26=0,$C$12:$C$26*$C$8*(1+$C$4)^INT(DATEDIF($M$6,AL$6,"m")/12),0))</f>
        <v>0</v>
      </c>
      <c r="AM67" s="87" cm="1">
        <f t="array" ref="AM67:AM81">IF(AM$6="","",IF(AM$12:AM$26=0,$C$12:$C$26*$C$8*(1+$C$4)^INT(DATEDIF($M$6,AM$6,"m")/12),0))</f>
        <v>0</v>
      </c>
      <c r="AN67" s="87" cm="1">
        <f t="array" ref="AN67:AN81">IF(AN$6="","",IF(AN$12:AN$26=0,$C$12:$C$26*$C$8*(1+$C$4)^INT(DATEDIF($M$6,AN$6,"m")/12),0))</f>
        <v>0</v>
      </c>
      <c r="AO67" s="87" cm="1">
        <f t="array" ref="AO67:AO81">IF(AO$6="","",IF(AO$12:AO$26=0,$C$12:$C$26*$C$8*(1+$C$4)^INT(DATEDIF($M$6,AO$6,"m")/12),0))</f>
        <v>0</v>
      </c>
      <c r="AP67" s="87" cm="1">
        <f t="array" ref="AP67:AP81">IF(AP$6="","",IF(AP$12:AP$26=0,$C$12:$C$26*$C$8*(1+$C$4)^INT(DATEDIF($M$6,AP$6,"m")/12),0))</f>
        <v>0</v>
      </c>
      <c r="AQ67" s="87" cm="1">
        <f t="array" ref="AQ67:AQ81">IF(AQ$6="","",IF(AQ$12:AQ$26=0,$C$12:$C$26*$C$8*(1+$C$4)^INT(DATEDIF($M$6,AQ$6,"m")/12),0))</f>
        <v>0</v>
      </c>
      <c r="AR67" s="87" cm="1">
        <f t="array" ref="AR67:AR81">IF(AR$6="","",IF(AR$12:AR$26=0,$C$12:$C$26*$C$8*(1+$C$4)^INT(DATEDIF($M$6,AR$6,"m")/12),0))</f>
        <v>0</v>
      </c>
      <c r="AS67" s="87" cm="1">
        <f t="array" ref="AS67:AS81">IF(AS$6="","",IF(AS$12:AS$26=0,$C$12:$C$26*$C$8*(1+$C$4)^INT(DATEDIF($M$6,AS$6,"m")/12),0))</f>
        <v>0</v>
      </c>
      <c r="AT67" s="87" cm="1">
        <f t="array" ref="AT67:AT81">IF(AT$6="","",IF(AT$12:AT$26=0,$C$12:$C$26*$C$8*(1+$C$4)^INT(DATEDIF($M$6,AT$6,"m")/12),0))</f>
        <v>0</v>
      </c>
      <c r="AU67" s="87" cm="1">
        <f t="array" ref="AU67:AU81">IF(AU$6="","",IF(AU$12:AU$26=0,$C$12:$C$26*$C$8*(1+$C$4)^INT(DATEDIF($M$6,AU$6,"m")/12),0))</f>
        <v>0</v>
      </c>
      <c r="AV67" s="87" cm="1">
        <f t="array" ref="AV67:AV81">IF(AV$6="","",IF(AV$12:AV$26=0,$C$12:$C$26*$C$8*(1+$C$4)^INT(DATEDIF($M$6,AV$6,"m")/12),0))</f>
        <v>0</v>
      </c>
      <c r="AW67" s="87" cm="1">
        <f t="array" ref="AW67:AW81">IF(AW$6="","",IF(AW$12:AW$26=0,$C$12:$C$26*$C$8*(1+$C$4)^INT(DATEDIF($M$6,AW$6,"m")/12),0))</f>
        <v>0</v>
      </c>
      <c r="AX67" s="87" cm="1">
        <f t="array" ref="AX67:AX81">IF(AX$6="","",IF(AX$12:AX$26=0,$C$12:$C$26*$C$8*(1+$C$4)^INT(DATEDIF($M$6,AX$6,"m")/12),0))</f>
        <v>0</v>
      </c>
      <c r="AY67" s="87" cm="1">
        <f t="array" ref="AY67:AY81">IF(AY$6="","",IF(AY$12:AY$26=0,$C$12:$C$26*$C$8*(1+$C$4)^INT(DATEDIF($M$6,AY$6,"m")/12),0))</f>
        <v>0</v>
      </c>
      <c r="AZ67" s="87" cm="1">
        <f t="array" ref="AZ67:AZ81">IF(AZ$6="","",IF(AZ$12:AZ$26=0,$C$12:$C$26*$C$8*(1+$C$4)^INT(DATEDIF($M$6,AZ$6,"m")/12),0))</f>
        <v>0</v>
      </c>
      <c r="BA67" s="87" cm="1">
        <f t="array" ref="BA67:BA81">IF(BA$6="","",IF(BA$12:BA$26=0,$C$12:$C$26*$C$8*(1+$C$4)^INT(DATEDIF($M$6,BA$6,"m")/12),0))</f>
        <v>0</v>
      </c>
      <c r="BB67" s="87" cm="1">
        <f t="array" ref="BB67:BB81">IF(BB$6="","",IF(BB$12:BB$26=0,$C$12:$C$26*$C$8*(1+$C$4)^INT(DATEDIF($M$6,BB$6,"m")/12),0))</f>
        <v>0</v>
      </c>
      <c r="BC67" s="87" cm="1">
        <f t="array" ref="BC67:BC81">IF(BC$6="","",IF(BC$12:BC$26=0,$C$12:$C$26*$C$8*(1+$C$4)^INT(DATEDIF($M$6,BC$6,"m")/12),0))</f>
        <v>0</v>
      </c>
      <c r="BD67" s="87" cm="1">
        <f t="array" ref="BD67:BD81">IF(BD$6="","",IF(BD$12:BD$26=0,$C$12:$C$26*$C$8*(1+$C$4)^INT(DATEDIF($M$6,BD$6,"m")/12),0))</f>
        <v>0</v>
      </c>
      <c r="BE67" s="87" cm="1">
        <f t="array" ref="BE67:BE81">IF(BE$6="","",IF(BE$12:BE$26=0,$C$12:$C$26*$C$8*(1+$C$4)^INT(DATEDIF($M$6,BE$6,"m")/12),0))</f>
        <v>0</v>
      </c>
      <c r="BF67" s="87" cm="1">
        <f t="array" ref="BF67:BF81">IF(BF$6="","",IF(BF$12:BF$26=0,$C$12:$C$26*$C$8*(1+$C$4)^INT(DATEDIF($M$6,BF$6,"m")/12),0))</f>
        <v>0</v>
      </c>
      <c r="BG67" s="87" cm="1">
        <f t="array" ref="BG67:BG81">IF(BG$6="","",IF(BG$12:BG$26=0,$C$12:$C$26*$C$8*(1+$C$4)^INT(DATEDIF($M$6,BG$6,"m")/12),0))</f>
        <v>0</v>
      </c>
      <c r="BH67" s="87" cm="1">
        <f t="array" ref="BH67:BH81">IF(BH$6="","",IF(BH$12:BH$26=0,$C$12:$C$26*$C$8*(1+$C$4)^INT(DATEDIF($M$6,BH$6,"m")/12),0))</f>
        <v>0</v>
      </c>
      <c r="BI67" s="87" cm="1">
        <f t="array" ref="BI67:BI81">IF(BI$6="","",IF(BI$12:BI$26=0,$C$12:$C$26*$C$8*(1+$C$4)^INT(DATEDIF($M$6,BI$6,"m")/12),0))</f>
        <v>0</v>
      </c>
      <c r="BJ67" s="87" cm="1">
        <f t="array" ref="BJ67:BJ81">IF(BJ$6="","",IF(BJ$12:BJ$26=0,$C$12:$C$26*$C$8*(1+$C$4)^INT(DATEDIF($M$6,BJ$6,"m")/12),0))</f>
        <v>0</v>
      </c>
      <c r="BK67" s="87" cm="1">
        <f t="array" ref="BK67:BK81">IF(BK$6="","",IF(BK$12:BK$26=0,$C$12:$C$26*$C$8*(1+$C$4)^INT(DATEDIF($M$6,BK$6,"m")/12),0))</f>
        <v>0</v>
      </c>
      <c r="BL67" s="87" cm="1">
        <f t="array" ref="BL67:BL81">IF(BL$6="","",IF(BL$12:BL$26=0,$C$12:$C$26*$C$8*(1+$C$4)^INT(DATEDIF($M$6,BL$6,"m")/12),0))</f>
        <v>0</v>
      </c>
      <c r="BM67" s="87" cm="1">
        <f t="array" ref="BM67:BM81">IF(BM$6="","",IF(BM$12:BM$26=0,$C$12:$C$26*$C$8*(1+$C$4)^INT(DATEDIF($M$6,BM$6,"m")/12),0))</f>
        <v>0</v>
      </c>
      <c r="BN67" s="87" cm="1">
        <f t="array" ref="BN67:BN81">IF(BN$6="","",IF(BN$12:BN$26=0,$C$12:$C$26*$C$8*(1+$C$4)^INT(DATEDIF($M$6,BN$6,"m")/12),0))</f>
        <v>0</v>
      </c>
      <c r="BO67" s="87" cm="1">
        <f t="array" ref="BO67:BO81">IF(BO$6="","",IF(BO$12:BO$26=0,$C$12:$C$26*$C$8*(1+$C$4)^INT(DATEDIF($M$6,BO$6,"m")/12),0))</f>
        <v>0</v>
      </c>
      <c r="BP67" s="87" cm="1">
        <f t="array" ref="BP67:BP81">IF(BP$6="","",IF(BP$12:BP$26=0,$C$12:$C$26*$C$8*(1+$C$4)^INT(DATEDIF($M$6,BP$6,"m")/12),0))</f>
        <v>0</v>
      </c>
      <c r="BQ67" s="87" cm="1">
        <f t="array" ref="BQ67:BQ81">IF(BQ$6="","",IF(BQ$12:BQ$26=0,$C$12:$C$26*$C$8*(1+$C$4)^INT(DATEDIF($M$6,BQ$6,"m")/12),0))</f>
        <v>0</v>
      </c>
      <c r="BR67" s="87" cm="1">
        <f t="array" ref="BR67:BR81">IF(BR$6="","",IF(BR$12:BR$26=0,$C$12:$C$26*$C$8*(1+$C$4)^INT(DATEDIF($M$6,BR$6,"m")/12),0))</f>
        <v>0</v>
      </c>
      <c r="BS67" s="87" cm="1">
        <f t="array" ref="BS67:BS81">IF(BS$6="","",IF(BS$12:BS$26=0,$C$12:$C$26*$C$8*(1+$C$4)^INT(DATEDIF($M$6,BS$6,"m")/12),0))</f>
        <v>0</v>
      </c>
      <c r="BT67" s="87" cm="1">
        <f t="array" ref="BT67:BT81">IF(BT$6="","",IF(BT$12:BT$26=0,$C$12:$C$26*$C$8*(1+$C$4)^INT(DATEDIF($M$6,BT$6,"m")/12),0))</f>
        <v>0</v>
      </c>
      <c r="BU67" s="87" cm="1">
        <f t="array" ref="BU67:BU81">IF(BU$6="","",IF(BU$12:BU$26=0,$C$12:$C$26*$C$8*(1+$C$4)^INT(DATEDIF($M$6,BU$6,"m")/12),0))</f>
        <v>0</v>
      </c>
      <c r="BV67" s="87" cm="1">
        <f t="array" ref="BV67:BV81">IF(BV$6="","",IF(BV$12:BV$26=0,$C$12:$C$26*$C$8*(1+$C$4)^INT(DATEDIF($M$6,BV$6,"m")/12),0))</f>
        <v>0</v>
      </c>
      <c r="BW67" s="87" cm="1">
        <f t="array" ref="BW67:BW81">IF(BW$6="","",IF(BW$12:BW$26=0,$C$12:$C$26*$C$8*(1+$C$4)^INT(DATEDIF($M$6,BW$6,"m")/12),0))</f>
        <v>0</v>
      </c>
      <c r="BX67" s="87" cm="1">
        <f t="array" ref="BX67:BX81">IF(BX$6="","",IF(BX$12:BX$26=0,$C$12:$C$26*$C$8*(1+$C$4)^INT(DATEDIF($M$6,BX$6,"m")/12),0))</f>
        <v>0</v>
      </c>
      <c r="BY67" s="87" cm="1">
        <f t="array" ref="BY67:BY81">IF(BY$6="","",IF(BY$12:BY$26=0,$C$12:$C$26*$C$8*(1+$C$4)^INT(DATEDIF($M$6,BY$6,"m")/12),0))</f>
        <v>0</v>
      </c>
      <c r="BZ67" s="87" cm="1">
        <f t="array" ref="BZ67:BZ81">IF(BZ$6="","",IF(BZ$12:BZ$26=0,$C$12:$C$26*$C$8*(1+$C$4)^INT(DATEDIF($M$6,BZ$6,"m")/12),0))</f>
        <v>0</v>
      </c>
      <c r="CA67" s="87" cm="1">
        <f t="array" ref="CA67:CA81">IF(CA$6="","",IF(CA$12:CA$26=0,$C$12:$C$26*$C$8*(1+$C$4)^INT(DATEDIF($M$6,CA$6,"m")/12),0))</f>
        <v>0</v>
      </c>
      <c r="CB67" s="87" cm="1">
        <f t="array" ref="CB67:CB81">IF(CB$6="","",IF(CB$12:CB$26=0,$C$12:$C$26*$C$8*(1+$C$4)^INT(DATEDIF($M$6,CB$6,"m")/12),0))</f>
        <v>0</v>
      </c>
      <c r="CC67" s="87" cm="1">
        <f t="array" ref="CC67:CC81">IF(CC$6="","",IF(CC$12:CC$26=0,$C$12:$C$26*$C$8*(1+$C$4)^INT(DATEDIF($M$6,CC$6,"m")/12),0))</f>
        <v>0</v>
      </c>
      <c r="CD67" s="87" cm="1">
        <f t="array" ref="CD67:CD81">IF(CD$6="","",IF(CD$12:CD$26=0,$C$12:$C$26*$C$8*(1+$C$4)^INT(DATEDIF($M$6,CD$6,"m")/12),0))</f>
        <v>0</v>
      </c>
      <c r="CE67" s="87" cm="1">
        <f t="array" ref="CE67:CE81">IF(CE$6="","",IF(CE$12:CE$26=0,$C$12:$C$26*$C$8*(1+$C$4)^INT(DATEDIF($M$6,CE$6,"m")/12),0))</f>
        <v>0</v>
      </c>
      <c r="CF67" s="87" cm="1">
        <f t="array" ref="CF67:CF81">IF(CF$6="","",IF(CF$12:CF$26=0,$C$12:$C$26*$C$8*(1+$C$4)^INT(DATEDIF($M$6,CF$6,"m")/12),0))</f>
        <v>0</v>
      </c>
      <c r="CG67" s="87" cm="1">
        <f t="array" ref="CG67:CG81">IF(CG$6="","",IF(CG$12:CG$26=0,$C$12:$C$26*$C$8*(1+$C$4)^INT(DATEDIF($M$6,CG$6,"m")/12),0))</f>
        <v>0</v>
      </c>
      <c r="CH67" s="87" t="str" cm="1">
        <f t="array" ref="CH67">IF(CH$6="","",IF(CH$12:CH$26=0,$C$12:$C$26*$C$8*(1+$C$4)^INT(DATEDIF($M$6,CH$6,"m")/12),0))</f>
        <v/>
      </c>
      <c r="CI67" s="87" t="str" cm="1">
        <f t="array" ref="CI67">IF(CI$6="","",IF(CI$12:CI$26=0,$C$12:$C$26*$C$8*(1+$C$4)^INT(DATEDIF($M$6,CI$6,"m")/12),0))</f>
        <v/>
      </c>
      <c r="CJ67" s="87" t="str" cm="1">
        <f t="array" ref="CJ67">IF(CJ$6="","",IF(CJ$12:CJ$26=0,$C$12:$C$26*$C$8*(1+$C$4)^INT(DATEDIF($M$6,CJ$6,"m")/12),0))</f>
        <v/>
      </c>
      <c r="CK67" s="87" t="str" cm="1">
        <f t="array" ref="CK67">IF(CK$6="","",IF(CK$12:CK$26=0,$C$12:$C$26*$C$8*(1+$C$4)^INT(DATEDIF($M$6,CK$6,"m")/12),0))</f>
        <v/>
      </c>
    </row>
    <row r="68" spans="12:89" x14ac:dyDescent="0.2">
      <c r="L68" s="89"/>
      <c r="M68" s="87">
        <v>0</v>
      </c>
      <c r="N68" s="87">
        <v>0</v>
      </c>
      <c r="O68" s="87">
        <v>0</v>
      </c>
      <c r="P68" s="87">
        <v>0</v>
      </c>
      <c r="Q68" s="87">
        <v>0</v>
      </c>
      <c r="R68" s="87">
        <v>0</v>
      </c>
      <c r="S68" s="87">
        <v>0</v>
      </c>
      <c r="T68" s="87">
        <v>0</v>
      </c>
      <c r="U68" s="87">
        <v>0</v>
      </c>
      <c r="V68" s="87">
        <v>0</v>
      </c>
      <c r="W68" s="87">
        <v>0</v>
      </c>
      <c r="X68" s="87">
        <v>0</v>
      </c>
      <c r="Y68" s="87">
        <v>0</v>
      </c>
      <c r="Z68" s="87">
        <v>0</v>
      </c>
      <c r="AA68" s="87">
        <v>0</v>
      </c>
      <c r="AB68" s="87">
        <v>0</v>
      </c>
      <c r="AC68" s="87">
        <v>0</v>
      </c>
      <c r="AD68" s="87">
        <v>0</v>
      </c>
      <c r="AE68" s="87">
        <v>0</v>
      </c>
      <c r="AF68" s="87">
        <v>0</v>
      </c>
      <c r="AG68" s="87">
        <v>0</v>
      </c>
      <c r="AH68" s="87">
        <v>0</v>
      </c>
      <c r="AI68" s="87">
        <v>0</v>
      </c>
      <c r="AJ68" s="87">
        <v>0</v>
      </c>
      <c r="AK68" s="87">
        <v>0</v>
      </c>
      <c r="AL68" s="87">
        <v>0</v>
      </c>
      <c r="AM68" s="87">
        <v>0</v>
      </c>
      <c r="AN68" s="87">
        <v>0</v>
      </c>
      <c r="AO68" s="87">
        <v>0</v>
      </c>
      <c r="AP68" s="87">
        <v>0</v>
      </c>
      <c r="AQ68" s="87">
        <v>0</v>
      </c>
      <c r="AR68" s="87">
        <v>0</v>
      </c>
      <c r="AS68" s="87">
        <v>0</v>
      </c>
      <c r="AT68" s="87">
        <v>0</v>
      </c>
      <c r="AU68" s="87">
        <v>0</v>
      </c>
      <c r="AV68" s="87">
        <v>0</v>
      </c>
      <c r="AW68" s="87">
        <v>0</v>
      </c>
      <c r="AX68" s="87">
        <v>0</v>
      </c>
      <c r="AY68" s="87">
        <v>0</v>
      </c>
      <c r="AZ68" s="87">
        <v>0</v>
      </c>
      <c r="BA68" s="87">
        <v>0</v>
      </c>
      <c r="BB68" s="87">
        <v>0</v>
      </c>
      <c r="BC68" s="87">
        <v>0</v>
      </c>
      <c r="BD68" s="87">
        <v>0</v>
      </c>
      <c r="BE68" s="87">
        <v>0</v>
      </c>
      <c r="BF68" s="87">
        <v>0</v>
      </c>
      <c r="BG68" s="87">
        <v>0</v>
      </c>
      <c r="BH68" s="87">
        <v>0</v>
      </c>
      <c r="BI68" s="87">
        <v>0</v>
      </c>
      <c r="BJ68" s="87">
        <v>0</v>
      </c>
      <c r="BK68" s="87">
        <v>0</v>
      </c>
      <c r="BL68" s="87">
        <v>0</v>
      </c>
      <c r="BM68" s="87">
        <v>0</v>
      </c>
      <c r="BN68" s="87">
        <v>0</v>
      </c>
      <c r="BO68" s="87">
        <v>0</v>
      </c>
      <c r="BP68" s="87">
        <v>0</v>
      </c>
      <c r="BQ68" s="87">
        <v>0</v>
      </c>
      <c r="BR68" s="87">
        <v>0</v>
      </c>
      <c r="BS68" s="87">
        <v>0</v>
      </c>
      <c r="BT68" s="87">
        <v>0</v>
      </c>
      <c r="BU68" s="87">
        <v>0</v>
      </c>
      <c r="BV68" s="87">
        <v>0</v>
      </c>
      <c r="BW68" s="87">
        <v>0</v>
      </c>
      <c r="BX68" s="87">
        <v>0</v>
      </c>
      <c r="BY68" s="87">
        <v>0</v>
      </c>
      <c r="BZ68" s="87">
        <v>0</v>
      </c>
      <c r="CA68" s="87">
        <v>0</v>
      </c>
      <c r="CB68" s="87">
        <v>0</v>
      </c>
      <c r="CC68" s="87">
        <v>0</v>
      </c>
      <c r="CD68" s="87">
        <v>0</v>
      </c>
      <c r="CE68" s="87">
        <v>0</v>
      </c>
      <c r="CF68" s="87">
        <v>0</v>
      </c>
      <c r="CG68" s="87">
        <v>0</v>
      </c>
      <c r="CH68" s="87"/>
      <c r="CI68" s="87"/>
      <c r="CJ68" s="87"/>
      <c r="CK68" s="87"/>
    </row>
    <row r="69" spans="12:89" x14ac:dyDescent="0.2">
      <c r="L69" s="89"/>
      <c r="M69" s="87">
        <v>0</v>
      </c>
      <c r="N69" s="87">
        <v>0</v>
      </c>
      <c r="O69" s="87">
        <v>0</v>
      </c>
      <c r="P69" s="87">
        <v>0</v>
      </c>
      <c r="Q69" s="87">
        <v>0</v>
      </c>
      <c r="R69" s="87">
        <v>0</v>
      </c>
      <c r="S69" s="87">
        <v>0</v>
      </c>
      <c r="T69" s="87">
        <v>0</v>
      </c>
      <c r="U69" s="87">
        <v>0</v>
      </c>
      <c r="V69" s="87">
        <v>0</v>
      </c>
      <c r="W69" s="87">
        <v>0</v>
      </c>
      <c r="X69" s="87">
        <v>0</v>
      </c>
      <c r="Y69" s="87">
        <v>0</v>
      </c>
      <c r="Z69" s="87">
        <v>0</v>
      </c>
      <c r="AA69" s="87">
        <v>0</v>
      </c>
      <c r="AB69" s="87">
        <v>0</v>
      </c>
      <c r="AC69" s="87">
        <v>0</v>
      </c>
      <c r="AD69" s="87">
        <v>0</v>
      </c>
      <c r="AE69" s="87">
        <v>0</v>
      </c>
      <c r="AF69" s="87">
        <v>0</v>
      </c>
      <c r="AG69" s="87">
        <v>0</v>
      </c>
      <c r="AH69" s="87">
        <v>0</v>
      </c>
      <c r="AI69" s="87">
        <v>0</v>
      </c>
      <c r="AJ69" s="87">
        <v>0</v>
      </c>
      <c r="AK69" s="87">
        <v>0</v>
      </c>
      <c r="AL69" s="87">
        <v>0</v>
      </c>
      <c r="AM69" s="87">
        <v>0</v>
      </c>
      <c r="AN69" s="87">
        <v>0</v>
      </c>
      <c r="AO69" s="87">
        <v>0</v>
      </c>
      <c r="AP69" s="87">
        <v>0</v>
      </c>
      <c r="AQ69" s="87">
        <v>0</v>
      </c>
      <c r="AR69" s="87">
        <v>0</v>
      </c>
      <c r="AS69" s="87">
        <v>0</v>
      </c>
      <c r="AT69" s="87">
        <v>0</v>
      </c>
      <c r="AU69" s="87">
        <v>0</v>
      </c>
      <c r="AV69" s="87">
        <v>0</v>
      </c>
      <c r="AW69" s="87">
        <v>0</v>
      </c>
      <c r="AX69" s="87">
        <v>0</v>
      </c>
      <c r="AY69" s="87">
        <v>0</v>
      </c>
      <c r="AZ69" s="87">
        <v>0</v>
      </c>
      <c r="BA69" s="87">
        <v>0</v>
      </c>
      <c r="BB69" s="87">
        <v>0</v>
      </c>
      <c r="BC69" s="87">
        <v>0</v>
      </c>
      <c r="BD69" s="87">
        <v>0</v>
      </c>
      <c r="BE69" s="87">
        <v>0</v>
      </c>
      <c r="BF69" s="87">
        <v>0</v>
      </c>
      <c r="BG69" s="87">
        <v>0</v>
      </c>
      <c r="BH69" s="87">
        <v>0</v>
      </c>
      <c r="BI69" s="87">
        <v>0</v>
      </c>
      <c r="BJ69" s="87">
        <v>0</v>
      </c>
      <c r="BK69" s="87">
        <v>0</v>
      </c>
      <c r="BL69" s="87">
        <v>0</v>
      </c>
      <c r="BM69" s="87">
        <v>0</v>
      </c>
      <c r="BN69" s="87">
        <v>0</v>
      </c>
      <c r="BO69" s="87">
        <v>0</v>
      </c>
      <c r="BP69" s="87">
        <v>0</v>
      </c>
      <c r="BQ69" s="87">
        <v>0</v>
      </c>
      <c r="BR69" s="87">
        <v>0</v>
      </c>
      <c r="BS69" s="87">
        <v>0</v>
      </c>
      <c r="BT69" s="87">
        <v>0</v>
      </c>
      <c r="BU69" s="87">
        <v>0</v>
      </c>
      <c r="BV69" s="87">
        <v>0</v>
      </c>
      <c r="BW69" s="87">
        <v>0</v>
      </c>
      <c r="BX69" s="87">
        <v>0</v>
      </c>
      <c r="BY69" s="87">
        <v>0</v>
      </c>
      <c r="BZ69" s="87">
        <v>0</v>
      </c>
      <c r="CA69" s="87">
        <v>0</v>
      </c>
      <c r="CB69" s="87">
        <v>0</v>
      </c>
      <c r="CC69" s="87">
        <v>0</v>
      </c>
      <c r="CD69" s="87">
        <v>0</v>
      </c>
      <c r="CE69" s="87">
        <v>0</v>
      </c>
      <c r="CF69" s="87">
        <v>0</v>
      </c>
      <c r="CG69" s="87">
        <v>0</v>
      </c>
      <c r="CH69" s="87"/>
      <c r="CI69" s="87"/>
      <c r="CJ69" s="87"/>
      <c r="CK69" s="87"/>
    </row>
    <row r="70" spans="12:89" x14ac:dyDescent="0.2">
      <c r="L70" s="89"/>
      <c r="M70" s="87">
        <v>0</v>
      </c>
      <c r="N70" s="87">
        <v>0</v>
      </c>
      <c r="O70" s="87">
        <v>0</v>
      </c>
      <c r="P70" s="87">
        <v>0</v>
      </c>
      <c r="Q70" s="87">
        <v>0</v>
      </c>
      <c r="R70" s="87">
        <v>0</v>
      </c>
      <c r="S70" s="87">
        <v>0</v>
      </c>
      <c r="T70" s="87">
        <v>0</v>
      </c>
      <c r="U70" s="87">
        <v>0</v>
      </c>
      <c r="V70" s="87">
        <v>0</v>
      </c>
      <c r="W70" s="87">
        <v>0</v>
      </c>
      <c r="X70" s="87">
        <v>0</v>
      </c>
      <c r="Y70" s="87">
        <v>0</v>
      </c>
      <c r="Z70" s="87">
        <v>0</v>
      </c>
      <c r="AA70" s="87">
        <v>0</v>
      </c>
      <c r="AB70" s="87">
        <v>0</v>
      </c>
      <c r="AC70" s="87">
        <v>0</v>
      </c>
      <c r="AD70" s="87">
        <v>0</v>
      </c>
      <c r="AE70" s="87">
        <v>0</v>
      </c>
      <c r="AF70" s="87">
        <v>0</v>
      </c>
      <c r="AG70" s="87">
        <v>0</v>
      </c>
      <c r="AH70" s="87">
        <v>0</v>
      </c>
      <c r="AI70" s="87">
        <v>0</v>
      </c>
      <c r="AJ70" s="87">
        <v>0</v>
      </c>
      <c r="AK70" s="87">
        <v>0</v>
      </c>
      <c r="AL70" s="87">
        <v>0</v>
      </c>
      <c r="AM70" s="87">
        <v>0</v>
      </c>
      <c r="AN70" s="87">
        <v>0</v>
      </c>
      <c r="AO70" s="87">
        <v>0</v>
      </c>
      <c r="AP70" s="87">
        <v>0</v>
      </c>
      <c r="AQ70" s="87">
        <v>0</v>
      </c>
      <c r="AR70" s="87">
        <v>0</v>
      </c>
      <c r="AS70" s="87">
        <v>0</v>
      </c>
      <c r="AT70" s="87">
        <v>0</v>
      </c>
      <c r="AU70" s="87">
        <v>0</v>
      </c>
      <c r="AV70" s="87">
        <v>0</v>
      </c>
      <c r="AW70" s="87">
        <v>0</v>
      </c>
      <c r="AX70" s="87">
        <v>0</v>
      </c>
      <c r="AY70" s="87">
        <v>0</v>
      </c>
      <c r="AZ70" s="87">
        <v>0</v>
      </c>
      <c r="BA70" s="87">
        <v>0</v>
      </c>
      <c r="BB70" s="87">
        <v>0</v>
      </c>
      <c r="BC70" s="87">
        <v>0</v>
      </c>
      <c r="BD70" s="87">
        <v>0</v>
      </c>
      <c r="BE70" s="87">
        <v>0</v>
      </c>
      <c r="BF70" s="87">
        <v>0</v>
      </c>
      <c r="BG70" s="87">
        <v>0</v>
      </c>
      <c r="BH70" s="87">
        <v>0</v>
      </c>
      <c r="BI70" s="87">
        <v>0</v>
      </c>
      <c r="BJ70" s="87">
        <v>0</v>
      </c>
      <c r="BK70" s="87">
        <v>0</v>
      </c>
      <c r="BL70" s="87">
        <v>0</v>
      </c>
      <c r="BM70" s="87">
        <v>0</v>
      </c>
      <c r="BN70" s="87">
        <v>0</v>
      </c>
      <c r="BO70" s="87">
        <v>0</v>
      </c>
      <c r="BP70" s="87">
        <v>0</v>
      </c>
      <c r="BQ70" s="87">
        <v>0</v>
      </c>
      <c r="BR70" s="87">
        <v>0</v>
      </c>
      <c r="BS70" s="87">
        <v>0</v>
      </c>
      <c r="BT70" s="87">
        <v>0</v>
      </c>
      <c r="BU70" s="87">
        <v>0</v>
      </c>
      <c r="BV70" s="87">
        <v>0</v>
      </c>
      <c r="BW70" s="87">
        <v>0</v>
      </c>
      <c r="BX70" s="87">
        <v>0</v>
      </c>
      <c r="BY70" s="87">
        <v>0</v>
      </c>
      <c r="BZ70" s="87">
        <v>0</v>
      </c>
      <c r="CA70" s="87">
        <v>0</v>
      </c>
      <c r="CB70" s="87">
        <v>0</v>
      </c>
      <c r="CC70" s="87">
        <v>0</v>
      </c>
      <c r="CD70" s="87">
        <v>0</v>
      </c>
      <c r="CE70" s="87">
        <v>0</v>
      </c>
      <c r="CF70" s="87">
        <v>0</v>
      </c>
      <c r="CG70" s="87">
        <v>0</v>
      </c>
      <c r="CH70" s="87"/>
      <c r="CI70" s="87"/>
      <c r="CJ70" s="87"/>
      <c r="CK70" s="87"/>
    </row>
    <row r="71" spans="12:89" x14ac:dyDescent="0.2">
      <c r="L71" s="89"/>
      <c r="M71" s="87">
        <v>0</v>
      </c>
      <c r="N71" s="87">
        <v>0</v>
      </c>
      <c r="O71" s="87">
        <v>0</v>
      </c>
      <c r="P71" s="87">
        <v>0</v>
      </c>
      <c r="Q71" s="87">
        <v>0</v>
      </c>
      <c r="R71" s="87">
        <v>0</v>
      </c>
      <c r="S71" s="87">
        <v>0</v>
      </c>
      <c r="T71" s="87">
        <v>0</v>
      </c>
      <c r="U71" s="87">
        <v>0</v>
      </c>
      <c r="V71" s="87">
        <v>0</v>
      </c>
      <c r="W71" s="87">
        <v>0</v>
      </c>
      <c r="X71" s="87">
        <v>0</v>
      </c>
      <c r="Y71" s="87">
        <v>0</v>
      </c>
      <c r="Z71" s="87">
        <v>0</v>
      </c>
      <c r="AA71" s="87">
        <v>0</v>
      </c>
      <c r="AB71" s="87">
        <v>0</v>
      </c>
      <c r="AC71" s="87">
        <v>0</v>
      </c>
      <c r="AD71" s="87">
        <v>0</v>
      </c>
      <c r="AE71" s="87">
        <v>0</v>
      </c>
      <c r="AF71" s="87">
        <v>0</v>
      </c>
      <c r="AG71" s="87">
        <v>0</v>
      </c>
      <c r="AH71" s="87">
        <v>0</v>
      </c>
      <c r="AI71" s="87">
        <v>0</v>
      </c>
      <c r="AJ71" s="87">
        <v>0</v>
      </c>
      <c r="AK71" s="87">
        <v>0</v>
      </c>
      <c r="AL71" s="87">
        <v>0</v>
      </c>
      <c r="AM71" s="87">
        <v>0</v>
      </c>
      <c r="AN71" s="87">
        <v>0</v>
      </c>
      <c r="AO71" s="87">
        <v>0</v>
      </c>
      <c r="AP71" s="87">
        <v>0</v>
      </c>
      <c r="AQ71" s="87">
        <v>0</v>
      </c>
      <c r="AR71" s="87">
        <v>0</v>
      </c>
      <c r="AS71" s="87">
        <v>0</v>
      </c>
      <c r="AT71" s="87">
        <v>0</v>
      </c>
      <c r="AU71" s="87">
        <v>0</v>
      </c>
      <c r="AV71" s="87">
        <v>0</v>
      </c>
      <c r="AW71" s="87">
        <v>0</v>
      </c>
      <c r="AX71" s="87">
        <v>0</v>
      </c>
      <c r="AY71" s="87">
        <v>0</v>
      </c>
      <c r="AZ71" s="87">
        <v>0</v>
      </c>
      <c r="BA71" s="87">
        <v>0</v>
      </c>
      <c r="BB71" s="87">
        <v>0</v>
      </c>
      <c r="BC71" s="87">
        <v>0</v>
      </c>
      <c r="BD71" s="87">
        <v>0</v>
      </c>
      <c r="BE71" s="87">
        <v>0</v>
      </c>
      <c r="BF71" s="87">
        <v>0</v>
      </c>
      <c r="BG71" s="87">
        <v>0</v>
      </c>
      <c r="BH71" s="87">
        <v>0</v>
      </c>
      <c r="BI71" s="87">
        <v>0</v>
      </c>
      <c r="BJ71" s="87">
        <v>0</v>
      </c>
      <c r="BK71" s="87">
        <v>0</v>
      </c>
      <c r="BL71" s="87">
        <v>0</v>
      </c>
      <c r="BM71" s="87">
        <v>0</v>
      </c>
      <c r="BN71" s="87">
        <v>0</v>
      </c>
      <c r="BO71" s="87">
        <v>0</v>
      </c>
      <c r="BP71" s="87">
        <v>0</v>
      </c>
      <c r="BQ71" s="87">
        <v>0</v>
      </c>
      <c r="BR71" s="87">
        <v>0</v>
      </c>
      <c r="BS71" s="87">
        <v>0</v>
      </c>
      <c r="BT71" s="87">
        <v>0</v>
      </c>
      <c r="BU71" s="87">
        <v>0</v>
      </c>
      <c r="BV71" s="87">
        <v>0</v>
      </c>
      <c r="BW71" s="87">
        <v>0</v>
      </c>
      <c r="BX71" s="87">
        <v>0</v>
      </c>
      <c r="BY71" s="87">
        <v>0</v>
      </c>
      <c r="BZ71" s="87">
        <v>0</v>
      </c>
      <c r="CA71" s="87">
        <v>0</v>
      </c>
      <c r="CB71" s="87">
        <v>0</v>
      </c>
      <c r="CC71" s="87">
        <v>0</v>
      </c>
      <c r="CD71" s="87">
        <v>0</v>
      </c>
      <c r="CE71" s="87">
        <v>0</v>
      </c>
      <c r="CF71" s="87">
        <v>0</v>
      </c>
      <c r="CG71" s="87">
        <v>0</v>
      </c>
      <c r="CH71" s="87"/>
      <c r="CI71" s="87"/>
      <c r="CJ71" s="87"/>
      <c r="CK71" s="87"/>
    </row>
    <row r="72" spans="12:89" x14ac:dyDescent="0.2">
      <c r="L72" s="89"/>
      <c r="M72" s="87">
        <v>0</v>
      </c>
      <c r="N72" s="87">
        <v>0</v>
      </c>
      <c r="O72" s="87">
        <v>0</v>
      </c>
      <c r="P72" s="87">
        <v>0</v>
      </c>
      <c r="Q72" s="87">
        <v>0</v>
      </c>
      <c r="R72" s="87">
        <v>0</v>
      </c>
      <c r="S72" s="87">
        <v>0</v>
      </c>
      <c r="T72" s="87">
        <v>0</v>
      </c>
      <c r="U72" s="87">
        <v>0</v>
      </c>
      <c r="V72" s="87">
        <v>0</v>
      </c>
      <c r="W72" s="87">
        <v>0</v>
      </c>
      <c r="X72" s="87">
        <v>0</v>
      </c>
      <c r="Y72" s="87">
        <v>0</v>
      </c>
      <c r="Z72" s="87">
        <v>0</v>
      </c>
      <c r="AA72" s="87">
        <v>0</v>
      </c>
      <c r="AB72" s="87">
        <v>0</v>
      </c>
      <c r="AC72" s="87">
        <v>0</v>
      </c>
      <c r="AD72" s="87">
        <v>0</v>
      </c>
      <c r="AE72" s="87">
        <v>0</v>
      </c>
      <c r="AF72" s="87">
        <v>0</v>
      </c>
      <c r="AG72" s="87">
        <v>0</v>
      </c>
      <c r="AH72" s="87">
        <v>0</v>
      </c>
      <c r="AI72" s="87">
        <v>0</v>
      </c>
      <c r="AJ72" s="87">
        <v>0</v>
      </c>
      <c r="AK72" s="87">
        <v>0</v>
      </c>
      <c r="AL72" s="87">
        <v>0</v>
      </c>
      <c r="AM72" s="87">
        <v>0</v>
      </c>
      <c r="AN72" s="87">
        <v>0</v>
      </c>
      <c r="AO72" s="87">
        <v>0</v>
      </c>
      <c r="AP72" s="87">
        <v>0</v>
      </c>
      <c r="AQ72" s="87">
        <v>0</v>
      </c>
      <c r="AR72" s="87">
        <v>0</v>
      </c>
      <c r="AS72" s="87">
        <v>0</v>
      </c>
      <c r="AT72" s="87">
        <v>0</v>
      </c>
      <c r="AU72" s="87">
        <v>0</v>
      </c>
      <c r="AV72" s="87">
        <v>0</v>
      </c>
      <c r="AW72" s="87">
        <v>0</v>
      </c>
      <c r="AX72" s="87">
        <v>0</v>
      </c>
      <c r="AY72" s="87">
        <v>0</v>
      </c>
      <c r="AZ72" s="87">
        <v>0</v>
      </c>
      <c r="BA72" s="87">
        <v>0</v>
      </c>
      <c r="BB72" s="87">
        <v>0</v>
      </c>
      <c r="BC72" s="87">
        <v>0</v>
      </c>
      <c r="BD72" s="87">
        <v>0</v>
      </c>
      <c r="BE72" s="87">
        <v>0</v>
      </c>
      <c r="BF72" s="87">
        <v>0</v>
      </c>
      <c r="BG72" s="87">
        <v>0</v>
      </c>
      <c r="BH72" s="87">
        <v>0</v>
      </c>
      <c r="BI72" s="87">
        <v>0</v>
      </c>
      <c r="BJ72" s="87">
        <v>0</v>
      </c>
      <c r="BK72" s="87">
        <v>0</v>
      </c>
      <c r="BL72" s="87">
        <v>0</v>
      </c>
      <c r="BM72" s="87">
        <v>0</v>
      </c>
      <c r="BN72" s="87">
        <v>0</v>
      </c>
      <c r="BO72" s="87">
        <v>0</v>
      </c>
      <c r="BP72" s="87">
        <v>0</v>
      </c>
      <c r="BQ72" s="87">
        <v>0</v>
      </c>
      <c r="BR72" s="87">
        <v>0</v>
      </c>
      <c r="BS72" s="87">
        <v>0</v>
      </c>
      <c r="BT72" s="87">
        <v>0</v>
      </c>
      <c r="BU72" s="87">
        <v>0</v>
      </c>
      <c r="BV72" s="87">
        <v>0</v>
      </c>
      <c r="BW72" s="87">
        <v>0</v>
      </c>
      <c r="BX72" s="87">
        <v>0</v>
      </c>
      <c r="BY72" s="87">
        <v>0</v>
      </c>
      <c r="BZ72" s="87">
        <v>0</v>
      </c>
      <c r="CA72" s="87">
        <v>0</v>
      </c>
      <c r="CB72" s="87">
        <v>0</v>
      </c>
      <c r="CC72" s="87">
        <v>0</v>
      </c>
      <c r="CD72" s="87">
        <v>0</v>
      </c>
      <c r="CE72" s="87">
        <v>0</v>
      </c>
      <c r="CF72" s="87">
        <v>0</v>
      </c>
      <c r="CG72" s="87">
        <v>0</v>
      </c>
      <c r="CH72" s="87"/>
      <c r="CI72" s="87"/>
      <c r="CJ72" s="87"/>
      <c r="CK72" s="87"/>
    </row>
    <row r="73" spans="12:89" x14ac:dyDescent="0.2">
      <c r="L73" s="89"/>
      <c r="M73" s="87">
        <v>0</v>
      </c>
      <c r="N73" s="87">
        <v>0</v>
      </c>
      <c r="O73" s="87">
        <v>0</v>
      </c>
      <c r="P73" s="87">
        <v>0</v>
      </c>
      <c r="Q73" s="87">
        <v>0</v>
      </c>
      <c r="R73" s="87">
        <v>0</v>
      </c>
      <c r="S73" s="87">
        <v>0</v>
      </c>
      <c r="T73" s="87">
        <v>0</v>
      </c>
      <c r="U73" s="87">
        <v>0</v>
      </c>
      <c r="V73" s="87">
        <v>0</v>
      </c>
      <c r="W73" s="87">
        <v>0</v>
      </c>
      <c r="X73" s="87">
        <v>0</v>
      </c>
      <c r="Y73" s="87">
        <v>0</v>
      </c>
      <c r="Z73" s="87">
        <v>0</v>
      </c>
      <c r="AA73" s="87">
        <v>0</v>
      </c>
      <c r="AB73" s="87">
        <v>0</v>
      </c>
      <c r="AC73" s="87">
        <v>0</v>
      </c>
      <c r="AD73" s="87">
        <v>0</v>
      </c>
      <c r="AE73" s="87">
        <v>0</v>
      </c>
      <c r="AF73" s="87">
        <v>0</v>
      </c>
      <c r="AG73" s="87">
        <v>0</v>
      </c>
      <c r="AH73" s="87">
        <v>0</v>
      </c>
      <c r="AI73" s="87">
        <v>0</v>
      </c>
      <c r="AJ73" s="87">
        <v>0</v>
      </c>
      <c r="AK73" s="87">
        <v>0</v>
      </c>
      <c r="AL73" s="87">
        <v>0</v>
      </c>
      <c r="AM73" s="87">
        <v>0</v>
      </c>
      <c r="AN73" s="87">
        <v>0</v>
      </c>
      <c r="AO73" s="87">
        <v>0</v>
      </c>
      <c r="AP73" s="87">
        <v>0</v>
      </c>
      <c r="AQ73" s="87">
        <v>0</v>
      </c>
      <c r="AR73" s="87">
        <v>0</v>
      </c>
      <c r="AS73" s="87">
        <v>0</v>
      </c>
      <c r="AT73" s="87">
        <v>0</v>
      </c>
      <c r="AU73" s="87">
        <v>0</v>
      </c>
      <c r="AV73" s="87">
        <v>0</v>
      </c>
      <c r="AW73" s="87">
        <v>0</v>
      </c>
      <c r="AX73" s="87">
        <v>0</v>
      </c>
      <c r="AY73" s="87">
        <v>0</v>
      </c>
      <c r="AZ73" s="87">
        <v>0</v>
      </c>
      <c r="BA73" s="87">
        <v>0</v>
      </c>
      <c r="BB73" s="87">
        <v>0</v>
      </c>
      <c r="BC73" s="87">
        <v>0</v>
      </c>
      <c r="BD73" s="87">
        <v>0</v>
      </c>
      <c r="BE73" s="87">
        <v>0</v>
      </c>
      <c r="BF73" s="87">
        <v>0</v>
      </c>
      <c r="BG73" s="87">
        <v>0</v>
      </c>
      <c r="BH73" s="87">
        <v>0</v>
      </c>
      <c r="BI73" s="87">
        <v>0</v>
      </c>
      <c r="BJ73" s="87">
        <v>0</v>
      </c>
      <c r="BK73" s="87">
        <v>0</v>
      </c>
      <c r="BL73" s="87">
        <v>0</v>
      </c>
      <c r="BM73" s="87">
        <v>0</v>
      </c>
      <c r="BN73" s="87">
        <v>0</v>
      </c>
      <c r="BO73" s="87">
        <v>0</v>
      </c>
      <c r="BP73" s="87">
        <v>0</v>
      </c>
      <c r="BQ73" s="87">
        <v>0</v>
      </c>
      <c r="BR73" s="87">
        <v>0</v>
      </c>
      <c r="BS73" s="87">
        <v>0</v>
      </c>
      <c r="BT73" s="87">
        <v>0</v>
      </c>
      <c r="BU73" s="87">
        <v>0</v>
      </c>
      <c r="BV73" s="87">
        <v>0</v>
      </c>
      <c r="BW73" s="87">
        <v>0</v>
      </c>
      <c r="BX73" s="87">
        <v>0</v>
      </c>
      <c r="BY73" s="87">
        <v>0</v>
      </c>
      <c r="BZ73" s="87">
        <v>0</v>
      </c>
      <c r="CA73" s="87">
        <v>0</v>
      </c>
      <c r="CB73" s="87">
        <v>0</v>
      </c>
      <c r="CC73" s="87">
        <v>0</v>
      </c>
      <c r="CD73" s="87">
        <v>0</v>
      </c>
      <c r="CE73" s="87">
        <v>0</v>
      </c>
      <c r="CF73" s="87">
        <v>0</v>
      </c>
      <c r="CG73" s="87">
        <v>0</v>
      </c>
      <c r="CH73" s="87"/>
      <c r="CI73" s="87"/>
      <c r="CJ73" s="87"/>
      <c r="CK73" s="87"/>
    </row>
    <row r="74" spans="12:89" x14ac:dyDescent="0.2">
      <c r="L74" s="89"/>
      <c r="M74" s="87">
        <v>0</v>
      </c>
      <c r="N74" s="87">
        <v>0</v>
      </c>
      <c r="O74" s="87">
        <v>0</v>
      </c>
      <c r="P74" s="87">
        <v>0</v>
      </c>
      <c r="Q74" s="87">
        <v>0</v>
      </c>
      <c r="R74" s="87">
        <v>0</v>
      </c>
      <c r="S74" s="87">
        <v>0</v>
      </c>
      <c r="T74" s="87">
        <v>0</v>
      </c>
      <c r="U74" s="87">
        <v>0</v>
      </c>
      <c r="V74" s="87">
        <v>0</v>
      </c>
      <c r="W74" s="87">
        <v>0</v>
      </c>
      <c r="X74" s="87">
        <v>0</v>
      </c>
      <c r="Y74" s="87">
        <v>0</v>
      </c>
      <c r="Z74" s="87">
        <v>0</v>
      </c>
      <c r="AA74" s="87">
        <v>0</v>
      </c>
      <c r="AB74" s="87">
        <v>0</v>
      </c>
      <c r="AC74" s="87">
        <v>0</v>
      </c>
      <c r="AD74" s="87">
        <v>0</v>
      </c>
      <c r="AE74" s="87">
        <v>0</v>
      </c>
      <c r="AF74" s="87">
        <v>0</v>
      </c>
      <c r="AG74" s="87">
        <v>0</v>
      </c>
      <c r="AH74" s="87">
        <v>0</v>
      </c>
      <c r="AI74" s="87">
        <v>0</v>
      </c>
      <c r="AJ74" s="87">
        <v>0</v>
      </c>
      <c r="AK74" s="87">
        <v>0</v>
      </c>
      <c r="AL74" s="87">
        <v>0</v>
      </c>
      <c r="AM74" s="87">
        <v>0</v>
      </c>
      <c r="AN74" s="87">
        <v>0</v>
      </c>
      <c r="AO74" s="87">
        <v>0</v>
      </c>
      <c r="AP74" s="87">
        <v>0</v>
      </c>
      <c r="AQ74" s="87">
        <v>0</v>
      </c>
      <c r="AR74" s="87">
        <v>0</v>
      </c>
      <c r="AS74" s="87">
        <v>0</v>
      </c>
      <c r="AT74" s="87">
        <v>0</v>
      </c>
      <c r="AU74" s="87">
        <v>0</v>
      </c>
      <c r="AV74" s="87">
        <v>0</v>
      </c>
      <c r="AW74" s="87">
        <v>0</v>
      </c>
      <c r="AX74" s="87">
        <v>0</v>
      </c>
      <c r="AY74" s="87">
        <v>0</v>
      </c>
      <c r="AZ74" s="87">
        <v>0</v>
      </c>
      <c r="BA74" s="87">
        <v>0</v>
      </c>
      <c r="BB74" s="87">
        <v>0</v>
      </c>
      <c r="BC74" s="87">
        <v>0</v>
      </c>
      <c r="BD74" s="87">
        <v>0</v>
      </c>
      <c r="BE74" s="87">
        <v>0</v>
      </c>
      <c r="BF74" s="87">
        <v>0</v>
      </c>
      <c r="BG74" s="87">
        <v>0</v>
      </c>
      <c r="BH74" s="87">
        <v>0</v>
      </c>
      <c r="BI74" s="87">
        <v>0</v>
      </c>
      <c r="BJ74" s="87">
        <v>0</v>
      </c>
      <c r="BK74" s="87">
        <v>0</v>
      </c>
      <c r="BL74" s="87">
        <v>0</v>
      </c>
      <c r="BM74" s="87">
        <v>0</v>
      </c>
      <c r="BN74" s="87">
        <v>0</v>
      </c>
      <c r="BO74" s="87">
        <v>0</v>
      </c>
      <c r="BP74" s="87">
        <v>0</v>
      </c>
      <c r="BQ74" s="87">
        <v>0</v>
      </c>
      <c r="BR74" s="87">
        <v>0</v>
      </c>
      <c r="BS74" s="87">
        <v>0</v>
      </c>
      <c r="BT74" s="87">
        <v>0</v>
      </c>
      <c r="BU74" s="87">
        <v>0</v>
      </c>
      <c r="BV74" s="87">
        <v>0</v>
      </c>
      <c r="BW74" s="87">
        <v>0</v>
      </c>
      <c r="BX74" s="87">
        <v>0</v>
      </c>
      <c r="BY74" s="87">
        <v>0</v>
      </c>
      <c r="BZ74" s="87">
        <v>0</v>
      </c>
      <c r="CA74" s="87">
        <v>0</v>
      </c>
      <c r="CB74" s="87">
        <v>0</v>
      </c>
      <c r="CC74" s="87">
        <v>0</v>
      </c>
      <c r="CD74" s="87">
        <v>0</v>
      </c>
      <c r="CE74" s="87">
        <v>0</v>
      </c>
      <c r="CF74" s="87">
        <v>0</v>
      </c>
      <c r="CG74" s="87">
        <v>0</v>
      </c>
      <c r="CH74" s="87"/>
      <c r="CI74" s="87"/>
      <c r="CJ74" s="87"/>
      <c r="CK74" s="87"/>
    </row>
    <row r="75" spans="12:89" x14ac:dyDescent="0.2">
      <c r="L75" s="89"/>
      <c r="M75" s="87">
        <v>0</v>
      </c>
      <c r="N75" s="87">
        <v>0</v>
      </c>
      <c r="O75" s="87">
        <v>0</v>
      </c>
      <c r="P75" s="87">
        <v>0</v>
      </c>
      <c r="Q75" s="87">
        <v>0</v>
      </c>
      <c r="R75" s="87">
        <v>0</v>
      </c>
      <c r="S75" s="87">
        <v>0</v>
      </c>
      <c r="T75" s="87">
        <v>0</v>
      </c>
      <c r="U75" s="87">
        <v>0</v>
      </c>
      <c r="V75" s="87">
        <v>0</v>
      </c>
      <c r="W75" s="87">
        <v>0</v>
      </c>
      <c r="X75" s="87">
        <v>0</v>
      </c>
      <c r="Y75" s="87">
        <v>0</v>
      </c>
      <c r="Z75" s="87">
        <v>0</v>
      </c>
      <c r="AA75" s="87">
        <v>0</v>
      </c>
      <c r="AB75" s="87">
        <v>0</v>
      </c>
      <c r="AC75" s="87">
        <v>0</v>
      </c>
      <c r="AD75" s="87">
        <v>0</v>
      </c>
      <c r="AE75" s="87">
        <v>0</v>
      </c>
      <c r="AF75" s="87">
        <v>0</v>
      </c>
      <c r="AG75" s="87">
        <v>0</v>
      </c>
      <c r="AH75" s="87">
        <v>0</v>
      </c>
      <c r="AI75" s="87">
        <v>0</v>
      </c>
      <c r="AJ75" s="87">
        <v>0</v>
      </c>
      <c r="AK75" s="87">
        <v>0</v>
      </c>
      <c r="AL75" s="87">
        <v>0</v>
      </c>
      <c r="AM75" s="87">
        <v>0</v>
      </c>
      <c r="AN75" s="87">
        <v>0</v>
      </c>
      <c r="AO75" s="87">
        <v>0</v>
      </c>
      <c r="AP75" s="87">
        <v>0</v>
      </c>
      <c r="AQ75" s="87">
        <v>0</v>
      </c>
      <c r="AR75" s="87">
        <v>0</v>
      </c>
      <c r="AS75" s="87">
        <v>0</v>
      </c>
      <c r="AT75" s="87">
        <v>0</v>
      </c>
      <c r="AU75" s="87">
        <v>0</v>
      </c>
      <c r="AV75" s="87">
        <v>0</v>
      </c>
      <c r="AW75" s="87">
        <v>0</v>
      </c>
      <c r="AX75" s="87">
        <v>0</v>
      </c>
      <c r="AY75" s="87">
        <v>0</v>
      </c>
      <c r="AZ75" s="87">
        <v>0</v>
      </c>
      <c r="BA75" s="87">
        <v>0</v>
      </c>
      <c r="BB75" s="87">
        <v>0</v>
      </c>
      <c r="BC75" s="87">
        <v>0</v>
      </c>
      <c r="BD75" s="87">
        <v>0</v>
      </c>
      <c r="BE75" s="87">
        <v>0</v>
      </c>
      <c r="BF75" s="87">
        <v>0</v>
      </c>
      <c r="BG75" s="87">
        <v>0</v>
      </c>
      <c r="BH75" s="87">
        <v>0</v>
      </c>
      <c r="BI75" s="87">
        <v>0</v>
      </c>
      <c r="BJ75" s="87">
        <v>0</v>
      </c>
      <c r="BK75" s="87">
        <v>0</v>
      </c>
      <c r="BL75" s="87">
        <v>0</v>
      </c>
      <c r="BM75" s="87">
        <v>0</v>
      </c>
      <c r="BN75" s="87">
        <v>0</v>
      </c>
      <c r="BO75" s="87">
        <v>0</v>
      </c>
      <c r="BP75" s="87">
        <v>0</v>
      </c>
      <c r="BQ75" s="87">
        <v>0</v>
      </c>
      <c r="BR75" s="87">
        <v>0</v>
      </c>
      <c r="BS75" s="87">
        <v>0</v>
      </c>
      <c r="BT75" s="87">
        <v>0</v>
      </c>
      <c r="BU75" s="87">
        <v>0</v>
      </c>
      <c r="BV75" s="87">
        <v>0</v>
      </c>
      <c r="BW75" s="87">
        <v>0</v>
      </c>
      <c r="BX75" s="87">
        <v>0</v>
      </c>
      <c r="BY75" s="87">
        <v>0</v>
      </c>
      <c r="BZ75" s="87">
        <v>0</v>
      </c>
      <c r="CA75" s="87">
        <v>0</v>
      </c>
      <c r="CB75" s="87">
        <v>0</v>
      </c>
      <c r="CC75" s="87">
        <v>0</v>
      </c>
      <c r="CD75" s="87">
        <v>0</v>
      </c>
      <c r="CE75" s="87">
        <v>0</v>
      </c>
      <c r="CF75" s="87">
        <v>0</v>
      </c>
      <c r="CG75" s="87">
        <v>0</v>
      </c>
      <c r="CH75" s="87"/>
      <c r="CI75" s="87"/>
      <c r="CJ75" s="87"/>
      <c r="CK75" s="87"/>
    </row>
    <row r="76" spans="12:89" x14ac:dyDescent="0.2">
      <c r="L76" s="89"/>
      <c r="M76" s="87">
        <v>0</v>
      </c>
      <c r="N76" s="87">
        <v>0</v>
      </c>
      <c r="O76" s="87">
        <v>0</v>
      </c>
      <c r="P76" s="87">
        <v>0</v>
      </c>
      <c r="Q76" s="87">
        <v>0</v>
      </c>
      <c r="R76" s="87">
        <v>0</v>
      </c>
      <c r="S76" s="87">
        <v>0</v>
      </c>
      <c r="T76" s="87">
        <v>0</v>
      </c>
      <c r="U76" s="87">
        <v>0</v>
      </c>
      <c r="V76" s="87">
        <v>0</v>
      </c>
      <c r="W76" s="87">
        <v>0</v>
      </c>
      <c r="X76" s="87">
        <v>0</v>
      </c>
      <c r="Y76" s="87">
        <v>0</v>
      </c>
      <c r="Z76" s="87">
        <v>0</v>
      </c>
      <c r="AA76" s="87">
        <v>0</v>
      </c>
      <c r="AB76" s="87">
        <v>0</v>
      </c>
      <c r="AC76" s="87">
        <v>0</v>
      </c>
      <c r="AD76" s="87">
        <v>0</v>
      </c>
      <c r="AE76" s="87">
        <v>0</v>
      </c>
      <c r="AF76" s="87">
        <v>0</v>
      </c>
      <c r="AG76" s="87">
        <v>0</v>
      </c>
      <c r="AH76" s="87">
        <v>0</v>
      </c>
      <c r="AI76" s="87">
        <v>0</v>
      </c>
      <c r="AJ76" s="87">
        <v>0</v>
      </c>
      <c r="AK76" s="87">
        <v>0</v>
      </c>
      <c r="AL76" s="87">
        <v>0</v>
      </c>
      <c r="AM76" s="87">
        <v>0</v>
      </c>
      <c r="AN76" s="87">
        <v>0</v>
      </c>
      <c r="AO76" s="87">
        <v>0</v>
      </c>
      <c r="AP76" s="87">
        <v>0</v>
      </c>
      <c r="AQ76" s="87">
        <v>0</v>
      </c>
      <c r="AR76" s="87">
        <v>0</v>
      </c>
      <c r="AS76" s="87">
        <v>0</v>
      </c>
      <c r="AT76" s="87">
        <v>0</v>
      </c>
      <c r="AU76" s="87">
        <v>0</v>
      </c>
      <c r="AV76" s="87">
        <v>0</v>
      </c>
      <c r="AW76" s="87">
        <v>0</v>
      </c>
      <c r="AX76" s="87">
        <v>0</v>
      </c>
      <c r="AY76" s="87">
        <v>0</v>
      </c>
      <c r="AZ76" s="87">
        <v>0</v>
      </c>
      <c r="BA76" s="87">
        <v>0</v>
      </c>
      <c r="BB76" s="87">
        <v>0</v>
      </c>
      <c r="BC76" s="87">
        <v>0</v>
      </c>
      <c r="BD76" s="87">
        <v>0</v>
      </c>
      <c r="BE76" s="87">
        <v>0</v>
      </c>
      <c r="BF76" s="87">
        <v>0</v>
      </c>
      <c r="BG76" s="87">
        <v>0</v>
      </c>
      <c r="BH76" s="87">
        <v>0</v>
      </c>
      <c r="BI76" s="87">
        <v>0</v>
      </c>
      <c r="BJ76" s="87">
        <v>0</v>
      </c>
      <c r="BK76" s="87">
        <v>0</v>
      </c>
      <c r="BL76" s="87">
        <v>0</v>
      </c>
      <c r="BM76" s="87">
        <v>0</v>
      </c>
      <c r="BN76" s="87">
        <v>0</v>
      </c>
      <c r="BO76" s="87">
        <v>0</v>
      </c>
      <c r="BP76" s="87">
        <v>0</v>
      </c>
      <c r="BQ76" s="87">
        <v>0</v>
      </c>
      <c r="BR76" s="87">
        <v>0</v>
      </c>
      <c r="BS76" s="87">
        <v>0</v>
      </c>
      <c r="BT76" s="87">
        <v>0</v>
      </c>
      <c r="BU76" s="87">
        <v>0</v>
      </c>
      <c r="BV76" s="87">
        <v>0</v>
      </c>
      <c r="BW76" s="87">
        <v>0</v>
      </c>
      <c r="BX76" s="87">
        <v>0</v>
      </c>
      <c r="BY76" s="87">
        <v>0</v>
      </c>
      <c r="BZ76" s="87">
        <v>0</v>
      </c>
      <c r="CA76" s="87">
        <v>0</v>
      </c>
      <c r="CB76" s="87">
        <v>0</v>
      </c>
      <c r="CC76" s="87">
        <v>0</v>
      </c>
      <c r="CD76" s="87">
        <v>0</v>
      </c>
      <c r="CE76" s="87">
        <v>0</v>
      </c>
      <c r="CF76" s="87">
        <v>0</v>
      </c>
      <c r="CG76" s="87">
        <v>0</v>
      </c>
      <c r="CH76" s="87"/>
      <c r="CI76" s="87"/>
      <c r="CJ76" s="87"/>
      <c r="CK76" s="87"/>
    </row>
    <row r="77" spans="12:89" x14ac:dyDescent="0.2">
      <c r="L77" s="89"/>
      <c r="M77" s="87">
        <v>6545</v>
      </c>
      <c r="N77" s="87">
        <v>6545</v>
      </c>
      <c r="O77" s="87">
        <v>6545</v>
      </c>
      <c r="P77" s="87">
        <v>6545</v>
      </c>
      <c r="Q77" s="87">
        <v>6545</v>
      </c>
      <c r="R77" s="87">
        <v>6545</v>
      </c>
      <c r="S77" s="87">
        <v>6545</v>
      </c>
      <c r="T77" s="87">
        <v>6545</v>
      </c>
      <c r="U77" s="87">
        <v>6545</v>
      </c>
      <c r="V77" s="87">
        <v>6545</v>
      </c>
      <c r="W77" s="87">
        <v>0</v>
      </c>
      <c r="X77" s="87">
        <v>0</v>
      </c>
      <c r="Y77" s="87">
        <v>0</v>
      </c>
      <c r="Z77" s="87">
        <v>0</v>
      </c>
      <c r="AA77" s="87">
        <v>0</v>
      </c>
      <c r="AB77" s="87">
        <v>0</v>
      </c>
      <c r="AC77" s="87">
        <v>0</v>
      </c>
      <c r="AD77" s="87">
        <v>0</v>
      </c>
      <c r="AE77" s="87">
        <v>0</v>
      </c>
      <c r="AF77" s="87">
        <v>0</v>
      </c>
      <c r="AG77" s="87">
        <v>0</v>
      </c>
      <c r="AH77" s="87">
        <v>0</v>
      </c>
      <c r="AI77" s="87">
        <v>0</v>
      </c>
      <c r="AJ77" s="87">
        <v>0</v>
      </c>
      <c r="AK77" s="87">
        <v>0</v>
      </c>
      <c r="AL77" s="87">
        <v>0</v>
      </c>
      <c r="AM77" s="87">
        <v>0</v>
      </c>
      <c r="AN77" s="87">
        <v>0</v>
      </c>
      <c r="AO77" s="87">
        <v>0</v>
      </c>
      <c r="AP77" s="87">
        <v>0</v>
      </c>
      <c r="AQ77" s="87">
        <v>0</v>
      </c>
      <c r="AR77" s="87">
        <v>0</v>
      </c>
      <c r="AS77" s="87">
        <v>0</v>
      </c>
      <c r="AT77" s="87">
        <v>0</v>
      </c>
      <c r="AU77" s="87">
        <v>0</v>
      </c>
      <c r="AV77" s="87">
        <v>0</v>
      </c>
      <c r="AW77" s="87">
        <v>0</v>
      </c>
      <c r="AX77" s="87">
        <v>0</v>
      </c>
      <c r="AY77" s="87">
        <v>0</v>
      </c>
      <c r="AZ77" s="87">
        <v>0</v>
      </c>
      <c r="BA77" s="87">
        <v>0</v>
      </c>
      <c r="BB77" s="87">
        <v>0</v>
      </c>
      <c r="BC77" s="87">
        <v>0</v>
      </c>
      <c r="BD77" s="87">
        <v>0</v>
      </c>
      <c r="BE77" s="87">
        <v>0</v>
      </c>
      <c r="BF77" s="87">
        <v>0</v>
      </c>
      <c r="BG77" s="87">
        <v>0</v>
      </c>
      <c r="BH77" s="87">
        <v>0</v>
      </c>
      <c r="BI77" s="87">
        <v>0</v>
      </c>
      <c r="BJ77" s="87">
        <v>0</v>
      </c>
      <c r="BK77" s="87">
        <v>0</v>
      </c>
      <c r="BL77" s="87">
        <v>0</v>
      </c>
      <c r="BM77" s="87">
        <v>0</v>
      </c>
      <c r="BN77" s="87">
        <v>0</v>
      </c>
      <c r="BO77" s="87">
        <v>0</v>
      </c>
      <c r="BP77" s="87">
        <v>0</v>
      </c>
      <c r="BQ77" s="87">
        <v>0</v>
      </c>
      <c r="BR77" s="87">
        <v>0</v>
      </c>
      <c r="BS77" s="87">
        <v>0</v>
      </c>
      <c r="BT77" s="87">
        <v>0</v>
      </c>
      <c r="BU77" s="87">
        <v>0</v>
      </c>
      <c r="BV77" s="87">
        <v>0</v>
      </c>
      <c r="BW77" s="87">
        <v>0</v>
      </c>
      <c r="BX77" s="87">
        <v>0</v>
      </c>
      <c r="BY77" s="87">
        <v>0</v>
      </c>
      <c r="BZ77" s="87">
        <v>0</v>
      </c>
      <c r="CA77" s="87">
        <v>0</v>
      </c>
      <c r="CB77" s="87">
        <v>0</v>
      </c>
      <c r="CC77" s="87">
        <v>0</v>
      </c>
      <c r="CD77" s="87">
        <v>0</v>
      </c>
      <c r="CE77" s="87">
        <v>7587.4488162934986</v>
      </c>
      <c r="CF77" s="87">
        <v>7587.4488162934986</v>
      </c>
      <c r="CG77" s="87">
        <v>7587.4488162934986</v>
      </c>
      <c r="CH77" s="87"/>
      <c r="CI77" s="87"/>
      <c r="CJ77" s="87"/>
      <c r="CK77" s="87"/>
    </row>
    <row r="78" spans="12:89" x14ac:dyDescent="0.2">
      <c r="L78" s="89"/>
      <c r="M78" s="87">
        <v>16362.5</v>
      </c>
      <c r="N78" s="87">
        <v>16362.5</v>
      </c>
      <c r="O78" s="87">
        <v>16362.5</v>
      </c>
      <c r="P78" s="87">
        <v>16362.5</v>
      </c>
      <c r="Q78" s="87">
        <v>16362.5</v>
      </c>
      <c r="R78" s="87">
        <v>16362.5</v>
      </c>
      <c r="S78" s="87">
        <v>16362.5</v>
      </c>
      <c r="T78" s="87">
        <v>16362.5</v>
      </c>
      <c r="U78" s="87">
        <v>16362.5</v>
      </c>
      <c r="V78" s="87">
        <v>16362.5</v>
      </c>
      <c r="W78" s="87">
        <v>16362.5</v>
      </c>
      <c r="X78" s="87">
        <v>16362.5</v>
      </c>
      <c r="Y78" s="87">
        <v>0</v>
      </c>
      <c r="Z78" s="87">
        <v>0</v>
      </c>
      <c r="AA78" s="87">
        <v>0</v>
      </c>
      <c r="AB78" s="87">
        <v>0</v>
      </c>
      <c r="AC78" s="87">
        <v>0</v>
      </c>
      <c r="AD78" s="87">
        <v>0</v>
      </c>
      <c r="AE78" s="87">
        <v>0</v>
      </c>
      <c r="AF78" s="87">
        <v>0</v>
      </c>
      <c r="AG78" s="87">
        <v>0</v>
      </c>
      <c r="AH78" s="87">
        <v>0</v>
      </c>
      <c r="AI78" s="87">
        <v>0</v>
      </c>
      <c r="AJ78" s="87">
        <v>0</v>
      </c>
      <c r="AK78" s="87">
        <v>0</v>
      </c>
      <c r="AL78" s="87">
        <v>0</v>
      </c>
      <c r="AM78" s="87">
        <v>0</v>
      </c>
      <c r="AN78" s="87">
        <v>0</v>
      </c>
      <c r="AO78" s="87">
        <v>0</v>
      </c>
      <c r="AP78" s="87">
        <v>0</v>
      </c>
      <c r="AQ78" s="87">
        <v>0</v>
      </c>
      <c r="AR78" s="87">
        <v>0</v>
      </c>
      <c r="AS78" s="87">
        <v>0</v>
      </c>
      <c r="AT78" s="87">
        <v>0</v>
      </c>
      <c r="AU78" s="87">
        <v>0</v>
      </c>
      <c r="AV78" s="87">
        <v>0</v>
      </c>
      <c r="AW78" s="87">
        <v>0</v>
      </c>
      <c r="AX78" s="87">
        <v>0</v>
      </c>
      <c r="AY78" s="87">
        <v>0</v>
      </c>
      <c r="AZ78" s="87">
        <v>0</v>
      </c>
      <c r="BA78" s="87">
        <v>0</v>
      </c>
      <c r="BB78" s="87">
        <v>0</v>
      </c>
      <c r="BC78" s="87">
        <v>0</v>
      </c>
      <c r="BD78" s="87">
        <v>0</v>
      </c>
      <c r="BE78" s="87">
        <v>0</v>
      </c>
      <c r="BF78" s="87">
        <v>0</v>
      </c>
      <c r="BG78" s="87">
        <v>0</v>
      </c>
      <c r="BH78" s="87">
        <v>0</v>
      </c>
      <c r="BI78" s="87">
        <v>0</v>
      </c>
      <c r="BJ78" s="87">
        <v>0</v>
      </c>
      <c r="BK78" s="87">
        <v>0</v>
      </c>
      <c r="BL78" s="87">
        <v>0</v>
      </c>
      <c r="BM78" s="87">
        <v>0</v>
      </c>
      <c r="BN78" s="87">
        <v>0</v>
      </c>
      <c r="BO78" s="87">
        <v>0</v>
      </c>
      <c r="BP78" s="87">
        <v>0</v>
      </c>
      <c r="BQ78" s="87">
        <v>0</v>
      </c>
      <c r="BR78" s="87">
        <v>0</v>
      </c>
      <c r="BS78" s="87">
        <v>0</v>
      </c>
      <c r="BT78" s="87">
        <v>0</v>
      </c>
      <c r="BU78" s="87">
        <v>0</v>
      </c>
      <c r="BV78" s="87">
        <v>0</v>
      </c>
      <c r="BW78" s="87">
        <v>0</v>
      </c>
      <c r="BX78" s="87">
        <v>0</v>
      </c>
      <c r="BY78" s="87">
        <v>0</v>
      </c>
      <c r="BZ78" s="87">
        <v>0</v>
      </c>
      <c r="CA78" s="87">
        <v>0</v>
      </c>
      <c r="CB78" s="87">
        <v>0</v>
      </c>
      <c r="CC78" s="87">
        <v>0</v>
      </c>
      <c r="CD78" s="87">
        <v>0</v>
      </c>
      <c r="CE78" s="87">
        <v>0</v>
      </c>
      <c r="CF78" s="87">
        <v>0</v>
      </c>
      <c r="CG78" s="87">
        <v>0</v>
      </c>
      <c r="CH78" s="87"/>
      <c r="CI78" s="87"/>
      <c r="CJ78" s="87"/>
      <c r="CK78" s="87"/>
    </row>
    <row r="79" spans="12:89" x14ac:dyDescent="0.2">
      <c r="L79" s="89"/>
      <c r="M79" s="87">
        <v>5057.5</v>
      </c>
      <c r="N79" s="87">
        <v>5057.5</v>
      </c>
      <c r="O79" s="87">
        <v>5057.5</v>
      </c>
      <c r="P79" s="87">
        <v>5057.5</v>
      </c>
      <c r="Q79" s="87">
        <v>5057.5</v>
      </c>
      <c r="R79" s="87">
        <v>5057.5</v>
      </c>
      <c r="S79" s="87">
        <v>5057.5</v>
      </c>
      <c r="T79" s="87">
        <v>5057.5</v>
      </c>
      <c r="U79" s="87">
        <v>5057.5</v>
      </c>
      <c r="V79" s="87">
        <v>5057.5</v>
      </c>
      <c r="W79" s="87">
        <v>0</v>
      </c>
      <c r="X79" s="87">
        <v>0</v>
      </c>
      <c r="Y79" s="87">
        <v>0</v>
      </c>
      <c r="Z79" s="87">
        <v>0</v>
      </c>
      <c r="AA79" s="87">
        <v>0</v>
      </c>
      <c r="AB79" s="87">
        <v>0</v>
      </c>
      <c r="AC79" s="87">
        <v>0</v>
      </c>
      <c r="AD79" s="87">
        <v>0</v>
      </c>
      <c r="AE79" s="87">
        <v>0</v>
      </c>
      <c r="AF79" s="87">
        <v>0</v>
      </c>
      <c r="AG79" s="87">
        <v>0</v>
      </c>
      <c r="AH79" s="87">
        <v>0</v>
      </c>
      <c r="AI79" s="87">
        <v>0</v>
      </c>
      <c r="AJ79" s="87">
        <v>0</v>
      </c>
      <c r="AK79" s="87">
        <v>0</v>
      </c>
      <c r="AL79" s="87">
        <v>0</v>
      </c>
      <c r="AM79" s="87">
        <v>0</v>
      </c>
      <c r="AN79" s="87">
        <v>0</v>
      </c>
      <c r="AO79" s="87">
        <v>0</v>
      </c>
      <c r="AP79" s="87">
        <v>0</v>
      </c>
      <c r="AQ79" s="87">
        <v>0</v>
      </c>
      <c r="AR79" s="87">
        <v>0</v>
      </c>
      <c r="AS79" s="87">
        <v>0</v>
      </c>
      <c r="AT79" s="87">
        <v>0</v>
      </c>
      <c r="AU79" s="87">
        <v>0</v>
      </c>
      <c r="AV79" s="87">
        <v>0</v>
      </c>
      <c r="AW79" s="87">
        <v>0</v>
      </c>
      <c r="AX79" s="87">
        <v>0</v>
      </c>
      <c r="AY79" s="87">
        <v>0</v>
      </c>
      <c r="AZ79" s="87">
        <v>0</v>
      </c>
      <c r="BA79" s="87">
        <v>0</v>
      </c>
      <c r="BB79" s="87">
        <v>0</v>
      </c>
      <c r="BC79" s="87">
        <v>0</v>
      </c>
      <c r="BD79" s="87">
        <v>0</v>
      </c>
      <c r="BE79" s="87">
        <v>0</v>
      </c>
      <c r="BF79" s="87">
        <v>0</v>
      </c>
      <c r="BG79" s="87">
        <v>0</v>
      </c>
      <c r="BH79" s="87">
        <v>0</v>
      </c>
      <c r="BI79" s="87">
        <v>0</v>
      </c>
      <c r="BJ79" s="87">
        <v>0</v>
      </c>
      <c r="BK79" s="87">
        <v>0</v>
      </c>
      <c r="BL79" s="87">
        <v>0</v>
      </c>
      <c r="BM79" s="87">
        <v>0</v>
      </c>
      <c r="BN79" s="87">
        <v>0</v>
      </c>
      <c r="BO79" s="87">
        <v>0</v>
      </c>
      <c r="BP79" s="87">
        <v>0</v>
      </c>
      <c r="BQ79" s="87">
        <v>0</v>
      </c>
      <c r="BR79" s="87">
        <v>0</v>
      </c>
      <c r="BS79" s="87">
        <v>0</v>
      </c>
      <c r="BT79" s="87">
        <v>0</v>
      </c>
      <c r="BU79" s="87">
        <v>0</v>
      </c>
      <c r="BV79" s="87">
        <v>0</v>
      </c>
      <c r="BW79" s="87">
        <v>0</v>
      </c>
      <c r="BX79" s="87">
        <v>0</v>
      </c>
      <c r="BY79" s="87">
        <v>0</v>
      </c>
      <c r="BZ79" s="87">
        <v>0</v>
      </c>
      <c r="CA79" s="87">
        <v>0</v>
      </c>
      <c r="CB79" s="87">
        <v>0</v>
      </c>
      <c r="CC79" s="87">
        <v>0</v>
      </c>
      <c r="CD79" s="87">
        <v>0</v>
      </c>
      <c r="CE79" s="87">
        <v>0</v>
      </c>
      <c r="CF79" s="87">
        <v>0</v>
      </c>
      <c r="CG79" s="87">
        <v>0</v>
      </c>
      <c r="CH79" s="87"/>
      <c r="CI79" s="87"/>
      <c r="CJ79" s="87"/>
      <c r="CK79" s="87"/>
    </row>
    <row r="80" spans="12:89" x14ac:dyDescent="0.2">
      <c r="L80" s="89"/>
      <c r="M80" s="87">
        <v>31535</v>
      </c>
      <c r="N80" s="87">
        <v>31535</v>
      </c>
      <c r="O80" s="87">
        <v>31535</v>
      </c>
      <c r="P80" s="87">
        <v>31535</v>
      </c>
      <c r="Q80" s="87">
        <v>31535</v>
      </c>
      <c r="R80" s="87">
        <v>31535</v>
      </c>
      <c r="S80" s="87">
        <v>31535</v>
      </c>
      <c r="T80" s="87">
        <v>31535</v>
      </c>
      <c r="U80" s="87">
        <v>31535</v>
      </c>
      <c r="V80" s="87">
        <v>31535</v>
      </c>
      <c r="W80" s="87">
        <v>31535</v>
      </c>
      <c r="X80" s="87">
        <v>31535</v>
      </c>
      <c r="Y80" s="87">
        <v>31535</v>
      </c>
      <c r="Z80" s="87">
        <v>32481.05</v>
      </c>
      <c r="AA80" s="87">
        <v>32481.05</v>
      </c>
      <c r="AB80" s="87">
        <v>32481.05</v>
      </c>
      <c r="AC80" s="87">
        <v>32481.05</v>
      </c>
      <c r="AD80" s="87">
        <v>32481.05</v>
      </c>
      <c r="AE80" s="87">
        <v>32481.05</v>
      </c>
      <c r="AF80" s="87">
        <v>0</v>
      </c>
      <c r="AG80" s="87">
        <v>0</v>
      </c>
      <c r="AH80" s="87">
        <v>0</v>
      </c>
      <c r="AI80" s="87">
        <v>0</v>
      </c>
      <c r="AJ80" s="87">
        <v>0</v>
      </c>
      <c r="AK80" s="87">
        <v>0</v>
      </c>
      <c r="AL80" s="87">
        <v>0</v>
      </c>
      <c r="AM80" s="87">
        <v>0</v>
      </c>
      <c r="AN80" s="87">
        <v>0</v>
      </c>
      <c r="AO80" s="87">
        <v>0</v>
      </c>
      <c r="AP80" s="87">
        <v>0</v>
      </c>
      <c r="AQ80" s="87">
        <v>0</v>
      </c>
      <c r="AR80" s="87">
        <v>0</v>
      </c>
      <c r="AS80" s="87">
        <v>0</v>
      </c>
      <c r="AT80" s="87">
        <v>0</v>
      </c>
      <c r="AU80" s="87">
        <v>0</v>
      </c>
      <c r="AV80" s="87">
        <v>0</v>
      </c>
      <c r="AW80" s="87">
        <v>0</v>
      </c>
      <c r="AX80" s="87">
        <v>0</v>
      </c>
      <c r="AY80" s="87">
        <v>0</v>
      </c>
      <c r="AZ80" s="87">
        <v>0</v>
      </c>
      <c r="BA80" s="87">
        <v>0</v>
      </c>
      <c r="BB80" s="87">
        <v>0</v>
      </c>
      <c r="BC80" s="87">
        <v>0</v>
      </c>
      <c r="BD80" s="87">
        <v>0</v>
      </c>
      <c r="BE80" s="87">
        <v>0</v>
      </c>
      <c r="BF80" s="87">
        <v>0</v>
      </c>
      <c r="BG80" s="87">
        <v>0</v>
      </c>
      <c r="BH80" s="87">
        <v>0</v>
      </c>
      <c r="BI80" s="87">
        <v>0</v>
      </c>
      <c r="BJ80" s="87">
        <v>0</v>
      </c>
      <c r="BK80" s="87">
        <v>0</v>
      </c>
      <c r="BL80" s="87">
        <v>0</v>
      </c>
      <c r="BM80" s="87">
        <v>0</v>
      </c>
      <c r="BN80" s="87">
        <v>0</v>
      </c>
      <c r="BO80" s="87">
        <v>0</v>
      </c>
      <c r="BP80" s="87">
        <v>0</v>
      </c>
      <c r="BQ80" s="87">
        <v>0</v>
      </c>
      <c r="BR80" s="87">
        <v>0</v>
      </c>
      <c r="BS80" s="87">
        <v>0</v>
      </c>
      <c r="BT80" s="87">
        <v>0</v>
      </c>
      <c r="BU80" s="87">
        <v>0</v>
      </c>
      <c r="BV80" s="87">
        <v>0</v>
      </c>
      <c r="BW80" s="87">
        <v>0</v>
      </c>
      <c r="BX80" s="87">
        <v>0</v>
      </c>
      <c r="BY80" s="87">
        <v>0</v>
      </c>
      <c r="BZ80" s="87">
        <v>0</v>
      </c>
      <c r="CA80" s="87">
        <v>0</v>
      </c>
      <c r="CB80" s="87">
        <v>0</v>
      </c>
      <c r="CC80" s="87">
        <v>0</v>
      </c>
      <c r="CD80" s="87">
        <v>0</v>
      </c>
      <c r="CE80" s="87">
        <v>0</v>
      </c>
      <c r="CF80" s="87">
        <v>0</v>
      </c>
      <c r="CG80" s="87">
        <v>0</v>
      </c>
      <c r="CH80" s="87"/>
      <c r="CI80" s="87"/>
      <c r="CJ80" s="87"/>
      <c r="CK80" s="87"/>
    </row>
    <row r="81" spans="12:89" x14ac:dyDescent="0.2">
      <c r="L81" s="89"/>
      <c r="M81" s="87">
        <v>29155</v>
      </c>
      <c r="N81" s="87">
        <v>29155</v>
      </c>
      <c r="O81" s="87">
        <v>29155</v>
      </c>
      <c r="P81" s="87">
        <v>29155</v>
      </c>
      <c r="Q81" s="87">
        <v>29155</v>
      </c>
      <c r="R81" s="87">
        <v>29155</v>
      </c>
      <c r="S81" s="87">
        <v>29155</v>
      </c>
      <c r="T81" s="87">
        <v>29155</v>
      </c>
      <c r="U81" s="87">
        <v>29155</v>
      </c>
      <c r="V81" s="87">
        <v>29155</v>
      </c>
      <c r="W81" s="87">
        <v>29155</v>
      </c>
      <c r="X81" s="87">
        <v>29155</v>
      </c>
      <c r="Y81" s="87">
        <v>29155</v>
      </c>
      <c r="Z81" s="87">
        <v>30029.65</v>
      </c>
      <c r="AA81" s="87">
        <v>30029.65</v>
      </c>
      <c r="AB81" s="87">
        <v>30029.65</v>
      </c>
      <c r="AC81" s="87">
        <v>30029.65</v>
      </c>
      <c r="AD81" s="87">
        <v>30029.65</v>
      </c>
      <c r="AE81" s="87">
        <v>30029.65</v>
      </c>
      <c r="AF81" s="87">
        <v>30029.65</v>
      </c>
      <c r="AG81" s="87">
        <v>30029.65</v>
      </c>
      <c r="AH81" s="87">
        <v>0</v>
      </c>
      <c r="AI81" s="87">
        <v>0</v>
      </c>
      <c r="AJ81" s="87">
        <v>0</v>
      </c>
      <c r="AK81" s="87">
        <v>0</v>
      </c>
      <c r="AL81" s="87">
        <v>0</v>
      </c>
      <c r="AM81" s="87">
        <v>0</v>
      </c>
      <c r="AN81" s="87">
        <v>0</v>
      </c>
      <c r="AO81" s="87">
        <v>0</v>
      </c>
      <c r="AP81" s="87">
        <v>0</v>
      </c>
      <c r="AQ81" s="87">
        <v>0</v>
      </c>
      <c r="AR81" s="87">
        <v>0</v>
      </c>
      <c r="AS81" s="87">
        <v>0</v>
      </c>
      <c r="AT81" s="87">
        <v>0</v>
      </c>
      <c r="AU81" s="87">
        <v>0</v>
      </c>
      <c r="AV81" s="87">
        <v>0</v>
      </c>
      <c r="AW81" s="87">
        <v>0</v>
      </c>
      <c r="AX81" s="87">
        <v>0</v>
      </c>
      <c r="AY81" s="87">
        <v>0</v>
      </c>
      <c r="AZ81" s="87">
        <v>0</v>
      </c>
      <c r="BA81" s="87">
        <v>0</v>
      </c>
      <c r="BB81" s="87">
        <v>0</v>
      </c>
      <c r="BC81" s="87">
        <v>0</v>
      </c>
      <c r="BD81" s="87">
        <v>0</v>
      </c>
      <c r="BE81" s="87">
        <v>0</v>
      </c>
      <c r="BF81" s="87">
        <v>0</v>
      </c>
      <c r="BG81" s="87">
        <v>0</v>
      </c>
      <c r="BH81" s="87">
        <v>0</v>
      </c>
      <c r="BI81" s="87">
        <v>0</v>
      </c>
      <c r="BJ81" s="87">
        <v>0</v>
      </c>
      <c r="BK81" s="87">
        <v>0</v>
      </c>
      <c r="BL81" s="87">
        <v>0</v>
      </c>
      <c r="BM81" s="87">
        <v>0</v>
      </c>
      <c r="BN81" s="87">
        <v>0</v>
      </c>
      <c r="BO81" s="87">
        <v>0</v>
      </c>
      <c r="BP81" s="87">
        <v>0</v>
      </c>
      <c r="BQ81" s="87">
        <v>0</v>
      </c>
      <c r="BR81" s="87">
        <v>0</v>
      </c>
      <c r="BS81" s="87">
        <v>0</v>
      </c>
      <c r="BT81" s="87">
        <v>0</v>
      </c>
      <c r="BU81" s="87">
        <v>0</v>
      </c>
      <c r="BV81" s="87">
        <v>0</v>
      </c>
      <c r="BW81" s="87">
        <v>0</v>
      </c>
      <c r="BX81" s="87">
        <v>0</v>
      </c>
      <c r="BY81" s="87">
        <v>0</v>
      </c>
      <c r="BZ81" s="87">
        <v>0</v>
      </c>
      <c r="CA81" s="87">
        <v>0</v>
      </c>
      <c r="CB81" s="87">
        <v>0</v>
      </c>
      <c r="CC81" s="87">
        <v>0</v>
      </c>
      <c r="CD81" s="87">
        <v>0</v>
      </c>
      <c r="CE81" s="87">
        <v>0</v>
      </c>
      <c r="CF81" s="87">
        <v>0</v>
      </c>
      <c r="CG81" s="87">
        <v>0</v>
      </c>
      <c r="CH81" s="87"/>
      <c r="CI81" s="87"/>
      <c r="CJ81" s="87"/>
      <c r="CK81" s="87"/>
    </row>
    <row r="82" spans="12:89" x14ac:dyDescent="0.2">
      <c r="L82" s="89" t="s">
        <v>341</v>
      </c>
      <c r="M82" s="87">
        <f>IF(M$6="","",IF(AND($D12&gt;0,$G12&gt;0,M$6&gt;=EOMONTH($G12,0)+1,M$6&lt;EDATE(EOMONTH($G12,0)+1,VALUE(SUBSTITUTE(LOWER($I12),"month","")))),$C12*$C$8*(1+$C$4)^INT(((YEAR(M$6)-YEAR(EOMONTH($G12,0)+1))*12+MONTH(M$6)-MONTH(EOMONTH($G12,0)+1))/12)*(1-$H12),0))</f>
        <v>0</v>
      </c>
      <c r="N82" s="87">
        <f t="shared" ref="N82:BY83" si="49">IF(N$6="","",IF(AND($D12&gt;0,$G12&gt;0,N$6&gt;=EOMONTH($G12,0)+1,N$6&lt;EDATE(EOMONTH($G12,0)+1,VALUE(SUBSTITUTE(LOWER($I12),"month","")))),$C12*$C$8*(1+$C$4)^INT(((YEAR(N$6)-YEAR(EOMONTH($G12,0)+1))*12+MONTH(N$6)-MONTH(EOMONTH($G12,0)+1))/12)*(1-$H12),0))</f>
        <v>0</v>
      </c>
      <c r="O82" s="87">
        <f t="shared" si="49"/>
        <v>0</v>
      </c>
      <c r="P82" s="87">
        <f t="shared" si="49"/>
        <v>0</v>
      </c>
      <c r="Q82" s="87">
        <f t="shared" si="49"/>
        <v>0</v>
      </c>
      <c r="R82" s="87">
        <f t="shared" si="49"/>
        <v>0</v>
      </c>
      <c r="S82" s="87">
        <f t="shared" si="49"/>
        <v>0</v>
      </c>
      <c r="T82" s="87">
        <f t="shared" si="49"/>
        <v>0</v>
      </c>
      <c r="U82" s="87">
        <f t="shared" si="49"/>
        <v>0</v>
      </c>
      <c r="V82" s="87">
        <f t="shared" si="49"/>
        <v>11424</v>
      </c>
      <c r="W82" s="87">
        <f t="shared" si="49"/>
        <v>11424</v>
      </c>
      <c r="X82" s="87">
        <f t="shared" si="49"/>
        <v>11424</v>
      </c>
      <c r="Y82" s="87">
        <f t="shared" si="49"/>
        <v>11424</v>
      </c>
      <c r="Z82" s="87">
        <f t="shared" si="49"/>
        <v>11424</v>
      </c>
      <c r="AA82" s="87">
        <f t="shared" si="49"/>
        <v>11424</v>
      </c>
      <c r="AB82" s="87">
        <f t="shared" si="49"/>
        <v>11424</v>
      </c>
      <c r="AC82" s="87">
        <f t="shared" si="49"/>
        <v>11424</v>
      </c>
      <c r="AD82" s="87">
        <f t="shared" si="49"/>
        <v>11424</v>
      </c>
      <c r="AE82" s="87">
        <f t="shared" si="49"/>
        <v>0</v>
      </c>
      <c r="AF82" s="87">
        <f t="shared" si="49"/>
        <v>0</v>
      </c>
      <c r="AG82" s="87">
        <f t="shared" si="49"/>
        <v>0</v>
      </c>
      <c r="AH82" s="87">
        <f t="shared" si="49"/>
        <v>0</v>
      </c>
      <c r="AI82" s="87">
        <f t="shared" si="49"/>
        <v>0</v>
      </c>
      <c r="AJ82" s="87">
        <f t="shared" si="49"/>
        <v>0</v>
      </c>
      <c r="AK82" s="87">
        <f t="shared" si="49"/>
        <v>0</v>
      </c>
      <c r="AL82" s="87">
        <f t="shared" si="49"/>
        <v>0</v>
      </c>
      <c r="AM82" s="87">
        <f t="shared" si="49"/>
        <v>0</v>
      </c>
      <c r="AN82" s="87">
        <f t="shared" si="49"/>
        <v>0</v>
      </c>
      <c r="AO82" s="87">
        <f t="shared" si="49"/>
        <v>0</v>
      </c>
      <c r="AP82" s="87">
        <f t="shared" si="49"/>
        <v>0</v>
      </c>
      <c r="AQ82" s="87">
        <f t="shared" si="49"/>
        <v>0</v>
      </c>
      <c r="AR82" s="87">
        <f t="shared" si="49"/>
        <v>0</v>
      </c>
      <c r="AS82" s="87">
        <f t="shared" si="49"/>
        <v>0</v>
      </c>
      <c r="AT82" s="87">
        <f t="shared" si="49"/>
        <v>0</v>
      </c>
      <c r="AU82" s="87">
        <f t="shared" si="49"/>
        <v>0</v>
      </c>
      <c r="AV82" s="87">
        <f t="shared" si="49"/>
        <v>0</v>
      </c>
      <c r="AW82" s="87">
        <f t="shared" si="49"/>
        <v>0</v>
      </c>
      <c r="AX82" s="87">
        <f t="shared" si="49"/>
        <v>0</v>
      </c>
      <c r="AY82" s="87">
        <f t="shared" si="49"/>
        <v>0</v>
      </c>
      <c r="AZ82" s="87">
        <f t="shared" si="49"/>
        <v>0</v>
      </c>
      <c r="BA82" s="87">
        <f t="shared" si="49"/>
        <v>0</v>
      </c>
      <c r="BB82" s="87">
        <f t="shared" si="49"/>
        <v>0</v>
      </c>
      <c r="BC82" s="87">
        <f t="shared" si="49"/>
        <v>0</v>
      </c>
      <c r="BD82" s="87">
        <f t="shared" si="49"/>
        <v>0</v>
      </c>
      <c r="BE82" s="87">
        <f t="shared" si="49"/>
        <v>0</v>
      </c>
      <c r="BF82" s="87">
        <f t="shared" si="49"/>
        <v>0</v>
      </c>
      <c r="BG82" s="87">
        <f t="shared" si="49"/>
        <v>0</v>
      </c>
      <c r="BH82" s="87">
        <f t="shared" si="49"/>
        <v>0</v>
      </c>
      <c r="BI82" s="87">
        <f t="shared" si="49"/>
        <v>0</v>
      </c>
      <c r="BJ82" s="87">
        <f t="shared" si="49"/>
        <v>0</v>
      </c>
      <c r="BK82" s="87">
        <f t="shared" si="49"/>
        <v>0</v>
      </c>
      <c r="BL82" s="87">
        <f t="shared" si="49"/>
        <v>0</v>
      </c>
      <c r="BM82" s="87">
        <f t="shared" si="49"/>
        <v>0</v>
      </c>
      <c r="BN82" s="87">
        <f t="shared" si="49"/>
        <v>0</v>
      </c>
      <c r="BO82" s="87">
        <f t="shared" si="49"/>
        <v>0</v>
      </c>
      <c r="BP82" s="87">
        <f t="shared" si="49"/>
        <v>0</v>
      </c>
      <c r="BQ82" s="87">
        <f t="shared" si="49"/>
        <v>0</v>
      </c>
      <c r="BR82" s="87">
        <f t="shared" si="49"/>
        <v>0</v>
      </c>
      <c r="BS82" s="87">
        <f t="shared" si="49"/>
        <v>0</v>
      </c>
      <c r="BT82" s="87">
        <f t="shared" si="49"/>
        <v>0</v>
      </c>
      <c r="BU82" s="87">
        <f t="shared" si="49"/>
        <v>0</v>
      </c>
      <c r="BV82" s="87">
        <f t="shared" si="49"/>
        <v>0</v>
      </c>
      <c r="BW82" s="87">
        <f t="shared" si="49"/>
        <v>0</v>
      </c>
      <c r="BX82" s="87">
        <f t="shared" si="49"/>
        <v>0</v>
      </c>
      <c r="BY82" s="87">
        <f t="shared" si="49"/>
        <v>0</v>
      </c>
      <c r="BZ82" s="87">
        <f t="shared" ref="BZ82:CK86" si="50">IF(BZ$6="","",IF(AND($D12&gt;0,$G12&gt;0,BZ$6&gt;=EOMONTH($G12,0)+1,BZ$6&lt;EDATE(EOMONTH($G12,0)+1,VALUE(SUBSTITUTE(LOWER($I12),"month","")))),$C12*$C$8*(1+$C$4)^INT(((YEAR(BZ$6)-YEAR(EOMONTH($G12,0)+1))*12+MONTH(BZ$6)-MONTH(EOMONTH($G12,0)+1))/12)*(1-$H12),0))</f>
        <v>0</v>
      </c>
      <c r="CA82" s="87">
        <f t="shared" si="50"/>
        <v>0</v>
      </c>
      <c r="CB82" s="87">
        <f t="shared" si="50"/>
        <v>0</v>
      </c>
      <c r="CC82" s="87">
        <f t="shared" si="50"/>
        <v>0</v>
      </c>
      <c r="CD82" s="87">
        <f t="shared" si="50"/>
        <v>0</v>
      </c>
      <c r="CE82" s="87">
        <f t="shared" si="50"/>
        <v>0</v>
      </c>
      <c r="CF82" s="87">
        <f t="shared" si="50"/>
        <v>0</v>
      </c>
      <c r="CG82" s="87">
        <f t="shared" si="50"/>
        <v>0</v>
      </c>
      <c r="CH82" s="87" t="str">
        <f t="shared" si="50"/>
        <v/>
      </c>
      <c r="CI82" s="87" t="str">
        <f t="shared" si="50"/>
        <v/>
      </c>
      <c r="CJ82" s="87" t="str">
        <f t="shared" si="50"/>
        <v/>
      </c>
      <c r="CK82" s="87" t="str">
        <f t="shared" si="50"/>
        <v/>
      </c>
    </row>
    <row r="83" spans="12:89" x14ac:dyDescent="0.2">
      <c r="M83" s="87">
        <f t="shared" ref="M83:AB96" si="51">IF(M$6="","",IF(AND($D13&gt;0,$G13&gt;0,M$6&gt;=EOMONTH($G13,0)+1,M$6&lt;EDATE(EOMONTH($G13,0)+1,VALUE(SUBSTITUTE(LOWER($I13),"month","")))),$C13*$C$8*(1+$C$4)^INT(((YEAR(M$6)-YEAR(EOMONTH($G13,0)+1))*12+MONTH(M$6)-MONTH(EOMONTH($G13,0)+1))/12)*(1-$H13),0))</f>
        <v>0</v>
      </c>
      <c r="N83" s="87">
        <f t="shared" si="51"/>
        <v>0</v>
      </c>
      <c r="O83" s="87">
        <f t="shared" si="51"/>
        <v>0</v>
      </c>
      <c r="P83" s="87">
        <f t="shared" si="51"/>
        <v>0</v>
      </c>
      <c r="Q83" s="87">
        <f t="shared" si="51"/>
        <v>0</v>
      </c>
      <c r="R83" s="87">
        <f t="shared" si="51"/>
        <v>0</v>
      </c>
      <c r="S83" s="87">
        <f t="shared" si="51"/>
        <v>0</v>
      </c>
      <c r="T83" s="87">
        <f t="shared" si="51"/>
        <v>0</v>
      </c>
      <c r="U83" s="87">
        <f t="shared" si="51"/>
        <v>0</v>
      </c>
      <c r="V83" s="87">
        <f t="shared" si="51"/>
        <v>0</v>
      </c>
      <c r="W83" s="87">
        <f t="shared" si="51"/>
        <v>0</v>
      </c>
      <c r="X83" s="87">
        <f t="shared" si="51"/>
        <v>0</v>
      </c>
      <c r="Y83" s="87">
        <f t="shared" si="51"/>
        <v>0</v>
      </c>
      <c r="Z83" s="87">
        <f t="shared" si="51"/>
        <v>0</v>
      </c>
      <c r="AA83" s="87">
        <f t="shared" si="51"/>
        <v>0</v>
      </c>
      <c r="AB83" s="87">
        <f t="shared" si="51"/>
        <v>0</v>
      </c>
      <c r="AC83" s="87">
        <f t="shared" si="49"/>
        <v>0</v>
      </c>
      <c r="AD83" s="87">
        <f t="shared" si="49"/>
        <v>0</v>
      </c>
      <c r="AE83" s="87">
        <f t="shared" si="49"/>
        <v>0</v>
      </c>
      <c r="AF83" s="87">
        <f t="shared" si="49"/>
        <v>0</v>
      </c>
      <c r="AG83" s="87">
        <f t="shared" si="49"/>
        <v>0</v>
      </c>
      <c r="AH83" s="87">
        <f t="shared" si="49"/>
        <v>0</v>
      </c>
      <c r="AI83" s="87">
        <f t="shared" si="49"/>
        <v>0</v>
      </c>
      <c r="AJ83" s="87">
        <f t="shared" si="49"/>
        <v>0</v>
      </c>
      <c r="AK83" s="87">
        <f t="shared" si="49"/>
        <v>0</v>
      </c>
      <c r="AL83" s="87">
        <f t="shared" si="49"/>
        <v>0</v>
      </c>
      <c r="AM83" s="87">
        <f t="shared" si="49"/>
        <v>0</v>
      </c>
      <c r="AN83" s="87">
        <f t="shared" si="49"/>
        <v>0</v>
      </c>
      <c r="AO83" s="87">
        <f t="shared" si="49"/>
        <v>0</v>
      </c>
      <c r="AP83" s="87">
        <f t="shared" si="49"/>
        <v>0</v>
      </c>
      <c r="AQ83" s="87">
        <f t="shared" si="49"/>
        <v>0</v>
      </c>
      <c r="AR83" s="87">
        <f t="shared" si="49"/>
        <v>0</v>
      </c>
      <c r="AS83" s="87">
        <f t="shared" si="49"/>
        <v>0</v>
      </c>
      <c r="AT83" s="87">
        <f t="shared" si="49"/>
        <v>0</v>
      </c>
      <c r="AU83" s="87">
        <f t="shared" si="49"/>
        <v>0</v>
      </c>
      <c r="AV83" s="87">
        <f t="shared" si="49"/>
        <v>0</v>
      </c>
      <c r="AW83" s="87">
        <f t="shared" si="49"/>
        <v>0</v>
      </c>
      <c r="AX83" s="87">
        <f t="shared" si="49"/>
        <v>0</v>
      </c>
      <c r="AY83" s="87">
        <f t="shared" si="49"/>
        <v>0</v>
      </c>
      <c r="AZ83" s="87">
        <f t="shared" si="49"/>
        <v>0</v>
      </c>
      <c r="BA83" s="87">
        <f t="shared" si="49"/>
        <v>0</v>
      </c>
      <c r="BB83" s="87">
        <f t="shared" si="49"/>
        <v>0</v>
      </c>
      <c r="BC83" s="87">
        <f t="shared" si="49"/>
        <v>0</v>
      </c>
      <c r="BD83" s="87">
        <f t="shared" si="49"/>
        <v>0</v>
      </c>
      <c r="BE83" s="87">
        <f t="shared" si="49"/>
        <v>0</v>
      </c>
      <c r="BF83" s="87">
        <f t="shared" si="49"/>
        <v>0</v>
      </c>
      <c r="BG83" s="87">
        <f t="shared" si="49"/>
        <v>0</v>
      </c>
      <c r="BH83" s="87">
        <f t="shared" si="49"/>
        <v>0</v>
      </c>
      <c r="BI83" s="87">
        <f t="shared" si="49"/>
        <v>0</v>
      </c>
      <c r="BJ83" s="87">
        <f t="shared" si="49"/>
        <v>0</v>
      </c>
      <c r="BK83" s="87">
        <f t="shared" si="49"/>
        <v>0</v>
      </c>
      <c r="BL83" s="87">
        <f t="shared" si="49"/>
        <v>0</v>
      </c>
      <c r="BM83" s="87">
        <f t="shared" si="49"/>
        <v>0</v>
      </c>
      <c r="BN83" s="87">
        <f t="shared" si="49"/>
        <v>0</v>
      </c>
      <c r="BO83" s="87">
        <f t="shared" si="49"/>
        <v>0</v>
      </c>
      <c r="BP83" s="87">
        <f t="shared" si="49"/>
        <v>0</v>
      </c>
      <c r="BQ83" s="87">
        <f t="shared" si="49"/>
        <v>0</v>
      </c>
      <c r="BR83" s="87">
        <f t="shared" si="49"/>
        <v>0</v>
      </c>
      <c r="BS83" s="87">
        <f t="shared" si="49"/>
        <v>0</v>
      </c>
      <c r="BT83" s="87">
        <f t="shared" si="49"/>
        <v>0</v>
      </c>
      <c r="BU83" s="87">
        <f t="shared" si="49"/>
        <v>0</v>
      </c>
      <c r="BV83" s="87">
        <f t="shared" si="49"/>
        <v>0</v>
      </c>
      <c r="BW83" s="87">
        <f t="shared" si="49"/>
        <v>0</v>
      </c>
      <c r="BX83" s="87">
        <f t="shared" si="49"/>
        <v>0</v>
      </c>
      <c r="BY83" s="87">
        <f t="shared" si="49"/>
        <v>0</v>
      </c>
      <c r="BZ83" s="87">
        <f t="shared" si="50"/>
        <v>0</v>
      </c>
      <c r="CA83" s="87">
        <f t="shared" si="50"/>
        <v>0</v>
      </c>
      <c r="CB83" s="87">
        <f t="shared" si="50"/>
        <v>0</v>
      </c>
      <c r="CC83" s="87">
        <f t="shared" si="50"/>
        <v>0</v>
      </c>
      <c r="CD83" s="87">
        <f t="shared" si="50"/>
        <v>0</v>
      </c>
      <c r="CE83" s="87">
        <f t="shared" si="50"/>
        <v>0</v>
      </c>
      <c r="CF83" s="87">
        <f t="shared" si="50"/>
        <v>0</v>
      </c>
      <c r="CG83" s="87">
        <f t="shared" si="50"/>
        <v>0</v>
      </c>
      <c r="CH83" s="87" t="str">
        <f t="shared" si="50"/>
        <v/>
      </c>
      <c r="CI83" s="87" t="str">
        <f t="shared" si="50"/>
        <v/>
      </c>
      <c r="CJ83" s="87" t="str">
        <f t="shared" si="50"/>
        <v/>
      </c>
      <c r="CK83" s="87" t="str">
        <f t="shared" si="50"/>
        <v/>
      </c>
    </row>
    <row r="84" spans="12:89" x14ac:dyDescent="0.2">
      <c r="M84" s="87">
        <f t="shared" si="51"/>
        <v>0</v>
      </c>
      <c r="N84" s="87">
        <f t="shared" ref="N84:BY87" si="52">IF(N$6="","",IF(AND($D14&gt;0,$G14&gt;0,N$6&gt;=EOMONTH($G14,0)+1,N$6&lt;EDATE(EOMONTH($G14,0)+1,VALUE(SUBSTITUTE(LOWER($I14),"month","")))),$C14*$C$8*(1+$C$4)^INT(((YEAR(N$6)-YEAR(EOMONTH($G14,0)+1))*12+MONTH(N$6)-MONTH(EOMONTH($G14,0)+1))/12)*(1-$H14),0))</f>
        <v>0</v>
      </c>
      <c r="O84" s="87">
        <f t="shared" si="52"/>
        <v>0</v>
      </c>
      <c r="P84" s="87">
        <f t="shared" si="52"/>
        <v>0</v>
      </c>
      <c r="Q84" s="87">
        <f t="shared" si="52"/>
        <v>0</v>
      </c>
      <c r="R84" s="87">
        <f t="shared" si="52"/>
        <v>0</v>
      </c>
      <c r="S84" s="87">
        <f t="shared" si="52"/>
        <v>0</v>
      </c>
      <c r="T84" s="87">
        <f t="shared" si="52"/>
        <v>0</v>
      </c>
      <c r="U84" s="87">
        <f t="shared" si="52"/>
        <v>0</v>
      </c>
      <c r="V84" s="87">
        <f t="shared" si="52"/>
        <v>0</v>
      </c>
      <c r="W84" s="87">
        <f t="shared" si="52"/>
        <v>0</v>
      </c>
      <c r="X84" s="87">
        <f t="shared" si="52"/>
        <v>0</v>
      </c>
      <c r="Y84" s="87">
        <f t="shared" si="52"/>
        <v>0</v>
      </c>
      <c r="Z84" s="87">
        <f t="shared" si="52"/>
        <v>0</v>
      </c>
      <c r="AA84" s="87">
        <f t="shared" si="52"/>
        <v>0</v>
      </c>
      <c r="AB84" s="87">
        <f t="shared" si="52"/>
        <v>0</v>
      </c>
      <c r="AC84" s="87">
        <f t="shared" si="52"/>
        <v>0</v>
      </c>
      <c r="AD84" s="87">
        <f t="shared" si="52"/>
        <v>0</v>
      </c>
      <c r="AE84" s="87">
        <f t="shared" si="52"/>
        <v>0</v>
      </c>
      <c r="AF84" s="87">
        <f t="shared" si="52"/>
        <v>0</v>
      </c>
      <c r="AG84" s="87">
        <f t="shared" si="52"/>
        <v>0</v>
      </c>
      <c r="AH84" s="87">
        <f t="shared" si="52"/>
        <v>0</v>
      </c>
      <c r="AI84" s="87">
        <f t="shared" si="52"/>
        <v>0</v>
      </c>
      <c r="AJ84" s="87">
        <f t="shared" si="52"/>
        <v>0</v>
      </c>
      <c r="AK84" s="87">
        <f t="shared" si="52"/>
        <v>0</v>
      </c>
      <c r="AL84" s="87">
        <f t="shared" si="52"/>
        <v>0</v>
      </c>
      <c r="AM84" s="87">
        <f t="shared" si="52"/>
        <v>0</v>
      </c>
      <c r="AN84" s="87">
        <f t="shared" si="52"/>
        <v>0</v>
      </c>
      <c r="AO84" s="87">
        <f t="shared" si="52"/>
        <v>0</v>
      </c>
      <c r="AP84" s="87">
        <f t="shared" si="52"/>
        <v>0</v>
      </c>
      <c r="AQ84" s="87">
        <f t="shared" si="52"/>
        <v>0</v>
      </c>
      <c r="AR84" s="87">
        <f t="shared" si="52"/>
        <v>0</v>
      </c>
      <c r="AS84" s="87">
        <f t="shared" si="52"/>
        <v>0</v>
      </c>
      <c r="AT84" s="87">
        <f t="shared" si="52"/>
        <v>0</v>
      </c>
      <c r="AU84" s="87">
        <f t="shared" si="52"/>
        <v>0</v>
      </c>
      <c r="AV84" s="87">
        <f t="shared" si="52"/>
        <v>10710</v>
      </c>
      <c r="AW84" s="87">
        <f t="shared" si="52"/>
        <v>10710</v>
      </c>
      <c r="AX84" s="87">
        <f t="shared" si="52"/>
        <v>10710</v>
      </c>
      <c r="AY84" s="87">
        <f t="shared" si="52"/>
        <v>10710</v>
      </c>
      <c r="AZ84" s="87">
        <f t="shared" si="52"/>
        <v>10710</v>
      </c>
      <c r="BA84" s="87">
        <f t="shared" si="52"/>
        <v>10710</v>
      </c>
      <c r="BB84" s="87">
        <f t="shared" si="52"/>
        <v>10710</v>
      </c>
      <c r="BC84" s="87">
        <f t="shared" si="52"/>
        <v>10710</v>
      </c>
      <c r="BD84" s="87">
        <f t="shared" si="52"/>
        <v>10710</v>
      </c>
      <c r="BE84" s="87">
        <f t="shared" si="52"/>
        <v>0</v>
      </c>
      <c r="BF84" s="87">
        <f t="shared" si="52"/>
        <v>0</v>
      </c>
      <c r="BG84" s="87">
        <f t="shared" si="52"/>
        <v>0</v>
      </c>
      <c r="BH84" s="87">
        <f t="shared" si="52"/>
        <v>0</v>
      </c>
      <c r="BI84" s="87">
        <f t="shared" si="52"/>
        <v>0</v>
      </c>
      <c r="BJ84" s="87">
        <f t="shared" si="52"/>
        <v>0</v>
      </c>
      <c r="BK84" s="87">
        <f t="shared" si="52"/>
        <v>0</v>
      </c>
      <c r="BL84" s="87">
        <f t="shared" si="52"/>
        <v>0</v>
      </c>
      <c r="BM84" s="87">
        <f t="shared" si="52"/>
        <v>0</v>
      </c>
      <c r="BN84" s="87">
        <f t="shared" si="52"/>
        <v>0</v>
      </c>
      <c r="BO84" s="87">
        <f t="shared" si="52"/>
        <v>0</v>
      </c>
      <c r="BP84" s="87">
        <f t="shared" si="52"/>
        <v>0</v>
      </c>
      <c r="BQ84" s="87">
        <f t="shared" si="52"/>
        <v>0</v>
      </c>
      <c r="BR84" s="87">
        <f t="shared" si="52"/>
        <v>0</v>
      </c>
      <c r="BS84" s="87">
        <f t="shared" si="52"/>
        <v>0</v>
      </c>
      <c r="BT84" s="87">
        <f t="shared" si="52"/>
        <v>0</v>
      </c>
      <c r="BU84" s="87">
        <f t="shared" si="52"/>
        <v>0</v>
      </c>
      <c r="BV84" s="87">
        <f t="shared" si="52"/>
        <v>0</v>
      </c>
      <c r="BW84" s="87">
        <f t="shared" si="52"/>
        <v>0</v>
      </c>
      <c r="BX84" s="87">
        <f t="shared" si="52"/>
        <v>0</v>
      </c>
      <c r="BY84" s="87">
        <f t="shared" si="52"/>
        <v>0</v>
      </c>
      <c r="BZ84" s="87">
        <f t="shared" si="50"/>
        <v>0</v>
      </c>
      <c r="CA84" s="87">
        <f t="shared" si="50"/>
        <v>0</v>
      </c>
      <c r="CB84" s="87">
        <f t="shared" si="50"/>
        <v>0</v>
      </c>
      <c r="CC84" s="87">
        <f t="shared" si="50"/>
        <v>0</v>
      </c>
      <c r="CD84" s="87">
        <f t="shared" si="50"/>
        <v>0</v>
      </c>
      <c r="CE84" s="87">
        <f t="shared" si="50"/>
        <v>0</v>
      </c>
      <c r="CF84" s="87">
        <f t="shared" si="50"/>
        <v>0</v>
      </c>
      <c r="CG84" s="87">
        <f t="shared" si="50"/>
        <v>0</v>
      </c>
      <c r="CH84" s="87" t="str">
        <f t="shared" si="50"/>
        <v/>
      </c>
      <c r="CI84" s="87" t="str">
        <f t="shared" si="50"/>
        <v/>
      </c>
      <c r="CJ84" s="87" t="str">
        <f t="shared" si="50"/>
        <v/>
      </c>
      <c r="CK84" s="87" t="str">
        <f t="shared" si="50"/>
        <v/>
      </c>
    </row>
    <row r="85" spans="12:89" x14ac:dyDescent="0.2">
      <c r="M85" s="87">
        <f t="shared" si="51"/>
        <v>0</v>
      </c>
      <c r="N85" s="87">
        <f t="shared" si="52"/>
        <v>0</v>
      </c>
      <c r="O85" s="87">
        <f t="shared" si="52"/>
        <v>0</v>
      </c>
      <c r="P85" s="87">
        <f t="shared" si="52"/>
        <v>0</v>
      </c>
      <c r="Q85" s="87">
        <f t="shared" si="52"/>
        <v>0</v>
      </c>
      <c r="R85" s="87">
        <f t="shared" si="52"/>
        <v>0</v>
      </c>
      <c r="S85" s="87">
        <f t="shared" si="52"/>
        <v>0</v>
      </c>
      <c r="T85" s="87">
        <f t="shared" si="52"/>
        <v>0</v>
      </c>
      <c r="U85" s="87">
        <f t="shared" si="52"/>
        <v>0</v>
      </c>
      <c r="V85" s="87">
        <f t="shared" si="52"/>
        <v>0</v>
      </c>
      <c r="W85" s="87">
        <f t="shared" si="52"/>
        <v>0</v>
      </c>
      <c r="X85" s="87">
        <f t="shared" si="52"/>
        <v>0</v>
      </c>
      <c r="Y85" s="87">
        <f t="shared" si="52"/>
        <v>0</v>
      </c>
      <c r="Z85" s="87">
        <f t="shared" si="52"/>
        <v>0</v>
      </c>
      <c r="AA85" s="87">
        <f t="shared" si="52"/>
        <v>0</v>
      </c>
      <c r="AB85" s="87">
        <f t="shared" si="52"/>
        <v>0</v>
      </c>
      <c r="AC85" s="87">
        <f t="shared" si="52"/>
        <v>0</v>
      </c>
      <c r="AD85" s="87">
        <f t="shared" si="52"/>
        <v>0</v>
      </c>
      <c r="AE85" s="87">
        <f t="shared" si="52"/>
        <v>0</v>
      </c>
      <c r="AF85" s="87">
        <f t="shared" si="52"/>
        <v>0</v>
      </c>
      <c r="AG85" s="87">
        <f t="shared" si="52"/>
        <v>0</v>
      </c>
      <c r="AH85" s="87">
        <f t="shared" si="52"/>
        <v>0</v>
      </c>
      <c r="AI85" s="87">
        <f t="shared" si="52"/>
        <v>0</v>
      </c>
      <c r="AJ85" s="87">
        <f t="shared" si="52"/>
        <v>0</v>
      </c>
      <c r="AK85" s="87">
        <f t="shared" si="52"/>
        <v>0</v>
      </c>
      <c r="AL85" s="87">
        <f t="shared" si="52"/>
        <v>8925</v>
      </c>
      <c r="AM85" s="87">
        <f t="shared" si="52"/>
        <v>8925</v>
      </c>
      <c r="AN85" s="87">
        <f t="shared" si="52"/>
        <v>8925</v>
      </c>
      <c r="AO85" s="87">
        <f t="shared" si="52"/>
        <v>8925</v>
      </c>
      <c r="AP85" s="87">
        <f t="shared" si="52"/>
        <v>8925</v>
      </c>
      <c r="AQ85" s="87">
        <f t="shared" si="52"/>
        <v>8925</v>
      </c>
      <c r="AR85" s="87">
        <f t="shared" si="52"/>
        <v>8925</v>
      </c>
      <c r="AS85" s="87">
        <f t="shared" si="52"/>
        <v>8925</v>
      </c>
      <c r="AT85" s="87">
        <f t="shared" si="52"/>
        <v>8925</v>
      </c>
      <c r="AU85" s="87">
        <f t="shared" si="52"/>
        <v>0</v>
      </c>
      <c r="AV85" s="87">
        <f t="shared" si="52"/>
        <v>0</v>
      </c>
      <c r="AW85" s="87">
        <f t="shared" si="52"/>
        <v>0</v>
      </c>
      <c r="AX85" s="87">
        <f t="shared" si="52"/>
        <v>0</v>
      </c>
      <c r="AY85" s="87">
        <f t="shared" si="52"/>
        <v>0</v>
      </c>
      <c r="AZ85" s="87">
        <f t="shared" si="52"/>
        <v>0</v>
      </c>
      <c r="BA85" s="87">
        <f t="shared" si="52"/>
        <v>0</v>
      </c>
      <c r="BB85" s="87">
        <f t="shared" si="52"/>
        <v>0</v>
      </c>
      <c r="BC85" s="87">
        <f t="shared" si="52"/>
        <v>0</v>
      </c>
      <c r="BD85" s="87">
        <f t="shared" si="52"/>
        <v>0</v>
      </c>
      <c r="BE85" s="87">
        <f t="shared" si="52"/>
        <v>0</v>
      </c>
      <c r="BF85" s="87">
        <f t="shared" si="52"/>
        <v>0</v>
      </c>
      <c r="BG85" s="87">
        <f t="shared" si="52"/>
        <v>0</v>
      </c>
      <c r="BH85" s="87">
        <f t="shared" si="52"/>
        <v>0</v>
      </c>
      <c r="BI85" s="87">
        <f t="shared" si="52"/>
        <v>0</v>
      </c>
      <c r="BJ85" s="87">
        <f t="shared" si="52"/>
        <v>0</v>
      </c>
      <c r="BK85" s="87">
        <f t="shared" si="52"/>
        <v>0</v>
      </c>
      <c r="BL85" s="87">
        <f t="shared" si="52"/>
        <v>0</v>
      </c>
      <c r="BM85" s="87">
        <f t="shared" si="52"/>
        <v>0</v>
      </c>
      <c r="BN85" s="87">
        <f t="shared" si="52"/>
        <v>0</v>
      </c>
      <c r="BO85" s="87">
        <f t="shared" si="52"/>
        <v>0</v>
      </c>
      <c r="BP85" s="87">
        <f t="shared" si="52"/>
        <v>0</v>
      </c>
      <c r="BQ85" s="87">
        <f t="shared" si="52"/>
        <v>0</v>
      </c>
      <c r="BR85" s="87">
        <f t="shared" si="52"/>
        <v>0</v>
      </c>
      <c r="BS85" s="87">
        <f t="shared" si="52"/>
        <v>0</v>
      </c>
      <c r="BT85" s="87">
        <f t="shared" si="52"/>
        <v>0</v>
      </c>
      <c r="BU85" s="87">
        <f t="shared" si="52"/>
        <v>0</v>
      </c>
      <c r="BV85" s="87">
        <f t="shared" si="52"/>
        <v>0</v>
      </c>
      <c r="BW85" s="87">
        <f t="shared" si="52"/>
        <v>0</v>
      </c>
      <c r="BX85" s="87">
        <f t="shared" si="52"/>
        <v>0</v>
      </c>
      <c r="BY85" s="87">
        <f t="shared" si="52"/>
        <v>0</v>
      </c>
      <c r="BZ85" s="87">
        <f t="shared" si="50"/>
        <v>0</v>
      </c>
      <c r="CA85" s="87">
        <f t="shared" si="50"/>
        <v>0</v>
      </c>
      <c r="CB85" s="87">
        <f t="shared" si="50"/>
        <v>0</v>
      </c>
      <c r="CC85" s="87">
        <f t="shared" si="50"/>
        <v>0</v>
      </c>
      <c r="CD85" s="87">
        <f t="shared" si="50"/>
        <v>0</v>
      </c>
      <c r="CE85" s="87">
        <f t="shared" si="50"/>
        <v>0</v>
      </c>
      <c r="CF85" s="87">
        <f t="shared" si="50"/>
        <v>0</v>
      </c>
      <c r="CG85" s="87">
        <f t="shared" si="50"/>
        <v>0</v>
      </c>
      <c r="CH85" s="87" t="str">
        <f t="shared" si="50"/>
        <v/>
      </c>
      <c r="CI85" s="87" t="str">
        <f t="shared" si="50"/>
        <v/>
      </c>
      <c r="CJ85" s="87" t="str">
        <f t="shared" si="50"/>
        <v/>
      </c>
      <c r="CK85" s="87" t="str">
        <f t="shared" si="50"/>
        <v/>
      </c>
    </row>
    <row r="86" spans="12:89" x14ac:dyDescent="0.2">
      <c r="M86" s="87">
        <f t="shared" si="51"/>
        <v>0</v>
      </c>
      <c r="N86" s="87">
        <f t="shared" si="52"/>
        <v>0</v>
      </c>
      <c r="O86" s="87">
        <f t="shared" si="52"/>
        <v>0</v>
      </c>
      <c r="P86" s="87">
        <f t="shared" si="52"/>
        <v>0</v>
      </c>
      <c r="Q86" s="87">
        <f t="shared" si="52"/>
        <v>0</v>
      </c>
      <c r="R86" s="87">
        <f t="shared" si="52"/>
        <v>0</v>
      </c>
      <c r="S86" s="87">
        <f t="shared" si="52"/>
        <v>0</v>
      </c>
      <c r="T86" s="87">
        <f t="shared" si="52"/>
        <v>0</v>
      </c>
      <c r="U86" s="87">
        <f t="shared" si="52"/>
        <v>0</v>
      </c>
      <c r="V86" s="87">
        <f t="shared" si="52"/>
        <v>0</v>
      </c>
      <c r="W86" s="87">
        <f t="shared" si="52"/>
        <v>0</v>
      </c>
      <c r="X86" s="87">
        <f t="shared" si="52"/>
        <v>0</v>
      </c>
      <c r="Y86" s="87">
        <f t="shared" si="52"/>
        <v>0</v>
      </c>
      <c r="Z86" s="87">
        <f t="shared" si="52"/>
        <v>0</v>
      </c>
      <c r="AA86" s="87">
        <f t="shared" si="52"/>
        <v>0</v>
      </c>
      <c r="AB86" s="87">
        <f t="shared" si="52"/>
        <v>3570</v>
      </c>
      <c r="AC86" s="87">
        <f t="shared" si="52"/>
        <v>3570</v>
      </c>
      <c r="AD86" s="87">
        <f t="shared" si="52"/>
        <v>3570</v>
      </c>
      <c r="AE86" s="87">
        <f t="shared" si="52"/>
        <v>3570</v>
      </c>
      <c r="AF86" s="87">
        <f t="shared" si="52"/>
        <v>3570</v>
      </c>
      <c r="AG86" s="87">
        <f t="shared" si="52"/>
        <v>3570</v>
      </c>
      <c r="AH86" s="87">
        <f t="shared" si="52"/>
        <v>3570</v>
      </c>
      <c r="AI86" s="87">
        <f t="shared" si="52"/>
        <v>3570</v>
      </c>
      <c r="AJ86" s="87">
        <f t="shared" si="52"/>
        <v>3570</v>
      </c>
      <c r="AK86" s="87">
        <f t="shared" si="52"/>
        <v>0</v>
      </c>
      <c r="AL86" s="87">
        <f t="shared" si="52"/>
        <v>0</v>
      </c>
      <c r="AM86" s="87">
        <f t="shared" si="52"/>
        <v>0</v>
      </c>
      <c r="AN86" s="87">
        <f t="shared" si="52"/>
        <v>0</v>
      </c>
      <c r="AO86" s="87">
        <f t="shared" si="52"/>
        <v>0</v>
      </c>
      <c r="AP86" s="87">
        <f t="shared" si="52"/>
        <v>0</v>
      </c>
      <c r="AQ86" s="87">
        <f t="shared" si="52"/>
        <v>0</v>
      </c>
      <c r="AR86" s="87">
        <f t="shared" si="52"/>
        <v>0</v>
      </c>
      <c r="AS86" s="87">
        <f t="shared" si="52"/>
        <v>0</v>
      </c>
      <c r="AT86" s="87">
        <f t="shared" si="52"/>
        <v>0</v>
      </c>
      <c r="AU86" s="87">
        <f t="shared" si="52"/>
        <v>0</v>
      </c>
      <c r="AV86" s="87">
        <f t="shared" si="52"/>
        <v>0</v>
      </c>
      <c r="AW86" s="87">
        <f t="shared" si="52"/>
        <v>0</v>
      </c>
      <c r="AX86" s="87">
        <f t="shared" si="52"/>
        <v>0</v>
      </c>
      <c r="AY86" s="87">
        <f t="shared" si="52"/>
        <v>0</v>
      </c>
      <c r="AZ86" s="87">
        <f t="shared" si="52"/>
        <v>0</v>
      </c>
      <c r="BA86" s="87">
        <f t="shared" si="52"/>
        <v>0</v>
      </c>
      <c r="BB86" s="87">
        <f t="shared" si="52"/>
        <v>0</v>
      </c>
      <c r="BC86" s="87">
        <f t="shared" si="52"/>
        <v>0</v>
      </c>
      <c r="BD86" s="87">
        <f t="shared" si="52"/>
        <v>0</v>
      </c>
      <c r="BE86" s="87">
        <f t="shared" si="52"/>
        <v>0</v>
      </c>
      <c r="BF86" s="87">
        <f t="shared" si="52"/>
        <v>0</v>
      </c>
      <c r="BG86" s="87">
        <f t="shared" si="52"/>
        <v>0</v>
      </c>
      <c r="BH86" s="87">
        <f t="shared" si="52"/>
        <v>0</v>
      </c>
      <c r="BI86" s="87">
        <f t="shared" si="52"/>
        <v>0</v>
      </c>
      <c r="BJ86" s="87">
        <f t="shared" si="52"/>
        <v>0</v>
      </c>
      <c r="BK86" s="87">
        <f t="shared" si="52"/>
        <v>0</v>
      </c>
      <c r="BL86" s="87">
        <f t="shared" si="52"/>
        <v>0</v>
      </c>
      <c r="BM86" s="87">
        <f t="shared" si="52"/>
        <v>0</v>
      </c>
      <c r="BN86" s="87">
        <f t="shared" si="52"/>
        <v>0</v>
      </c>
      <c r="BO86" s="87">
        <f t="shared" si="52"/>
        <v>0</v>
      </c>
      <c r="BP86" s="87">
        <f t="shared" si="52"/>
        <v>0</v>
      </c>
      <c r="BQ86" s="87">
        <f t="shared" si="52"/>
        <v>0</v>
      </c>
      <c r="BR86" s="87">
        <f t="shared" si="52"/>
        <v>0</v>
      </c>
      <c r="BS86" s="87">
        <f t="shared" si="52"/>
        <v>0</v>
      </c>
      <c r="BT86" s="87">
        <f t="shared" si="52"/>
        <v>0</v>
      </c>
      <c r="BU86" s="87">
        <f t="shared" si="52"/>
        <v>0</v>
      </c>
      <c r="BV86" s="87">
        <f t="shared" si="52"/>
        <v>0</v>
      </c>
      <c r="BW86" s="87">
        <f t="shared" si="52"/>
        <v>0</v>
      </c>
      <c r="BX86" s="87">
        <f t="shared" si="52"/>
        <v>0</v>
      </c>
      <c r="BY86" s="87">
        <f t="shared" si="52"/>
        <v>0</v>
      </c>
      <c r="BZ86" s="87">
        <f t="shared" si="50"/>
        <v>0</v>
      </c>
      <c r="CA86" s="87">
        <f t="shared" si="50"/>
        <v>0</v>
      </c>
      <c r="CB86" s="87">
        <f t="shared" si="50"/>
        <v>0</v>
      </c>
      <c r="CC86" s="87">
        <f t="shared" si="50"/>
        <v>0</v>
      </c>
      <c r="CD86" s="87">
        <f t="shared" si="50"/>
        <v>0</v>
      </c>
      <c r="CE86" s="87">
        <f t="shared" si="50"/>
        <v>0</v>
      </c>
      <c r="CF86" s="87">
        <f t="shared" si="50"/>
        <v>0</v>
      </c>
      <c r="CG86" s="87">
        <f t="shared" si="50"/>
        <v>0</v>
      </c>
      <c r="CH86" s="87" t="str">
        <f t="shared" si="50"/>
        <v/>
      </c>
      <c r="CI86" s="87" t="str">
        <f t="shared" si="50"/>
        <v/>
      </c>
      <c r="CJ86" s="87" t="str">
        <f t="shared" si="50"/>
        <v/>
      </c>
      <c r="CK86" s="87" t="str">
        <f t="shared" si="50"/>
        <v/>
      </c>
    </row>
    <row r="87" spans="12:89" x14ac:dyDescent="0.2">
      <c r="M87" s="87">
        <f t="shared" si="51"/>
        <v>0</v>
      </c>
      <c r="N87" s="87">
        <f t="shared" si="52"/>
        <v>0</v>
      </c>
      <c r="O87" s="87">
        <f t="shared" si="52"/>
        <v>0</v>
      </c>
      <c r="P87" s="87">
        <f t="shared" si="52"/>
        <v>0</v>
      </c>
      <c r="Q87" s="87">
        <f t="shared" si="52"/>
        <v>0</v>
      </c>
      <c r="R87" s="87">
        <f t="shared" si="52"/>
        <v>0</v>
      </c>
      <c r="S87" s="87">
        <f t="shared" si="52"/>
        <v>0</v>
      </c>
      <c r="T87" s="87">
        <f t="shared" si="52"/>
        <v>0</v>
      </c>
      <c r="U87" s="87">
        <f t="shared" si="52"/>
        <v>0</v>
      </c>
      <c r="V87" s="87">
        <f t="shared" si="52"/>
        <v>0</v>
      </c>
      <c r="W87" s="87">
        <f t="shared" si="52"/>
        <v>0</v>
      </c>
      <c r="X87" s="87">
        <f t="shared" si="52"/>
        <v>0</v>
      </c>
      <c r="Y87" s="87">
        <f t="shared" si="52"/>
        <v>0</v>
      </c>
      <c r="Z87" s="87">
        <f t="shared" si="52"/>
        <v>0</v>
      </c>
      <c r="AA87" s="87">
        <f t="shared" si="52"/>
        <v>0</v>
      </c>
      <c r="AB87" s="87">
        <f t="shared" si="52"/>
        <v>0</v>
      </c>
      <c r="AC87" s="87">
        <f t="shared" si="52"/>
        <v>0</v>
      </c>
      <c r="AD87" s="87">
        <f t="shared" si="52"/>
        <v>0</v>
      </c>
      <c r="AE87" s="87">
        <f t="shared" si="52"/>
        <v>0</v>
      </c>
      <c r="AF87" s="87">
        <f t="shared" si="52"/>
        <v>0</v>
      </c>
      <c r="AG87" s="87">
        <f t="shared" si="52"/>
        <v>0</v>
      </c>
      <c r="AH87" s="87">
        <f t="shared" si="52"/>
        <v>0</v>
      </c>
      <c r="AI87" s="87">
        <f t="shared" si="52"/>
        <v>0</v>
      </c>
      <c r="AJ87" s="87">
        <f t="shared" si="52"/>
        <v>0</v>
      </c>
      <c r="AK87" s="87">
        <f t="shared" si="52"/>
        <v>0</v>
      </c>
      <c r="AL87" s="87">
        <f t="shared" si="52"/>
        <v>0</v>
      </c>
      <c r="AM87" s="87">
        <f t="shared" si="52"/>
        <v>0</v>
      </c>
      <c r="AN87" s="87">
        <f t="shared" si="52"/>
        <v>0</v>
      </c>
      <c r="AO87" s="87">
        <f t="shared" si="52"/>
        <v>0</v>
      </c>
      <c r="AP87" s="87">
        <f t="shared" si="52"/>
        <v>0</v>
      </c>
      <c r="AQ87" s="87">
        <f t="shared" si="52"/>
        <v>15351</v>
      </c>
      <c r="AR87" s="87">
        <f t="shared" si="52"/>
        <v>15351</v>
      </c>
      <c r="AS87" s="87">
        <f t="shared" si="52"/>
        <v>15351</v>
      </c>
      <c r="AT87" s="87">
        <f t="shared" si="52"/>
        <v>15351</v>
      </c>
      <c r="AU87" s="87">
        <f t="shared" si="52"/>
        <v>15351</v>
      </c>
      <c r="AV87" s="87">
        <f t="shared" si="52"/>
        <v>15351</v>
      </c>
      <c r="AW87" s="87">
        <f t="shared" si="52"/>
        <v>15351</v>
      </c>
      <c r="AX87" s="87">
        <f t="shared" si="52"/>
        <v>15351</v>
      </c>
      <c r="AY87" s="87">
        <f t="shared" si="52"/>
        <v>15351</v>
      </c>
      <c r="AZ87" s="87">
        <f t="shared" si="52"/>
        <v>0</v>
      </c>
      <c r="BA87" s="87">
        <f t="shared" si="52"/>
        <v>0</v>
      </c>
      <c r="BB87" s="87">
        <f t="shared" si="52"/>
        <v>0</v>
      </c>
      <c r="BC87" s="87">
        <f t="shared" si="52"/>
        <v>0</v>
      </c>
      <c r="BD87" s="87">
        <f t="shared" si="52"/>
        <v>0</v>
      </c>
      <c r="BE87" s="87">
        <f t="shared" si="52"/>
        <v>0</v>
      </c>
      <c r="BF87" s="87">
        <f t="shared" si="52"/>
        <v>0</v>
      </c>
      <c r="BG87" s="87">
        <f t="shared" si="52"/>
        <v>0</v>
      </c>
      <c r="BH87" s="87">
        <f t="shared" si="52"/>
        <v>0</v>
      </c>
      <c r="BI87" s="87">
        <f t="shared" si="52"/>
        <v>0</v>
      </c>
      <c r="BJ87" s="87">
        <f t="shared" si="52"/>
        <v>0</v>
      </c>
      <c r="BK87" s="87">
        <f t="shared" si="52"/>
        <v>0</v>
      </c>
      <c r="BL87" s="87">
        <f t="shared" si="52"/>
        <v>0</v>
      </c>
      <c r="BM87" s="87">
        <f t="shared" si="52"/>
        <v>0</v>
      </c>
      <c r="BN87" s="87">
        <f t="shared" si="52"/>
        <v>0</v>
      </c>
      <c r="BO87" s="87">
        <f t="shared" si="52"/>
        <v>0</v>
      </c>
      <c r="BP87" s="87">
        <f t="shared" si="52"/>
        <v>0</v>
      </c>
      <c r="BQ87" s="87">
        <f t="shared" si="52"/>
        <v>0</v>
      </c>
      <c r="BR87" s="87">
        <f t="shared" si="52"/>
        <v>0</v>
      </c>
      <c r="BS87" s="87">
        <f t="shared" si="52"/>
        <v>0</v>
      </c>
      <c r="BT87" s="87">
        <f t="shared" si="52"/>
        <v>0</v>
      </c>
      <c r="BU87" s="87">
        <f t="shared" si="52"/>
        <v>0</v>
      </c>
      <c r="BV87" s="87">
        <f t="shared" si="52"/>
        <v>0</v>
      </c>
      <c r="BW87" s="87">
        <f t="shared" si="52"/>
        <v>0</v>
      </c>
      <c r="BX87" s="87">
        <f t="shared" si="52"/>
        <v>0</v>
      </c>
      <c r="BY87" s="87">
        <f t="shared" ref="BY87:CK90" si="53">IF(BY$6="","",IF(AND($D17&gt;0,$G17&gt;0,BY$6&gt;=EOMONTH($G17,0)+1,BY$6&lt;EDATE(EOMONTH($G17,0)+1,VALUE(SUBSTITUTE(LOWER($I17),"month","")))),$C17*$C$8*(1+$C$4)^INT(((YEAR(BY$6)-YEAR(EOMONTH($G17,0)+1))*12+MONTH(BY$6)-MONTH(EOMONTH($G17,0)+1))/12)*(1-$H17),0))</f>
        <v>0</v>
      </c>
      <c r="BZ87" s="87">
        <f t="shared" si="53"/>
        <v>0</v>
      </c>
      <c r="CA87" s="87">
        <f t="shared" si="53"/>
        <v>0</v>
      </c>
      <c r="CB87" s="87">
        <f t="shared" si="53"/>
        <v>0</v>
      </c>
      <c r="CC87" s="87">
        <f t="shared" si="53"/>
        <v>0</v>
      </c>
      <c r="CD87" s="87">
        <f t="shared" si="53"/>
        <v>0</v>
      </c>
      <c r="CE87" s="87">
        <f t="shared" si="53"/>
        <v>0</v>
      </c>
      <c r="CF87" s="87">
        <f t="shared" si="53"/>
        <v>0</v>
      </c>
      <c r="CG87" s="87">
        <f t="shared" si="53"/>
        <v>0</v>
      </c>
      <c r="CH87" s="87" t="str">
        <f t="shared" si="53"/>
        <v/>
      </c>
      <c r="CI87" s="87" t="str">
        <f t="shared" si="53"/>
        <v/>
      </c>
      <c r="CJ87" s="87" t="str">
        <f t="shared" si="53"/>
        <v/>
      </c>
      <c r="CK87" s="87" t="str">
        <f t="shared" si="53"/>
        <v/>
      </c>
    </row>
    <row r="88" spans="12:89" x14ac:dyDescent="0.2">
      <c r="M88" s="87">
        <f t="shared" si="51"/>
        <v>0</v>
      </c>
      <c r="N88" s="87">
        <f t="shared" ref="N88:BY91" si="54">IF(N$6="","",IF(AND($D18&gt;0,$G18&gt;0,N$6&gt;=EOMONTH($G18,0)+1,N$6&lt;EDATE(EOMONTH($G18,0)+1,VALUE(SUBSTITUTE(LOWER($I18),"month","")))),$C18*$C$8*(1+$C$4)^INT(((YEAR(N$6)-YEAR(EOMONTH($G18,0)+1))*12+MONTH(N$6)-MONTH(EOMONTH($G18,0)+1))/12)*(1-$H18),0))</f>
        <v>0</v>
      </c>
      <c r="O88" s="87">
        <f t="shared" si="54"/>
        <v>0</v>
      </c>
      <c r="P88" s="87">
        <f t="shared" si="54"/>
        <v>0</v>
      </c>
      <c r="Q88" s="87">
        <f t="shared" si="54"/>
        <v>0</v>
      </c>
      <c r="R88" s="87">
        <f t="shared" si="54"/>
        <v>0</v>
      </c>
      <c r="S88" s="87">
        <f t="shared" si="54"/>
        <v>0</v>
      </c>
      <c r="T88" s="87">
        <f t="shared" si="54"/>
        <v>0</v>
      </c>
      <c r="U88" s="87">
        <f t="shared" si="54"/>
        <v>0</v>
      </c>
      <c r="V88" s="87">
        <f t="shared" si="54"/>
        <v>0</v>
      </c>
      <c r="W88" s="87">
        <f t="shared" si="54"/>
        <v>0</v>
      </c>
      <c r="X88" s="87">
        <f t="shared" si="54"/>
        <v>0</v>
      </c>
      <c r="Y88" s="87">
        <f t="shared" si="54"/>
        <v>0</v>
      </c>
      <c r="Z88" s="87">
        <f t="shared" si="54"/>
        <v>0</v>
      </c>
      <c r="AA88" s="87">
        <f t="shared" si="54"/>
        <v>0</v>
      </c>
      <c r="AB88" s="87">
        <f t="shared" si="54"/>
        <v>0</v>
      </c>
      <c r="AC88" s="87">
        <f t="shared" si="54"/>
        <v>0</v>
      </c>
      <c r="AD88" s="87">
        <f t="shared" si="54"/>
        <v>0</v>
      </c>
      <c r="AE88" s="87">
        <f t="shared" si="54"/>
        <v>0</v>
      </c>
      <c r="AF88" s="87">
        <f t="shared" si="54"/>
        <v>0</v>
      </c>
      <c r="AG88" s="87">
        <f t="shared" si="54"/>
        <v>0</v>
      </c>
      <c r="AH88" s="87">
        <f t="shared" si="54"/>
        <v>0</v>
      </c>
      <c r="AI88" s="87">
        <f t="shared" si="54"/>
        <v>0</v>
      </c>
      <c r="AJ88" s="87">
        <f t="shared" si="54"/>
        <v>0</v>
      </c>
      <c r="AK88" s="87">
        <f t="shared" si="54"/>
        <v>0</v>
      </c>
      <c r="AL88" s="87">
        <f t="shared" si="54"/>
        <v>0</v>
      </c>
      <c r="AM88" s="87">
        <f t="shared" si="54"/>
        <v>0</v>
      </c>
      <c r="AN88" s="87">
        <f t="shared" si="54"/>
        <v>0</v>
      </c>
      <c r="AO88" s="87">
        <f t="shared" si="54"/>
        <v>0</v>
      </c>
      <c r="AP88" s="87">
        <f t="shared" si="54"/>
        <v>9996</v>
      </c>
      <c r="AQ88" s="87">
        <f t="shared" si="54"/>
        <v>9996</v>
      </c>
      <c r="AR88" s="87">
        <f t="shared" si="54"/>
        <v>9996</v>
      </c>
      <c r="AS88" s="87">
        <f t="shared" si="54"/>
        <v>9996</v>
      </c>
      <c r="AT88" s="87">
        <f t="shared" si="54"/>
        <v>9996</v>
      </c>
      <c r="AU88" s="87">
        <f t="shared" si="54"/>
        <v>9996</v>
      </c>
      <c r="AV88" s="87">
        <f t="shared" si="54"/>
        <v>9996</v>
      </c>
      <c r="AW88" s="87">
        <f t="shared" si="54"/>
        <v>9996</v>
      </c>
      <c r="AX88" s="87">
        <f t="shared" si="54"/>
        <v>9996</v>
      </c>
      <c r="AY88" s="87">
        <f t="shared" si="54"/>
        <v>0</v>
      </c>
      <c r="AZ88" s="87">
        <f t="shared" si="54"/>
        <v>0</v>
      </c>
      <c r="BA88" s="87">
        <f t="shared" si="54"/>
        <v>0</v>
      </c>
      <c r="BB88" s="87">
        <f t="shared" si="54"/>
        <v>0</v>
      </c>
      <c r="BC88" s="87">
        <f t="shared" si="54"/>
        <v>0</v>
      </c>
      <c r="BD88" s="87">
        <f t="shared" si="54"/>
        <v>0</v>
      </c>
      <c r="BE88" s="87">
        <f t="shared" si="54"/>
        <v>0</v>
      </c>
      <c r="BF88" s="87">
        <f t="shared" si="54"/>
        <v>0</v>
      </c>
      <c r="BG88" s="87">
        <f t="shared" si="54"/>
        <v>0</v>
      </c>
      <c r="BH88" s="87">
        <f t="shared" si="54"/>
        <v>0</v>
      </c>
      <c r="BI88" s="87">
        <f t="shared" si="54"/>
        <v>0</v>
      </c>
      <c r="BJ88" s="87">
        <f t="shared" si="54"/>
        <v>0</v>
      </c>
      <c r="BK88" s="87">
        <f t="shared" si="54"/>
        <v>0</v>
      </c>
      <c r="BL88" s="87">
        <f t="shared" si="54"/>
        <v>0</v>
      </c>
      <c r="BM88" s="87">
        <f t="shared" si="54"/>
        <v>0</v>
      </c>
      <c r="BN88" s="87">
        <f t="shared" si="54"/>
        <v>0</v>
      </c>
      <c r="BO88" s="87">
        <f t="shared" si="54"/>
        <v>0</v>
      </c>
      <c r="BP88" s="87">
        <f t="shared" si="54"/>
        <v>0</v>
      </c>
      <c r="BQ88" s="87">
        <f t="shared" si="54"/>
        <v>0</v>
      </c>
      <c r="BR88" s="87">
        <f t="shared" si="54"/>
        <v>0</v>
      </c>
      <c r="BS88" s="87">
        <f t="shared" si="54"/>
        <v>0</v>
      </c>
      <c r="BT88" s="87">
        <f t="shared" si="54"/>
        <v>0</v>
      </c>
      <c r="BU88" s="87">
        <f t="shared" si="54"/>
        <v>0</v>
      </c>
      <c r="BV88" s="87">
        <f t="shared" si="54"/>
        <v>0</v>
      </c>
      <c r="BW88" s="87">
        <f t="shared" si="54"/>
        <v>0</v>
      </c>
      <c r="BX88" s="87">
        <f t="shared" si="54"/>
        <v>0</v>
      </c>
      <c r="BY88" s="87">
        <f t="shared" si="54"/>
        <v>0</v>
      </c>
      <c r="BZ88" s="87">
        <f t="shared" si="53"/>
        <v>0</v>
      </c>
      <c r="CA88" s="87">
        <f t="shared" si="53"/>
        <v>0</v>
      </c>
      <c r="CB88" s="87">
        <f t="shared" si="53"/>
        <v>0</v>
      </c>
      <c r="CC88" s="87">
        <f t="shared" si="53"/>
        <v>0</v>
      </c>
      <c r="CD88" s="87">
        <f t="shared" si="53"/>
        <v>0</v>
      </c>
      <c r="CE88" s="87">
        <f t="shared" si="53"/>
        <v>0</v>
      </c>
      <c r="CF88" s="87">
        <f t="shared" si="53"/>
        <v>0</v>
      </c>
      <c r="CG88" s="87">
        <f t="shared" si="53"/>
        <v>0</v>
      </c>
      <c r="CH88" s="87" t="str">
        <f t="shared" si="53"/>
        <v/>
      </c>
      <c r="CI88" s="87" t="str">
        <f t="shared" si="53"/>
        <v/>
      </c>
      <c r="CJ88" s="87" t="str">
        <f t="shared" si="53"/>
        <v/>
      </c>
      <c r="CK88" s="87" t="str">
        <f t="shared" si="53"/>
        <v/>
      </c>
    </row>
    <row r="89" spans="12:89" x14ac:dyDescent="0.2">
      <c r="M89" s="87">
        <f t="shared" si="51"/>
        <v>0</v>
      </c>
      <c r="N89" s="87">
        <f t="shared" si="54"/>
        <v>0</v>
      </c>
      <c r="O89" s="87">
        <f t="shared" si="54"/>
        <v>0</v>
      </c>
      <c r="P89" s="87">
        <f t="shared" si="54"/>
        <v>0</v>
      </c>
      <c r="Q89" s="87">
        <f t="shared" si="54"/>
        <v>0</v>
      </c>
      <c r="R89" s="87">
        <f t="shared" si="54"/>
        <v>0</v>
      </c>
      <c r="S89" s="87">
        <f t="shared" si="54"/>
        <v>0</v>
      </c>
      <c r="T89" s="87">
        <f t="shared" si="54"/>
        <v>0</v>
      </c>
      <c r="U89" s="87">
        <f t="shared" si="54"/>
        <v>0</v>
      </c>
      <c r="V89" s="87">
        <f t="shared" si="54"/>
        <v>0</v>
      </c>
      <c r="W89" s="87">
        <f t="shared" si="54"/>
        <v>0</v>
      </c>
      <c r="X89" s="87">
        <f t="shared" si="54"/>
        <v>0</v>
      </c>
      <c r="Y89" s="87">
        <f t="shared" si="54"/>
        <v>0</v>
      </c>
      <c r="Z89" s="87">
        <f t="shared" si="54"/>
        <v>0</v>
      </c>
      <c r="AA89" s="87">
        <f t="shared" si="54"/>
        <v>0</v>
      </c>
      <c r="AB89" s="87">
        <f t="shared" si="54"/>
        <v>0</v>
      </c>
      <c r="AC89" s="87">
        <f t="shared" si="54"/>
        <v>0</v>
      </c>
      <c r="AD89" s="87">
        <f t="shared" si="54"/>
        <v>0</v>
      </c>
      <c r="AE89" s="87">
        <f t="shared" si="54"/>
        <v>0</v>
      </c>
      <c r="AF89" s="87">
        <f t="shared" si="54"/>
        <v>0</v>
      </c>
      <c r="AG89" s="87">
        <f t="shared" si="54"/>
        <v>6247.5</v>
      </c>
      <c r="AH89" s="87">
        <f t="shared" si="54"/>
        <v>6247.5</v>
      </c>
      <c r="AI89" s="87">
        <f t="shared" si="54"/>
        <v>6247.5</v>
      </c>
      <c r="AJ89" s="87">
        <f t="shared" si="54"/>
        <v>6247.5</v>
      </c>
      <c r="AK89" s="87">
        <f t="shared" si="54"/>
        <v>6247.5</v>
      </c>
      <c r="AL89" s="87">
        <f t="shared" si="54"/>
        <v>6247.5</v>
      </c>
      <c r="AM89" s="87">
        <f t="shared" si="54"/>
        <v>6247.5</v>
      </c>
      <c r="AN89" s="87">
        <f t="shared" si="54"/>
        <v>6247.5</v>
      </c>
      <c r="AO89" s="87">
        <f t="shared" si="54"/>
        <v>6247.5</v>
      </c>
      <c r="AP89" s="87">
        <f t="shared" si="54"/>
        <v>0</v>
      </c>
      <c r="AQ89" s="87">
        <f t="shared" si="54"/>
        <v>0</v>
      </c>
      <c r="AR89" s="87">
        <f t="shared" si="54"/>
        <v>0</v>
      </c>
      <c r="AS89" s="87">
        <f t="shared" si="54"/>
        <v>0</v>
      </c>
      <c r="AT89" s="87">
        <f t="shared" si="54"/>
        <v>0</v>
      </c>
      <c r="AU89" s="87">
        <f t="shared" si="54"/>
        <v>0</v>
      </c>
      <c r="AV89" s="87">
        <f t="shared" si="54"/>
        <v>0</v>
      </c>
      <c r="AW89" s="87">
        <f t="shared" si="54"/>
        <v>0</v>
      </c>
      <c r="AX89" s="87">
        <f t="shared" si="54"/>
        <v>0</v>
      </c>
      <c r="AY89" s="87">
        <f t="shared" si="54"/>
        <v>0</v>
      </c>
      <c r="AZ89" s="87">
        <f t="shared" si="54"/>
        <v>0</v>
      </c>
      <c r="BA89" s="87">
        <f t="shared" si="54"/>
        <v>0</v>
      </c>
      <c r="BB89" s="87">
        <f t="shared" si="54"/>
        <v>0</v>
      </c>
      <c r="BC89" s="87">
        <f t="shared" si="54"/>
        <v>0</v>
      </c>
      <c r="BD89" s="87">
        <f t="shared" si="54"/>
        <v>0</v>
      </c>
      <c r="BE89" s="87">
        <f t="shared" si="54"/>
        <v>0</v>
      </c>
      <c r="BF89" s="87">
        <f t="shared" si="54"/>
        <v>0</v>
      </c>
      <c r="BG89" s="87">
        <f t="shared" si="54"/>
        <v>0</v>
      </c>
      <c r="BH89" s="87">
        <f t="shared" si="54"/>
        <v>0</v>
      </c>
      <c r="BI89" s="87">
        <f t="shared" si="54"/>
        <v>0</v>
      </c>
      <c r="BJ89" s="87">
        <f t="shared" si="54"/>
        <v>0</v>
      </c>
      <c r="BK89" s="87">
        <f t="shared" si="54"/>
        <v>0</v>
      </c>
      <c r="BL89" s="87">
        <f t="shared" si="54"/>
        <v>0</v>
      </c>
      <c r="BM89" s="87">
        <f t="shared" si="54"/>
        <v>0</v>
      </c>
      <c r="BN89" s="87">
        <f t="shared" si="54"/>
        <v>0</v>
      </c>
      <c r="BO89" s="87">
        <f t="shared" si="54"/>
        <v>0</v>
      </c>
      <c r="BP89" s="87">
        <f t="shared" si="54"/>
        <v>0</v>
      </c>
      <c r="BQ89" s="87">
        <f t="shared" si="54"/>
        <v>0</v>
      </c>
      <c r="BR89" s="87">
        <f t="shared" si="54"/>
        <v>0</v>
      </c>
      <c r="BS89" s="87">
        <f t="shared" si="54"/>
        <v>0</v>
      </c>
      <c r="BT89" s="87">
        <f t="shared" si="54"/>
        <v>0</v>
      </c>
      <c r="BU89" s="87">
        <f t="shared" si="54"/>
        <v>0</v>
      </c>
      <c r="BV89" s="87">
        <f t="shared" si="54"/>
        <v>0</v>
      </c>
      <c r="BW89" s="87">
        <f t="shared" si="54"/>
        <v>0</v>
      </c>
      <c r="BX89" s="87">
        <f t="shared" si="54"/>
        <v>0</v>
      </c>
      <c r="BY89" s="87">
        <f t="shared" si="54"/>
        <v>0</v>
      </c>
      <c r="BZ89" s="87">
        <f t="shared" si="53"/>
        <v>0</v>
      </c>
      <c r="CA89" s="87">
        <f t="shared" si="53"/>
        <v>0</v>
      </c>
      <c r="CB89" s="87">
        <f t="shared" si="53"/>
        <v>0</v>
      </c>
      <c r="CC89" s="87">
        <f t="shared" si="53"/>
        <v>0</v>
      </c>
      <c r="CD89" s="87">
        <f t="shared" si="53"/>
        <v>0</v>
      </c>
      <c r="CE89" s="87">
        <f t="shared" si="53"/>
        <v>0</v>
      </c>
      <c r="CF89" s="87">
        <f t="shared" si="53"/>
        <v>0</v>
      </c>
      <c r="CG89" s="87">
        <f t="shared" si="53"/>
        <v>0</v>
      </c>
      <c r="CH89" s="87" t="str">
        <f t="shared" si="53"/>
        <v/>
      </c>
      <c r="CI89" s="87" t="str">
        <f t="shared" si="53"/>
        <v/>
      </c>
      <c r="CJ89" s="87" t="str">
        <f t="shared" si="53"/>
        <v/>
      </c>
      <c r="CK89" s="87" t="str">
        <f t="shared" si="53"/>
        <v/>
      </c>
    </row>
    <row r="90" spans="12:89" x14ac:dyDescent="0.2">
      <c r="M90" s="87">
        <f t="shared" si="51"/>
        <v>0</v>
      </c>
      <c r="N90" s="87">
        <f t="shared" si="54"/>
        <v>0</v>
      </c>
      <c r="O90" s="87">
        <f t="shared" si="54"/>
        <v>0</v>
      </c>
      <c r="P90" s="87">
        <f t="shared" si="54"/>
        <v>0</v>
      </c>
      <c r="Q90" s="87">
        <f t="shared" si="54"/>
        <v>0</v>
      </c>
      <c r="R90" s="87">
        <f t="shared" si="54"/>
        <v>0</v>
      </c>
      <c r="S90" s="87">
        <f t="shared" si="54"/>
        <v>0</v>
      </c>
      <c r="T90" s="87">
        <f t="shared" si="54"/>
        <v>0</v>
      </c>
      <c r="U90" s="87">
        <f t="shared" si="54"/>
        <v>0</v>
      </c>
      <c r="V90" s="87">
        <f t="shared" si="54"/>
        <v>0</v>
      </c>
      <c r="W90" s="87">
        <f t="shared" si="54"/>
        <v>0</v>
      </c>
      <c r="X90" s="87">
        <f t="shared" si="54"/>
        <v>0</v>
      </c>
      <c r="Y90" s="87">
        <f t="shared" si="54"/>
        <v>0</v>
      </c>
      <c r="Z90" s="87">
        <f t="shared" si="54"/>
        <v>0</v>
      </c>
      <c r="AA90" s="87">
        <f t="shared" si="54"/>
        <v>0</v>
      </c>
      <c r="AB90" s="87">
        <f t="shared" si="54"/>
        <v>0</v>
      </c>
      <c r="AC90" s="87">
        <f t="shared" si="54"/>
        <v>0</v>
      </c>
      <c r="AD90" s="87">
        <f t="shared" si="54"/>
        <v>0</v>
      </c>
      <c r="AE90" s="87">
        <f t="shared" si="54"/>
        <v>0</v>
      </c>
      <c r="AF90" s="87">
        <f t="shared" si="54"/>
        <v>0</v>
      </c>
      <c r="AG90" s="87">
        <f t="shared" si="54"/>
        <v>0</v>
      </c>
      <c r="AH90" s="87">
        <f t="shared" si="54"/>
        <v>0</v>
      </c>
      <c r="AI90" s="87">
        <f t="shared" si="54"/>
        <v>0</v>
      </c>
      <c r="AJ90" s="87">
        <f t="shared" si="54"/>
        <v>0</v>
      </c>
      <c r="AK90" s="87">
        <f t="shared" si="54"/>
        <v>0</v>
      </c>
      <c r="AL90" s="87">
        <f t="shared" si="54"/>
        <v>0</v>
      </c>
      <c r="AM90" s="87">
        <f t="shared" si="54"/>
        <v>0</v>
      </c>
      <c r="AN90" s="87">
        <f t="shared" si="54"/>
        <v>0</v>
      </c>
      <c r="AO90" s="87">
        <f t="shared" si="54"/>
        <v>0</v>
      </c>
      <c r="AP90" s="87">
        <f t="shared" si="54"/>
        <v>0</v>
      </c>
      <c r="AQ90" s="87">
        <f t="shared" si="54"/>
        <v>0</v>
      </c>
      <c r="AR90" s="87">
        <f t="shared" si="54"/>
        <v>0</v>
      </c>
      <c r="AS90" s="87">
        <f t="shared" si="54"/>
        <v>0</v>
      </c>
      <c r="AT90" s="87">
        <f t="shared" si="54"/>
        <v>0</v>
      </c>
      <c r="AU90" s="87">
        <f t="shared" si="54"/>
        <v>0</v>
      </c>
      <c r="AV90" s="87">
        <f t="shared" si="54"/>
        <v>0</v>
      </c>
      <c r="AW90" s="87">
        <f t="shared" si="54"/>
        <v>0</v>
      </c>
      <c r="AX90" s="87">
        <f t="shared" si="54"/>
        <v>0</v>
      </c>
      <c r="AY90" s="87">
        <f t="shared" si="54"/>
        <v>0</v>
      </c>
      <c r="AZ90" s="87">
        <f t="shared" si="54"/>
        <v>0</v>
      </c>
      <c r="BA90" s="87">
        <f t="shared" si="54"/>
        <v>0</v>
      </c>
      <c r="BB90" s="87">
        <f t="shared" si="54"/>
        <v>0</v>
      </c>
      <c r="BC90" s="87">
        <f t="shared" si="54"/>
        <v>0</v>
      </c>
      <c r="BD90" s="87">
        <f t="shared" si="54"/>
        <v>0</v>
      </c>
      <c r="BE90" s="87">
        <f t="shared" si="54"/>
        <v>0</v>
      </c>
      <c r="BF90" s="87">
        <f t="shared" si="54"/>
        <v>0</v>
      </c>
      <c r="BG90" s="87">
        <f t="shared" si="54"/>
        <v>0</v>
      </c>
      <c r="BH90" s="87">
        <f t="shared" si="54"/>
        <v>0</v>
      </c>
      <c r="BI90" s="87">
        <f t="shared" si="54"/>
        <v>0</v>
      </c>
      <c r="BJ90" s="87">
        <f t="shared" si="54"/>
        <v>0</v>
      </c>
      <c r="BK90" s="87">
        <f t="shared" si="54"/>
        <v>0</v>
      </c>
      <c r="BL90" s="87">
        <f t="shared" si="54"/>
        <v>0</v>
      </c>
      <c r="BM90" s="87">
        <f t="shared" si="54"/>
        <v>0</v>
      </c>
      <c r="BN90" s="87">
        <f t="shared" si="54"/>
        <v>0</v>
      </c>
      <c r="BO90" s="87">
        <f t="shared" si="54"/>
        <v>0</v>
      </c>
      <c r="BP90" s="87">
        <f t="shared" si="54"/>
        <v>0</v>
      </c>
      <c r="BQ90" s="87">
        <f t="shared" si="54"/>
        <v>0</v>
      </c>
      <c r="BR90" s="87">
        <f t="shared" si="54"/>
        <v>0</v>
      </c>
      <c r="BS90" s="87">
        <f t="shared" si="54"/>
        <v>0</v>
      </c>
      <c r="BT90" s="87">
        <f t="shared" si="54"/>
        <v>0</v>
      </c>
      <c r="BU90" s="87">
        <f t="shared" si="54"/>
        <v>0</v>
      </c>
      <c r="BV90" s="87">
        <f t="shared" si="54"/>
        <v>0</v>
      </c>
      <c r="BW90" s="87">
        <f t="shared" si="54"/>
        <v>0</v>
      </c>
      <c r="BX90" s="87">
        <f t="shared" si="54"/>
        <v>0</v>
      </c>
      <c r="BY90" s="87">
        <f t="shared" si="54"/>
        <v>0</v>
      </c>
      <c r="BZ90" s="87">
        <f t="shared" si="53"/>
        <v>0</v>
      </c>
      <c r="CA90" s="87">
        <f t="shared" si="53"/>
        <v>0</v>
      </c>
      <c r="CB90" s="87">
        <f t="shared" si="53"/>
        <v>0</v>
      </c>
      <c r="CC90" s="87">
        <f t="shared" si="53"/>
        <v>0</v>
      </c>
      <c r="CD90" s="87">
        <f t="shared" si="53"/>
        <v>0</v>
      </c>
      <c r="CE90" s="87">
        <f t="shared" si="53"/>
        <v>0</v>
      </c>
      <c r="CF90" s="87">
        <f t="shared" si="53"/>
        <v>0</v>
      </c>
      <c r="CG90" s="87">
        <f t="shared" si="53"/>
        <v>0</v>
      </c>
      <c r="CH90" s="87" t="str">
        <f t="shared" si="53"/>
        <v/>
      </c>
      <c r="CI90" s="87" t="str">
        <f t="shared" si="53"/>
        <v/>
      </c>
      <c r="CJ90" s="87" t="str">
        <f t="shared" si="53"/>
        <v/>
      </c>
      <c r="CK90" s="87" t="str">
        <f t="shared" si="53"/>
        <v/>
      </c>
    </row>
    <row r="91" spans="12:89" x14ac:dyDescent="0.2">
      <c r="M91" s="87">
        <f t="shared" si="51"/>
        <v>0</v>
      </c>
      <c r="N91" s="87">
        <f t="shared" si="54"/>
        <v>0</v>
      </c>
      <c r="O91" s="87">
        <f t="shared" si="54"/>
        <v>0</v>
      </c>
      <c r="P91" s="87">
        <f t="shared" si="54"/>
        <v>0</v>
      </c>
      <c r="Q91" s="87">
        <f t="shared" si="54"/>
        <v>0</v>
      </c>
      <c r="R91" s="87">
        <f t="shared" si="54"/>
        <v>0</v>
      </c>
      <c r="S91" s="87">
        <f t="shared" si="54"/>
        <v>0</v>
      </c>
      <c r="T91" s="87">
        <f t="shared" si="54"/>
        <v>0</v>
      </c>
      <c r="U91" s="87">
        <f t="shared" si="54"/>
        <v>0</v>
      </c>
      <c r="V91" s="87">
        <f t="shared" si="54"/>
        <v>0</v>
      </c>
      <c r="W91" s="87">
        <f t="shared" si="54"/>
        <v>0</v>
      </c>
      <c r="X91" s="87">
        <f t="shared" si="54"/>
        <v>0</v>
      </c>
      <c r="Y91" s="87">
        <f t="shared" si="54"/>
        <v>0</v>
      </c>
      <c r="Z91" s="87">
        <f t="shared" si="54"/>
        <v>0</v>
      </c>
      <c r="AA91" s="87">
        <f t="shared" si="54"/>
        <v>0</v>
      </c>
      <c r="AB91" s="87">
        <f t="shared" si="54"/>
        <v>0</v>
      </c>
      <c r="AC91" s="87">
        <f t="shared" si="54"/>
        <v>0</v>
      </c>
      <c r="AD91" s="87">
        <f t="shared" si="54"/>
        <v>0</v>
      </c>
      <c r="AE91" s="87">
        <f t="shared" si="54"/>
        <v>0</v>
      </c>
      <c r="AF91" s="87">
        <f t="shared" si="54"/>
        <v>0</v>
      </c>
      <c r="AG91" s="87">
        <f t="shared" si="54"/>
        <v>0</v>
      </c>
      <c r="AH91" s="87">
        <f t="shared" si="54"/>
        <v>0</v>
      </c>
      <c r="AI91" s="87">
        <f t="shared" si="54"/>
        <v>0</v>
      </c>
      <c r="AJ91" s="87">
        <f t="shared" si="54"/>
        <v>0</v>
      </c>
      <c r="AK91" s="87">
        <f t="shared" si="54"/>
        <v>0</v>
      </c>
      <c r="AL91" s="87">
        <f t="shared" si="54"/>
        <v>0</v>
      </c>
      <c r="AM91" s="87">
        <f t="shared" si="54"/>
        <v>0</v>
      </c>
      <c r="AN91" s="87">
        <f t="shared" si="54"/>
        <v>0</v>
      </c>
      <c r="AO91" s="87">
        <f t="shared" si="54"/>
        <v>0</v>
      </c>
      <c r="AP91" s="87">
        <f t="shared" si="54"/>
        <v>0</v>
      </c>
      <c r="AQ91" s="87">
        <f t="shared" si="54"/>
        <v>0</v>
      </c>
      <c r="AR91" s="87">
        <f t="shared" si="54"/>
        <v>0</v>
      </c>
      <c r="AS91" s="87">
        <f t="shared" si="54"/>
        <v>0</v>
      </c>
      <c r="AT91" s="87">
        <f t="shared" si="54"/>
        <v>0</v>
      </c>
      <c r="AU91" s="87">
        <f t="shared" si="54"/>
        <v>0</v>
      </c>
      <c r="AV91" s="87">
        <f t="shared" si="54"/>
        <v>0</v>
      </c>
      <c r="AW91" s="87">
        <f t="shared" si="54"/>
        <v>0</v>
      </c>
      <c r="AX91" s="87">
        <f t="shared" si="54"/>
        <v>0</v>
      </c>
      <c r="AY91" s="87">
        <f t="shared" si="54"/>
        <v>0</v>
      </c>
      <c r="AZ91" s="87">
        <f t="shared" si="54"/>
        <v>0</v>
      </c>
      <c r="BA91" s="87">
        <f t="shared" si="54"/>
        <v>0</v>
      </c>
      <c r="BB91" s="87">
        <f t="shared" si="54"/>
        <v>0</v>
      </c>
      <c r="BC91" s="87">
        <f t="shared" si="54"/>
        <v>0</v>
      </c>
      <c r="BD91" s="87">
        <f t="shared" si="54"/>
        <v>0</v>
      </c>
      <c r="BE91" s="87">
        <f t="shared" si="54"/>
        <v>0</v>
      </c>
      <c r="BF91" s="87">
        <f t="shared" si="54"/>
        <v>0</v>
      </c>
      <c r="BG91" s="87">
        <f t="shared" si="54"/>
        <v>0</v>
      </c>
      <c r="BH91" s="87">
        <f t="shared" si="54"/>
        <v>0</v>
      </c>
      <c r="BI91" s="87">
        <f t="shared" si="54"/>
        <v>0</v>
      </c>
      <c r="BJ91" s="87">
        <f t="shared" si="54"/>
        <v>0</v>
      </c>
      <c r="BK91" s="87">
        <f t="shared" si="54"/>
        <v>0</v>
      </c>
      <c r="BL91" s="87">
        <f t="shared" si="54"/>
        <v>0</v>
      </c>
      <c r="BM91" s="87">
        <f t="shared" si="54"/>
        <v>0</v>
      </c>
      <c r="BN91" s="87">
        <f t="shared" si="54"/>
        <v>0</v>
      </c>
      <c r="BO91" s="87">
        <f t="shared" si="54"/>
        <v>0</v>
      </c>
      <c r="BP91" s="87">
        <f t="shared" si="54"/>
        <v>0</v>
      </c>
      <c r="BQ91" s="87">
        <f t="shared" si="54"/>
        <v>0</v>
      </c>
      <c r="BR91" s="87">
        <f t="shared" si="54"/>
        <v>0</v>
      </c>
      <c r="BS91" s="87">
        <f t="shared" si="54"/>
        <v>0</v>
      </c>
      <c r="BT91" s="87">
        <f t="shared" si="54"/>
        <v>0</v>
      </c>
      <c r="BU91" s="87">
        <f t="shared" si="54"/>
        <v>0</v>
      </c>
      <c r="BV91" s="87">
        <f t="shared" si="54"/>
        <v>0</v>
      </c>
      <c r="BW91" s="87">
        <f t="shared" si="54"/>
        <v>0</v>
      </c>
      <c r="BX91" s="87">
        <f t="shared" si="54"/>
        <v>0</v>
      </c>
      <c r="BY91" s="87">
        <f t="shared" ref="BY91:CK94" si="55">IF(BY$6="","",IF(AND($D21&gt;0,$G21&gt;0,BY$6&gt;=EOMONTH($G21,0)+1,BY$6&lt;EDATE(EOMONTH($G21,0)+1,VALUE(SUBSTITUTE(LOWER($I21),"month","")))),$C21*$C$8*(1+$C$4)^INT(((YEAR(BY$6)-YEAR(EOMONTH($G21,0)+1))*12+MONTH(BY$6)-MONTH(EOMONTH($G21,0)+1))/12)*(1-$H21),0))</f>
        <v>0</v>
      </c>
      <c r="BZ91" s="87">
        <f t="shared" si="55"/>
        <v>0</v>
      </c>
      <c r="CA91" s="87">
        <f t="shared" si="55"/>
        <v>0</v>
      </c>
      <c r="CB91" s="87">
        <f t="shared" si="55"/>
        <v>0</v>
      </c>
      <c r="CC91" s="87">
        <f t="shared" si="55"/>
        <v>0</v>
      </c>
      <c r="CD91" s="87">
        <f t="shared" si="55"/>
        <v>0</v>
      </c>
      <c r="CE91" s="87">
        <f t="shared" si="55"/>
        <v>0</v>
      </c>
      <c r="CF91" s="87">
        <f t="shared" si="55"/>
        <v>0</v>
      </c>
      <c r="CG91" s="87">
        <f t="shared" si="55"/>
        <v>0</v>
      </c>
      <c r="CH91" s="87" t="str">
        <f t="shared" si="55"/>
        <v/>
      </c>
      <c r="CI91" s="87" t="str">
        <f t="shared" si="55"/>
        <v/>
      </c>
      <c r="CJ91" s="87" t="str">
        <f t="shared" si="55"/>
        <v/>
      </c>
      <c r="CK91" s="87" t="str">
        <f t="shared" si="55"/>
        <v/>
      </c>
    </row>
    <row r="92" spans="12:89" x14ac:dyDescent="0.2">
      <c r="M92" s="87">
        <f t="shared" si="51"/>
        <v>0</v>
      </c>
      <c r="N92" s="87">
        <f t="shared" ref="N92:BY95" si="56">IF(N$6="","",IF(AND($D22&gt;0,$G22&gt;0,N$6&gt;=EOMONTH($G22,0)+1,N$6&lt;EDATE(EOMONTH($G22,0)+1,VALUE(SUBSTITUTE(LOWER($I22),"month","")))),$C22*$C$8*(1+$C$4)^INT(((YEAR(N$6)-YEAR(EOMONTH($G22,0)+1))*12+MONTH(N$6)-MONTH(EOMONTH($G22,0)+1))/12)*(1-$H22),0))</f>
        <v>0</v>
      </c>
      <c r="O92" s="87">
        <f t="shared" si="56"/>
        <v>0</v>
      </c>
      <c r="P92" s="87">
        <f t="shared" si="56"/>
        <v>0</v>
      </c>
      <c r="Q92" s="87">
        <f t="shared" si="56"/>
        <v>0</v>
      </c>
      <c r="R92" s="87">
        <f t="shared" si="56"/>
        <v>0</v>
      </c>
      <c r="S92" s="87">
        <f t="shared" si="56"/>
        <v>0</v>
      </c>
      <c r="T92" s="87">
        <f t="shared" si="56"/>
        <v>0</v>
      </c>
      <c r="U92" s="87">
        <f t="shared" si="56"/>
        <v>0</v>
      </c>
      <c r="V92" s="87">
        <f t="shared" si="56"/>
        <v>0</v>
      </c>
      <c r="W92" s="87">
        <f t="shared" si="56"/>
        <v>0</v>
      </c>
      <c r="X92" s="87">
        <f t="shared" si="56"/>
        <v>0</v>
      </c>
      <c r="Y92" s="87">
        <f t="shared" si="56"/>
        <v>0</v>
      </c>
      <c r="Z92" s="87">
        <f t="shared" si="56"/>
        <v>0</v>
      </c>
      <c r="AA92" s="87">
        <f t="shared" si="56"/>
        <v>0</v>
      </c>
      <c r="AB92" s="87">
        <f t="shared" si="56"/>
        <v>0</v>
      </c>
      <c r="AC92" s="87">
        <f t="shared" si="56"/>
        <v>0</v>
      </c>
      <c r="AD92" s="87">
        <f t="shared" si="56"/>
        <v>0</v>
      </c>
      <c r="AE92" s="87">
        <f t="shared" si="56"/>
        <v>0</v>
      </c>
      <c r="AF92" s="87">
        <f t="shared" si="56"/>
        <v>0</v>
      </c>
      <c r="AG92" s="87">
        <f t="shared" si="56"/>
        <v>0</v>
      </c>
      <c r="AH92" s="87">
        <f t="shared" si="56"/>
        <v>0</v>
      </c>
      <c r="AI92" s="87">
        <f t="shared" si="56"/>
        <v>0</v>
      </c>
      <c r="AJ92" s="87">
        <f t="shared" si="56"/>
        <v>0</v>
      </c>
      <c r="AK92" s="87">
        <f t="shared" si="56"/>
        <v>0</v>
      </c>
      <c r="AL92" s="87">
        <f t="shared" si="56"/>
        <v>0</v>
      </c>
      <c r="AM92" s="87">
        <f t="shared" si="56"/>
        <v>0</v>
      </c>
      <c r="AN92" s="87">
        <f t="shared" si="56"/>
        <v>0</v>
      </c>
      <c r="AO92" s="87">
        <f t="shared" si="56"/>
        <v>0</v>
      </c>
      <c r="AP92" s="87">
        <f t="shared" si="56"/>
        <v>0</v>
      </c>
      <c r="AQ92" s="87">
        <f t="shared" si="56"/>
        <v>0</v>
      </c>
      <c r="AR92" s="87">
        <f t="shared" si="56"/>
        <v>0</v>
      </c>
      <c r="AS92" s="87">
        <f t="shared" si="56"/>
        <v>0</v>
      </c>
      <c r="AT92" s="87">
        <f t="shared" si="56"/>
        <v>0</v>
      </c>
      <c r="AU92" s="87">
        <f t="shared" si="56"/>
        <v>0</v>
      </c>
      <c r="AV92" s="87">
        <f t="shared" si="56"/>
        <v>0</v>
      </c>
      <c r="AW92" s="87">
        <f t="shared" si="56"/>
        <v>0</v>
      </c>
      <c r="AX92" s="87">
        <f t="shared" si="56"/>
        <v>0</v>
      </c>
      <c r="AY92" s="87">
        <f t="shared" si="56"/>
        <v>0</v>
      </c>
      <c r="AZ92" s="87">
        <f t="shared" si="56"/>
        <v>0</v>
      </c>
      <c r="BA92" s="87">
        <f t="shared" si="56"/>
        <v>0</v>
      </c>
      <c r="BB92" s="87">
        <f t="shared" si="56"/>
        <v>0</v>
      </c>
      <c r="BC92" s="87">
        <f t="shared" si="56"/>
        <v>0</v>
      </c>
      <c r="BD92" s="87">
        <f t="shared" si="56"/>
        <v>0</v>
      </c>
      <c r="BE92" s="87">
        <f t="shared" si="56"/>
        <v>0</v>
      </c>
      <c r="BF92" s="87">
        <f t="shared" si="56"/>
        <v>0</v>
      </c>
      <c r="BG92" s="87">
        <f t="shared" si="56"/>
        <v>0</v>
      </c>
      <c r="BH92" s="87">
        <f t="shared" si="56"/>
        <v>0</v>
      </c>
      <c r="BI92" s="87">
        <f t="shared" si="56"/>
        <v>0</v>
      </c>
      <c r="BJ92" s="87">
        <f t="shared" si="56"/>
        <v>0</v>
      </c>
      <c r="BK92" s="87">
        <f t="shared" si="56"/>
        <v>0</v>
      </c>
      <c r="BL92" s="87">
        <f t="shared" si="56"/>
        <v>0</v>
      </c>
      <c r="BM92" s="87">
        <f t="shared" si="56"/>
        <v>0</v>
      </c>
      <c r="BN92" s="87">
        <f t="shared" si="56"/>
        <v>0</v>
      </c>
      <c r="BO92" s="87">
        <f t="shared" si="56"/>
        <v>0</v>
      </c>
      <c r="BP92" s="87">
        <f t="shared" si="56"/>
        <v>0</v>
      </c>
      <c r="BQ92" s="87">
        <f t="shared" si="56"/>
        <v>0</v>
      </c>
      <c r="BR92" s="87">
        <f t="shared" si="56"/>
        <v>0</v>
      </c>
      <c r="BS92" s="87">
        <f t="shared" si="56"/>
        <v>0</v>
      </c>
      <c r="BT92" s="87">
        <f t="shared" si="56"/>
        <v>0</v>
      </c>
      <c r="BU92" s="87">
        <f t="shared" si="56"/>
        <v>0</v>
      </c>
      <c r="BV92" s="87">
        <f t="shared" si="56"/>
        <v>0</v>
      </c>
      <c r="BW92" s="87">
        <f t="shared" si="56"/>
        <v>0</v>
      </c>
      <c r="BX92" s="87">
        <f t="shared" si="56"/>
        <v>0</v>
      </c>
      <c r="BY92" s="87">
        <f t="shared" si="56"/>
        <v>0</v>
      </c>
      <c r="BZ92" s="87">
        <f t="shared" si="55"/>
        <v>0</v>
      </c>
      <c r="CA92" s="87">
        <f t="shared" si="55"/>
        <v>0</v>
      </c>
      <c r="CB92" s="87">
        <f t="shared" si="55"/>
        <v>0</v>
      </c>
      <c r="CC92" s="87">
        <f t="shared" si="55"/>
        <v>0</v>
      </c>
      <c r="CD92" s="87">
        <f t="shared" si="55"/>
        <v>0</v>
      </c>
      <c r="CE92" s="87">
        <f t="shared" si="55"/>
        <v>0</v>
      </c>
      <c r="CF92" s="87">
        <f t="shared" si="55"/>
        <v>0</v>
      </c>
      <c r="CG92" s="87">
        <f t="shared" si="55"/>
        <v>0</v>
      </c>
      <c r="CH92" s="87" t="str">
        <f t="shared" si="55"/>
        <v/>
      </c>
      <c r="CI92" s="87" t="str">
        <f t="shared" si="55"/>
        <v/>
      </c>
      <c r="CJ92" s="87" t="str">
        <f t="shared" si="55"/>
        <v/>
      </c>
      <c r="CK92" s="87" t="str">
        <f t="shared" si="55"/>
        <v/>
      </c>
    </row>
    <row r="93" spans="12:89" x14ac:dyDescent="0.2">
      <c r="M93" s="87">
        <f t="shared" si="51"/>
        <v>0</v>
      </c>
      <c r="N93" s="87">
        <f t="shared" si="56"/>
        <v>0</v>
      </c>
      <c r="O93" s="87">
        <f t="shared" si="56"/>
        <v>0</v>
      </c>
      <c r="P93" s="87">
        <f t="shared" si="56"/>
        <v>0</v>
      </c>
      <c r="Q93" s="87">
        <f t="shared" si="56"/>
        <v>0</v>
      </c>
      <c r="R93" s="87">
        <f t="shared" si="56"/>
        <v>0</v>
      </c>
      <c r="S93" s="87">
        <f t="shared" si="56"/>
        <v>0</v>
      </c>
      <c r="T93" s="87">
        <f t="shared" si="56"/>
        <v>0</v>
      </c>
      <c r="U93" s="87">
        <f t="shared" si="56"/>
        <v>0</v>
      </c>
      <c r="V93" s="87">
        <f t="shared" si="56"/>
        <v>0</v>
      </c>
      <c r="W93" s="87">
        <f t="shared" si="56"/>
        <v>0</v>
      </c>
      <c r="X93" s="87">
        <f t="shared" si="56"/>
        <v>0</v>
      </c>
      <c r="Y93" s="87">
        <f t="shared" si="56"/>
        <v>0</v>
      </c>
      <c r="Z93" s="87">
        <f t="shared" si="56"/>
        <v>0</v>
      </c>
      <c r="AA93" s="87">
        <f t="shared" si="56"/>
        <v>0</v>
      </c>
      <c r="AB93" s="87">
        <f t="shared" si="56"/>
        <v>0</v>
      </c>
      <c r="AC93" s="87">
        <f t="shared" si="56"/>
        <v>0</v>
      </c>
      <c r="AD93" s="87">
        <f t="shared" si="56"/>
        <v>0</v>
      </c>
      <c r="AE93" s="87">
        <f t="shared" si="56"/>
        <v>0</v>
      </c>
      <c r="AF93" s="87">
        <f t="shared" si="56"/>
        <v>0</v>
      </c>
      <c r="AG93" s="87">
        <f t="shared" si="56"/>
        <v>0</v>
      </c>
      <c r="AH93" s="87">
        <f t="shared" si="56"/>
        <v>0</v>
      </c>
      <c r="AI93" s="87">
        <f t="shared" si="56"/>
        <v>0</v>
      </c>
      <c r="AJ93" s="87">
        <f t="shared" si="56"/>
        <v>0</v>
      </c>
      <c r="AK93" s="87">
        <f t="shared" si="56"/>
        <v>0</v>
      </c>
      <c r="AL93" s="87">
        <f t="shared" si="56"/>
        <v>0</v>
      </c>
      <c r="AM93" s="87">
        <f t="shared" si="56"/>
        <v>0</v>
      </c>
      <c r="AN93" s="87">
        <f t="shared" si="56"/>
        <v>0</v>
      </c>
      <c r="AO93" s="87">
        <f t="shared" si="56"/>
        <v>0</v>
      </c>
      <c r="AP93" s="87">
        <f t="shared" si="56"/>
        <v>0</v>
      </c>
      <c r="AQ93" s="87">
        <f t="shared" si="56"/>
        <v>0</v>
      </c>
      <c r="AR93" s="87">
        <f t="shared" si="56"/>
        <v>0</v>
      </c>
      <c r="AS93" s="87">
        <f t="shared" si="56"/>
        <v>0</v>
      </c>
      <c r="AT93" s="87">
        <f t="shared" si="56"/>
        <v>0</v>
      </c>
      <c r="AU93" s="87">
        <f t="shared" si="56"/>
        <v>0</v>
      </c>
      <c r="AV93" s="87">
        <f t="shared" si="56"/>
        <v>0</v>
      </c>
      <c r="AW93" s="87">
        <f t="shared" si="56"/>
        <v>0</v>
      </c>
      <c r="AX93" s="87">
        <f t="shared" si="56"/>
        <v>0</v>
      </c>
      <c r="AY93" s="87">
        <f t="shared" si="56"/>
        <v>0</v>
      </c>
      <c r="AZ93" s="87">
        <f t="shared" si="56"/>
        <v>0</v>
      </c>
      <c r="BA93" s="87">
        <f t="shared" si="56"/>
        <v>0</v>
      </c>
      <c r="BB93" s="87">
        <f t="shared" si="56"/>
        <v>0</v>
      </c>
      <c r="BC93" s="87">
        <f t="shared" si="56"/>
        <v>0</v>
      </c>
      <c r="BD93" s="87">
        <f t="shared" si="56"/>
        <v>0</v>
      </c>
      <c r="BE93" s="87">
        <f t="shared" si="56"/>
        <v>0</v>
      </c>
      <c r="BF93" s="87">
        <f t="shared" si="56"/>
        <v>0</v>
      </c>
      <c r="BG93" s="87">
        <f t="shared" si="56"/>
        <v>0</v>
      </c>
      <c r="BH93" s="87">
        <f t="shared" si="56"/>
        <v>0</v>
      </c>
      <c r="BI93" s="87">
        <f t="shared" si="56"/>
        <v>0</v>
      </c>
      <c r="BJ93" s="87">
        <f t="shared" si="56"/>
        <v>0</v>
      </c>
      <c r="BK93" s="87">
        <f t="shared" si="56"/>
        <v>0</v>
      </c>
      <c r="BL93" s="87">
        <f t="shared" si="56"/>
        <v>0</v>
      </c>
      <c r="BM93" s="87">
        <f t="shared" si="56"/>
        <v>0</v>
      </c>
      <c r="BN93" s="87">
        <f t="shared" si="56"/>
        <v>0</v>
      </c>
      <c r="BO93" s="87">
        <f t="shared" si="56"/>
        <v>0</v>
      </c>
      <c r="BP93" s="87">
        <f t="shared" si="56"/>
        <v>0</v>
      </c>
      <c r="BQ93" s="87">
        <f t="shared" si="56"/>
        <v>0</v>
      </c>
      <c r="BR93" s="87">
        <f t="shared" si="56"/>
        <v>0</v>
      </c>
      <c r="BS93" s="87">
        <f t="shared" si="56"/>
        <v>0</v>
      </c>
      <c r="BT93" s="87">
        <f t="shared" si="56"/>
        <v>0</v>
      </c>
      <c r="BU93" s="87">
        <f t="shared" si="56"/>
        <v>0</v>
      </c>
      <c r="BV93" s="87">
        <f t="shared" si="56"/>
        <v>0</v>
      </c>
      <c r="BW93" s="87">
        <f t="shared" si="56"/>
        <v>0</v>
      </c>
      <c r="BX93" s="87">
        <f t="shared" si="56"/>
        <v>0</v>
      </c>
      <c r="BY93" s="87">
        <f t="shared" si="56"/>
        <v>0</v>
      </c>
      <c r="BZ93" s="87">
        <f t="shared" si="55"/>
        <v>0</v>
      </c>
      <c r="CA93" s="87">
        <f t="shared" si="55"/>
        <v>0</v>
      </c>
      <c r="CB93" s="87">
        <f t="shared" si="55"/>
        <v>0</v>
      </c>
      <c r="CC93" s="87">
        <f t="shared" si="55"/>
        <v>0</v>
      </c>
      <c r="CD93" s="87">
        <f t="shared" si="55"/>
        <v>0</v>
      </c>
      <c r="CE93" s="87">
        <f t="shared" si="55"/>
        <v>0</v>
      </c>
      <c r="CF93" s="87">
        <f t="shared" si="55"/>
        <v>0</v>
      </c>
      <c r="CG93" s="87">
        <f t="shared" si="55"/>
        <v>9817.5</v>
      </c>
      <c r="CH93" s="87" t="str">
        <f t="shared" si="55"/>
        <v/>
      </c>
      <c r="CI93" s="87" t="str">
        <f t="shared" si="55"/>
        <v/>
      </c>
      <c r="CJ93" s="87" t="str">
        <f t="shared" si="55"/>
        <v/>
      </c>
      <c r="CK93" s="87" t="str">
        <f t="shared" si="55"/>
        <v/>
      </c>
    </row>
    <row r="94" spans="12:89" x14ac:dyDescent="0.2">
      <c r="M94" s="87">
        <f t="shared" si="51"/>
        <v>0</v>
      </c>
      <c r="N94" s="87">
        <f t="shared" si="56"/>
        <v>0</v>
      </c>
      <c r="O94" s="87">
        <f t="shared" si="56"/>
        <v>0</v>
      </c>
      <c r="P94" s="87">
        <f t="shared" si="56"/>
        <v>0</v>
      </c>
      <c r="Q94" s="87">
        <f t="shared" si="56"/>
        <v>0</v>
      </c>
      <c r="R94" s="87">
        <f t="shared" si="56"/>
        <v>0</v>
      </c>
      <c r="S94" s="87">
        <f t="shared" si="56"/>
        <v>0</v>
      </c>
      <c r="T94" s="87">
        <f t="shared" si="56"/>
        <v>0</v>
      </c>
      <c r="U94" s="87">
        <f t="shared" si="56"/>
        <v>0</v>
      </c>
      <c r="V94" s="87">
        <f t="shared" si="56"/>
        <v>0</v>
      </c>
      <c r="W94" s="87">
        <f t="shared" si="56"/>
        <v>0</v>
      </c>
      <c r="X94" s="87">
        <f t="shared" si="56"/>
        <v>0</v>
      </c>
      <c r="Y94" s="87">
        <f t="shared" si="56"/>
        <v>0</v>
      </c>
      <c r="Z94" s="87">
        <f t="shared" si="56"/>
        <v>0</v>
      </c>
      <c r="AA94" s="87">
        <f t="shared" si="56"/>
        <v>0</v>
      </c>
      <c r="AB94" s="87">
        <f t="shared" si="56"/>
        <v>0</v>
      </c>
      <c r="AC94" s="87">
        <f t="shared" si="56"/>
        <v>0</v>
      </c>
      <c r="AD94" s="87">
        <f t="shared" si="56"/>
        <v>0</v>
      </c>
      <c r="AE94" s="87">
        <f t="shared" si="56"/>
        <v>0</v>
      </c>
      <c r="AF94" s="87">
        <f t="shared" si="56"/>
        <v>0</v>
      </c>
      <c r="AG94" s="87">
        <f t="shared" si="56"/>
        <v>0</v>
      </c>
      <c r="AH94" s="87">
        <f t="shared" si="56"/>
        <v>0</v>
      </c>
      <c r="AI94" s="87">
        <f t="shared" si="56"/>
        <v>0</v>
      </c>
      <c r="AJ94" s="87">
        <f t="shared" si="56"/>
        <v>0</v>
      </c>
      <c r="AK94" s="87">
        <f t="shared" si="56"/>
        <v>0</v>
      </c>
      <c r="AL94" s="87">
        <f t="shared" si="56"/>
        <v>0</v>
      </c>
      <c r="AM94" s="87">
        <f t="shared" si="56"/>
        <v>0</v>
      </c>
      <c r="AN94" s="87">
        <f t="shared" si="56"/>
        <v>0</v>
      </c>
      <c r="AO94" s="87">
        <f t="shared" si="56"/>
        <v>0</v>
      </c>
      <c r="AP94" s="87">
        <f t="shared" si="56"/>
        <v>0</v>
      </c>
      <c r="AQ94" s="87">
        <f t="shared" si="56"/>
        <v>0</v>
      </c>
      <c r="AR94" s="87">
        <f t="shared" si="56"/>
        <v>0</v>
      </c>
      <c r="AS94" s="87">
        <f t="shared" si="56"/>
        <v>0</v>
      </c>
      <c r="AT94" s="87">
        <f t="shared" si="56"/>
        <v>0</v>
      </c>
      <c r="AU94" s="87">
        <f t="shared" si="56"/>
        <v>0</v>
      </c>
      <c r="AV94" s="87">
        <f t="shared" si="56"/>
        <v>0</v>
      </c>
      <c r="AW94" s="87">
        <f t="shared" si="56"/>
        <v>0</v>
      </c>
      <c r="AX94" s="87">
        <f t="shared" si="56"/>
        <v>0</v>
      </c>
      <c r="AY94" s="87">
        <f t="shared" si="56"/>
        <v>0</v>
      </c>
      <c r="AZ94" s="87">
        <f t="shared" si="56"/>
        <v>0</v>
      </c>
      <c r="BA94" s="87">
        <f t="shared" si="56"/>
        <v>0</v>
      </c>
      <c r="BB94" s="87">
        <f t="shared" si="56"/>
        <v>0</v>
      </c>
      <c r="BC94" s="87">
        <f t="shared" si="56"/>
        <v>0</v>
      </c>
      <c r="BD94" s="87">
        <f t="shared" si="56"/>
        <v>0</v>
      </c>
      <c r="BE94" s="87">
        <f t="shared" si="56"/>
        <v>0</v>
      </c>
      <c r="BF94" s="87">
        <f t="shared" si="56"/>
        <v>0</v>
      </c>
      <c r="BG94" s="87">
        <f t="shared" si="56"/>
        <v>0</v>
      </c>
      <c r="BH94" s="87">
        <f t="shared" si="56"/>
        <v>0</v>
      </c>
      <c r="BI94" s="87">
        <f t="shared" si="56"/>
        <v>0</v>
      </c>
      <c r="BJ94" s="87">
        <f t="shared" si="56"/>
        <v>0</v>
      </c>
      <c r="BK94" s="87">
        <f t="shared" si="56"/>
        <v>0</v>
      </c>
      <c r="BL94" s="87">
        <f t="shared" si="56"/>
        <v>0</v>
      </c>
      <c r="BM94" s="87">
        <f t="shared" si="56"/>
        <v>0</v>
      </c>
      <c r="BN94" s="87">
        <f t="shared" si="56"/>
        <v>0</v>
      </c>
      <c r="BO94" s="87">
        <f t="shared" si="56"/>
        <v>0</v>
      </c>
      <c r="BP94" s="87">
        <f t="shared" si="56"/>
        <v>0</v>
      </c>
      <c r="BQ94" s="87">
        <f t="shared" si="56"/>
        <v>0</v>
      </c>
      <c r="BR94" s="87">
        <f t="shared" si="56"/>
        <v>0</v>
      </c>
      <c r="BS94" s="87">
        <f t="shared" si="56"/>
        <v>0</v>
      </c>
      <c r="BT94" s="87">
        <f t="shared" si="56"/>
        <v>0</v>
      </c>
      <c r="BU94" s="87">
        <f t="shared" si="56"/>
        <v>0</v>
      </c>
      <c r="BV94" s="87">
        <f t="shared" si="56"/>
        <v>0</v>
      </c>
      <c r="BW94" s="87">
        <f t="shared" si="56"/>
        <v>0</v>
      </c>
      <c r="BX94" s="87">
        <f t="shared" si="56"/>
        <v>0</v>
      </c>
      <c r="BY94" s="87">
        <f t="shared" si="56"/>
        <v>0</v>
      </c>
      <c r="BZ94" s="87">
        <f t="shared" si="55"/>
        <v>0</v>
      </c>
      <c r="CA94" s="87">
        <f t="shared" si="55"/>
        <v>0</v>
      </c>
      <c r="CB94" s="87">
        <f t="shared" si="55"/>
        <v>0</v>
      </c>
      <c r="CC94" s="87">
        <f t="shared" si="55"/>
        <v>0</v>
      </c>
      <c r="CD94" s="87">
        <f t="shared" si="55"/>
        <v>0</v>
      </c>
      <c r="CE94" s="87">
        <f t="shared" si="55"/>
        <v>3034.5</v>
      </c>
      <c r="CF94" s="87">
        <f t="shared" si="55"/>
        <v>3034.5</v>
      </c>
      <c r="CG94" s="87">
        <f t="shared" si="55"/>
        <v>3034.5</v>
      </c>
      <c r="CH94" s="87" t="str">
        <f t="shared" si="55"/>
        <v/>
      </c>
      <c r="CI94" s="87" t="str">
        <f t="shared" si="55"/>
        <v/>
      </c>
      <c r="CJ94" s="87" t="str">
        <f t="shared" si="55"/>
        <v/>
      </c>
      <c r="CK94" s="87" t="str">
        <f t="shared" si="55"/>
        <v/>
      </c>
    </row>
    <row r="95" spans="12:89" x14ac:dyDescent="0.2">
      <c r="M95" s="87">
        <f t="shared" si="51"/>
        <v>0</v>
      </c>
      <c r="N95" s="87">
        <f t="shared" si="56"/>
        <v>0</v>
      </c>
      <c r="O95" s="87">
        <f t="shared" si="56"/>
        <v>0</v>
      </c>
      <c r="P95" s="87">
        <f t="shared" si="56"/>
        <v>0</v>
      </c>
      <c r="Q95" s="87">
        <f t="shared" si="56"/>
        <v>0</v>
      </c>
      <c r="R95" s="87">
        <f t="shared" si="56"/>
        <v>0</v>
      </c>
      <c r="S95" s="87">
        <f t="shared" si="56"/>
        <v>0</v>
      </c>
      <c r="T95" s="87">
        <f t="shared" si="56"/>
        <v>0</v>
      </c>
      <c r="U95" s="87">
        <f t="shared" si="56"/>
        <v>0</v>
      </c>
      <c r="V95" s="87">
        <f t="shared" si="56"/>
        <v>0</v>
      </c>
      <c r="W95" s="87">
        <f t="shared" si="56"/>
        <v>0</v>
      </c>
      <c r="X95" s="87">
        <f t="shared" si="56"/>
        <v>0</v>
      </c>
      <c r="Y95" s="87">
        <f t="shared" si="56"/>
        <v>0</v>
      </c>
      <c r="Z95" s="87">
        <f t="shared" si="56"/>
        <v>0</v>
      </c>
      <c r="AA95" s="87">
        <f t="shared" si="56"/>
        <v>0</v>
      </c>
      <c r="AB95" s="87">
        <f t="shared" si="56"/>
        <v>0</v>
      </c>
      <c r="AC95" s="87">
        <f t="shared" si="56"/>
        <v>0</v>
      </c>
      <c r="AD95" s="87">
        <f t="shared" si="56"/>
        <v>0</v>
      </c>
      <c r="AE95" s="87">
        <f t="shared" si="56"/>
        <v>0</v>
      </c>
      <c r="AF95" s="87">
        <f t="shared" si="56"/>
        <v>0</v>
      </c>
      <c r="AG95" s="87">
        <f t="shared" si="56"/>
        <v>0</v>
      </c>
      <c r="AH95" s="87">
        <f t="shared" si="56"/>
        <v>0</v>
      </c>
      <c r="AI95" s="87">
        <f t="shared" si="56"/>
        <v>0</v>
      </c>
      <c r="AJ95" s="87">
        <f t="shared" si="56"/>
        <v>0</v>
      </c>
      <c r="AK95" s="87">
        <f t="shared" si="56"/>
        <v>0</v>
      </c>
      <c r="AL95" s="87">
        <f t="shared" si="56"/>
        <v>0</v>
      </c>
      <c r="AM95" s="87">
        <f t="shared" si="56"/>
        <v>0</v>
      </c>
      <c r="AN95" s="87">
        <f t="shared" si="56"/>
        <v>0</v>
      </c>
      <c r="AO95" s="87">
        <f t="shared" si="56"/>
        <v>0</v>
      </c>
      <c r="AP95" s="87">
        <f t="shared" si="56"/>
        <v>0</v>
      </c>
      <c r="AQ95" s="87">
        <f t="shared" si="56"/>
        <v>0</v>
      </c>
      <c r="AR95" s="87">
        <f t="shared" si="56"/>
        <v>0</v>
      </c>
      <c r="AS95" s="87">
        <f t="shared" si="56"/>
        <v>0</v>
      </c>
      <c r="AT95" s="87">
        <f t="shared" si="56"/>
        <v>0</v>
      </c>
      <c r="AU95" s="87">
        <f t="shared" si="56"/>
        <v>0</v>
      </c>
      <c r="AV95" s="87">
        <f t="shared" si="56"/>
        <v>0</v>
      </c>
      <c r="AW95" s="87">
        <f t="shared" si="56"/>
        <v>0</v>
      </c>
      <c r="AX95" s="87">
        <f t="shared" si="56"/>
        <v>0</v>
      </c>
      <c r="AY95" s="87">
        <f t="shared" si="56"/>
        <v>0</v>
      </c>
      <c r="AZ95" s="87">
        <f t="shared" si="56"/>
        <v>0</v>
      </c>
      <c r="BA95" s="87">
        <f t="shared" si="56"/>
        <v>0</v>
      </c>
      <c r="BB95" s="87">
        <f t="shared" si="56"/>
        <v>0</v>
      </c>
      <c r="BC95" s="87">
        <f t="shared" si="56"/>
        <v>0</v>
      </c>
      <c r="BD95" s="87">
        <f t="shared" si="56"/>
        <v>0</v>
      </c>
      <c r="BE95" s="87">
        <f t="shared" si="56"/>
        <v>0</v>
      </c>
      <c r="BF95" s="87">
        <f t="shared" si="56"/>
        <v>0</v>
      </c>
      <c r="BG95" s="87">
        <f t="shared" si="56"/>
        <v>0</v>
      </c>
      <c r="BH95" s="87">
        <f t="shared" si="56"/>
        <v>0</v>
      </c>
      <c r="BI95" s="87">
        <f t="shared" si="56"/>
        <v>0</v>
      </c>
      <c r="BJ95" s="87">
        <f t="shared" si="56"/>
        <v>0</v>
      </c>
      <c r="BK95" s="87">
        <f t="shared" si="56"/>
        <v>0</v>
      </c>
      <c r="BL95" s="87">
        <f t="shared" si="56"/>
        <v>0</v>
      </c>
      <c r="BM95" s="87">
        <f t="shared" si="56"/>
        <v>0</v>
      </c>
      <c r="BN95" s="87">
        <f t="shared" si="56"/>
        <v>0</v>
      </c>
      <c r="BO95" s="87">
        <f t="shared" si="56"/>
        <v>0</v>
      </c>
      <c r="BP95" s="87">
        <f t="shared" si="56"/>
        <v>0</v>
      </c>
      <c r="BQ95" s="87">
        <f t="shared" si="56"/>
        <v>0</v>
      </c>
      <c r="BR95" s="87">
        <f t="shared" si="56"/>
        <v>0</v>
      </c>
      <c r="BS95" s="87">
        <f t="shared" si="56"/>
        <v>0</v>
      </c>
      <c r="BT95" s="87">
        <f t="shared" si="56"/>
        <v>0</v>
      </c>
      <c r="BU95" s="87">
        <f t="shared" si="56"/>
        <v>0</v>
      </c>
      <c r="BV95" s="87">
        <f t="shared" si="56"/>
        <v>0</v>
      </c>
      <c r="BW95" s="87">
        <f t="shared" si="56"/>
        <v>0</v>
      </c>
      <c r="BX95" s="87">
        <f t="shared" si="56"/>
        <v>0</v>
      </c>
      <c r="BY95" s="87">
        <f t="shared" ref="BY95:CK96" si="57">IF(BY$6="","",IF(AND($D25&gt;0,$G25&gt;0,BY$6&gt;=EOMONTH($G25,0)+1,BY$6&lt;EDATE(EOMONTH($G25,0)+1,VALUE(SUBSTITUTE(LOWER($I25),"month","")))),$C25*$C$8*(1+$C$4)^INT(((YEAR(BY$6)-YEAR(EOMONTH($G25,0)+1))*12+MONTH(BY$6)-MONTH(EOMONTH($G25,0)+1))/12)*(1-$H25),0))</f>
        <v>0</v>
      </c>
      <c r="BZ95" s="87">
        <f t="shared" si="57"/>
        <v>0</v>
      </c>
      <c r="CA95" s="87">
        <f t="shared" si="57"/>
        <v>0</v>
      </c>
      <c r="CB95" s="87">
        <f t="shared" si="57"/>
        <v>0</v>
      </c>
      <c r="CC95" s="87">
        <f t="shared" si="57"/>
        <v>0</v>
      </c>
      <c r="CD95" s="87">
        <f t="shared" si="57"/>
        <v>0</v>
      </c>
      <c r="CE95" s="87">
        <f t="shared" si="57"/>
        <v>0</v>
      </c>
      <c r="CF95" s="87">
        <f t="shared" si="57"/>
        <v>0</v>
      </c>
      <c r="CG95" s="87">
        <f t="shared" si="57"/>
        <v>0</v>
      </c>
      <c r="CH95" s="87" t="str">
        <f t="shared" si="57"/>
        <v/>
      </c>
      <c r="CI95" s="87" t="str">
        <f t="shared" si="57"/>
        <v/>
      </c>
      <c r="CJ95" s="87" t="str">
        <f t="shared" si="57"/>
        <v/>
      </c>
      <c r="CK95" s="87" t="str">
        <f t="shared" si="57"/>
        <v/>
      </c>
    </row>
    <row r="96" spans="12:89" x14ac:dyDescent="0.2">
      <c r="M96" s="87">
        <f t="shared" si="51"/>
        <v>0</v>
      </c>
      <c r="N96" s="87">
        <f t="shared" ref="N96:BY96" si="58">IF(N$6="","",IF(AND($D26&gt;0,$G26&gt;0,N$6&gt;=EOMONTH($G26,0)+1,N$6&lt;EDATE(EOMONTH($G26,0)+1,VALUE(SUBSTITUTE(LOWER($I26),"month","")))),$C26*$C$8*(1+$C$4)^INT(((YEAR(N$6)-YEAR(EOMONTH($G26,0)+1))*12+MONTH(N$6)-MONTH(EOMONTH($G26,0)+1))/12)*(1-$H26),0))</f>
        <v>0</v>
      </c>
      <c r="O96" s="87">
        <f t="shared" si="58"/>
        <v>0</v>
      </c>
      <c r="P96" s="87">
        <f t="shared" si="58"/>
        <v>0</v>
      </c>
      <c r="Q96" s="87">
        <f t="shared" si="58"/>
        <v>0</v>
      </c>
      <c r="R96" s="87">
        <f t="shared" si="58"/>
        <v>0</v>
      </c>
      <c r="S96" s="87">
        <f t="shared" si="58"/>
        <v>0</v>
      </c>
      <c r="T96" s="87">
        <f t="shared" si="58"/>
        <v>0</v>
      </c>
      <c r="U96" s="87">
        <f t="shared" si="58"/>
        <v>0</v>
      </c>
      <c r="V96" s="87">
        <f t="shared" si="58"/>
        <v>0</v>
      </c>
      <c r="W96" s="87">
        <f t="shared" si="58"/>
        <v>0</v>
      </c>
      <c r="X96" s="87">
        <f t="shared" si="58"/>
        <v>0</v>
      </c>
      <c r="Y96" s="87">
        <f t="shared" si="58"/>
        <v>0</v>
      </c>
      <c r="Z96" s="87">
        <f t="shared" si="58"/>
        <v>0</v>
      </c>
      <c r="AA96" s="87">
        <f t="shared" si="58"/>
        <v>0</v>
      </c>
      <c r="AB96" s="87">
        <f t="shared" si="58"/>
        <v>0</v>
      </c>
      <c r="AC96" s="87">
        <f t="shared" si="58"/>
        <v>0</v>
      </c>
      <c r="AD96" s="87">
        <f t="shared" si="58"/>
        <v>0</v>
      </c>
      <c r="AE96" s="87">
        <f t="shared" si="58"/>
        <v>0</v>
      </c>
      <c r="AF96" s="87">
        <f t="shared" si="58"/>
        <v>0</v>
      </c>
      <c r="AG96" s="87">
        <f t="shared" si="58"/>
        <v>0</v>
      </c>
      <c r="AH96" s="87">
        <f t="shared" si="58"/>
        <v>0</v>
      </c>
      <c r="AI96" s="87">
        <f t="shared" si="58"/>
        <v>0</v>
      </c>
      <c r="AJ96" s="87">
        <f t="shared" si="58"/>
        <v>0</v>
      </c>
      <c r="AK96" s="87">
        <f t="shared" si="58"/>
        <v>0</v>
      </c>
      <c r="AL96" s="87">
        <f t="shared" si="58"/>
        <v>0</v>
      </c>
      <c r="AM96" s="87">
        <f t="shared" si="58"/>
        <v>0</v>
      </c>
      <c r="AN96" s="87">
        <f t="shared" si="58"/>
        <v>0</v>
      </c>
      <c r="AO96" s="87">
        <f t="shared" si="58"/>
        <v>0</v>
      </c>
      <c r="AP96" s="87">
        <f t="shared" si="58"/>
        <v>0</v>
      </c>
      <c r="AQ96" s="87">
        <f t="shared" si="58"/>
        <v>0</v>
      </c>
      <c r="AR96" s="87">
        <f t="shared" si="58"/>
        <v>0</v>
      </c>
      <c r="AS96" s="87">
        <f t="shared" si="58"/>
        <v>0</v>
      </c>
      <c r="AT96" s="87">
        <f t="shared" si="58"/>
        <v>0</v>
      </c>
      <c r="AU96" s="87">
        <f t="shared" si="58"/>
        <v>0</v>
      </c>
      <c r="AV96" s="87">
        <f t="shared" si="58"/>
        <v>0</v>
      </c>
      <c r="AW96" s="87">
        <f t="shared" si="58"/>
        <v>0</v>
      </c>
      <c r="AX96" s="87">
        <f t="shared" si="58"/>
        <v>0</v>
      </c>
      <c r="AY96" s="87">
        <f t="shared" si="58"/>
        <v>0</v>
      </c>
      <c r="AZ96" s="87">
        <f t="shared" si="58"/>
        <v>0</v>
      </c>
      <c r="BA96" s="87">
        <f t="shared" si="58"/>
        <v>0</v>
      </c>
      <c r="BB96" s="87">
        <f t="shared" si="58"/>
        <v>0</v>
      </c>
      <c r="BC96" s="87">
        <f t="shared" si="58"/>
        <v>0</v>
      </c>
      <c r="BD96" s="87">
        <f t="shared" si="58"/>
        <v>0</v>
      </c>
      <c r="BE96" s="87">
        <f t="shared" si="58"/>
        <v>0</v>
      </c>
      <c r="BF96" s="87">
        <f t="shared" si="58"/>
        <v>0</v>
      </c>
      <c r="BG96" s="87">
        <f t="shared" si="58"/>
        <v>0</v>
      </c>
      <c r="BH96" s="87">
        <f t="shared" si="58"/>
        <v>0</v>
      </c>
      <c r="BI96" s="87">
        <f t="shared" si="58"/>
        <v>0</v>
      </c>
      <c r="BJ96" s="87">
        <f t="shared" si="58"/>
        <v>0</v>
      </c>
      <c r="BK96" s="87">
        <f t="shared" si="58"/>
        <v>0</v>
      </c>
      <c r="BL96" s="87">
        <f t="shared" si="58"/>
        <v>0</v>
      </c>
      <c r="BM96" s="87">
        <f t="shared" si="58"/>
        <v>0</v>
      </c>
      <c r="BN96" s="87">
        <f t="shared" si="58"/>
        <v>0</v>
      </c>
      <c r="BO96" s="87">
        <f t="shared" si="58"/>
        <v>0</v>
      </c>
      <c r="BP96" s="87">
        <f t="shared" si="58"/>
        <v>0</v>
      </c>
      <c r="BQ96" s="87">
        <f t="shared" si="58"/>
        <v>0</v>
      </c>
      <c r="BR96" s="87">
        <f t="shared" si="58"/>
        <v>0</v>
      </c>
      <c r="BS96" s="87">
        <f t="shared" si="58"/>
        <v>0</v>
      </c>
      <c r="BT96" s="87">
        <f t="shared" si="58"/>
        <v>0</v>
      </c>
      <c r="BU96" s="87">
        <f t="shared" si="58"/>
        <v>0</v>
      </c>
      <c r="BV96" s="87">
        <f t="shared" si="58"/>
        <v>0</v>
      </c>
      <c r="BW96" s="87">
        <f t="shared" si="58"/>
        <v>0</v>
      </c>
      <c r="BX96" s="87">
        <f t="shared" si="58"/>
        <v>0</v>
      </c>
      <c r="BY96" s="87">
        <f t="shared" si="58"/>
        <v>0</v>
      </c>
      <c r="BZ96" s="87">
        <f t="shared" si="57"/>
        <v>0</v>
      </c>
      <c r="CA96" s="87">
        <f t="shared" si="57"/>
        <v>0</v>
      </c>
      <c r="CB96" s="87">
        <f t="shared" si="57"/>
        <v>0</v>
      </c>
      <c r="CC96" s="87">
        <f t="shared" si="57"/>
        <v>0</v>
      </c>
      <c r="CD96" s="87">
        <f t="shared" si="57"/>
        <v>0</v>
      </c>
      <c r="CE96" s="87">
        <f t="shared" si="57"/>
        <v>0</v>
      </c>
      <c r="CF96" s="87">
        <f t="shared" si="57"/>
        <v>0</v>
      </c>
      <c r="CG96" s="87">
        <f t="shared" si="57"/>
        <v>0</v>
      </c>
      <c r="CH96" s="87" t="str">
        <f t="shared" si="57"/>
        <v/>
      </c>
      <c r="CI96" s="87" t="str">
        <f t="shared" si="57"/>
        <v/>
      </c>
      <c r="CJ96" s="87" t="str">
        <f t="shared" si="57"/>
        <v/>
      </c>
      <c r="CK96" s="87" t="str">
        <f t="shared" si="57"/>
        <v/>
      </c>
    </row>
    <row r="97" spans="12:89" x14ac:dyDescent="0.2">
      <c r="L97" t="s">
        <v>342</v>
      </c>
      <c r="M97" s="3">
        <f>SUM(M66:M96)</f>
        <v>228981</v>
      </c>
      <c r="N97" s="3">
        <f t="shared" ref="N97:BY97" si="59">SUM(N66:N96)</f>
        <v>228981</v>
      </c>
      <c r="O97" s="3">
        <f t="shared" si="59"/>
        <v>228981</v>
      </c>
      <c r="P97" s="3">
        <f t="shared" si="59"/>
        <v>229161.9</v>
      </c>
      <c r="Q97" s="3">
        <f t="shared" si="59"/>
        <v>229864.94999999998</v>
      </c>
      <c r="R97" s="3">
        <f t="shared" si="59"/>
        <v>230124.50999999998</v>
      </c>
      <c r="S97" s="3">
        <f t="shared" si="59"/>
        <v>230972.03999999998</v>
      </c>
      <c r="T97" s="3">
        <f t="shared" si="59"/>
        <v>230972.03999999998</v>
      </c>
      <c r="U97" s="3">
        <f t="shared" si="59"/>
        <v>231338.49</v>
      </c>
      <c r="V97" s="3">
        <f t="shared" si="59"/>
        <v>230570.49</v>
      </c>
      <c r="W97" s="3">
        <f t="shared" si="59"/>
        <v>230612.99</v>
      </c>
      <c r="X97" s="3">
        <f t="shared" si="59"/>
        <v>231413.54</v>
      </c>
      <c r="Y97" s="3">
        <f t="shared" si="59"/>
        <v>230176.04</v>
      </c>
      <c r="Z97" s="3">
        <f t="shared" si="59"/>
        <v>232454.24</v>
      </c>
      <c r="AA97" s="3">
        <f t="shared" si="59"/>
        <v>232454.24</v>
      </c>
      <c r="AB97" s="3">
        <f t="shared" si="59"/>
        <v>232193.34</v>
      </c>
      <c r="AC97" s="3">
        <f t="shared" si="59"/>
        <v>232917.48149999997</v>
      </c>
      <c r="AD97" s="3">
        <f t="shared" si="59"/>
        <v>233184.82829999996</v>
      </c>
      <c r="AE97" s="3">
        <f t="shared" si="59"/>
        <v>234057.78419999997</v>
      </c>
      <c r="AF97" s="3">
        <f t="shared" si="59"/>
        <v>233111.73419999998</v>
      </c>
      <c r="AG97" s="3">
        <f t="shared" si="59"/>
        <v>230942.78419999999</v>
      </c>
      <c r="AH97" s="3">
        <f t="shared" si="59"/>
        <v>230296.61420000001</v>
      </c>
      <c r="AI97" s="3">
        <f t="shared" si="59"/>
        <v>230492.96420000002</v>
      </c>
      <c r="AJ97" s="3">
        <f t="shared" si="59"/>
        <v>231317.5307</v>
      </c>
      <c r="AK97" s="3">
        <f t="shared" si="59"/>
        <v>231771.2807</v>
      </c>
      <c r="AL97" s="3">
        <f t="shared" si="59"/>
        <v>230938.7807</v>
      </c>
      <c r="AM97" s="3">
        <f t="shared" si="59"/>
        <v>230938.7807</v>
      </c>
      <c r="AN97" s="3">
        <f t="shared" si="59"/>
        <v>231010.1807</v>
      </c>
      <c r="AO97" s="3">
        <f t="shared" si="59"/>
        <v>231756.04644500001</v>
      </c>
      <c r="AP97" s="3">
        <f t="shared" si="59"/>
        <v>239237.13964500002</v>
      </c>
      <c r="AQ97" s="3">
        <f t="shared" si="59"/>
        <v>235193.37374500002</v>
      </c>
      <c r="AR97" s="3">
        <f t="shared" si="59"/>
        <v>236139.42374500001</v>
      </c>
      <c r="AS97" s="3">
        <f t="shared" si="59"/>
        <v>236264.37374499999</v>
      </c>
      <c r="AT97" s="3">
        <f t="shared" si="59"/>
        <v>237374.35814499998</v>
      </c>
      <c r="AU97" s="3">
        <f t="shared" si="59"/>
        <v>237729.59864499999</v>
      </c>
      <c r="AV97" s="3">
        <f t="shared" si="59"/>
        <v>237022.07061999998</v>
      </c>
      <c r="AW97" s="3">
        <f t="shared" si="59"/>
        <v>237596.53311999998</v>
      </c>
      <c r="AX97" s="3">
        <f t="shared" si="59"/>
        <v>237775.03311999998</v>
      </c>
      <c r="AY97" s="3">
        <f t="shared" si="59"/>
        <v>237775.03311999998</v>
      </c>
      <c r="AZ97" s="3">
        <f t="shared" si="59"/>
        <v>237848.57511999996</v>
      </c>
      <c r="BA97" s="3">
        <f t="shared" si="59"/>
        <v>238616.81683734996</v>
      </c>
      <c r="BB97" s="3">
        <f t="shared" si="59"/>
        <v>239004.16183734997</v>
      </c>
      <c r="BC97" s="3">
        <f t="shared" si="59"/>
        <v>239664.18343734997</v>
      </c>
      <c r="BD97" s="3">
        <f t="shared" si="59"/>
        <v>240638.61493734998</v>
      </c>
      <c r="BE97" s="3">
        <f t="shared" si="59"/>
        <v>240767.31343734995</v>
      </c>
      <c r="BF97" s="3">
        <f t="shared" si="59"/>
        <v>241910.59736934997</v>
      </c>
      <c r="BG97" s="3">
        <f t="shared" si="59"/>
        <v>242544.24508434994</v>
      </c>
      <c r="BH97" s="3">
        <f t="shared" si="59"/>
        <v>243051.02273859998</v>
      </c>
      <c r="BI97" s="3">
        <f t="shared" si="59"/>
        <v>243642.71911359997</v>
      </c>
      <c r="BJ97" s="3">
        <f t="shared" si="59"/>
        <v>243826.57411359996</v>
      </c>
      <c r="BK97" s="3">
        <f t="shared" si="59"/>
        <v>244126.45411359996</v>
      </c>
      <c r="BL97" s="3">
        <f t="shared" si="59"/>
        <v>244662.73237359995</v>
      </c>
      <c r="BM97" s="3">
        <f t="shared" si="59"/>
        <v>245454.02134247049</v>
      </c>
      <c r="BN97" s="3">
        <f t="shared" si="59"/>
        <v>245852.98669247044</v>
      </c>
      <c r="BO97" s="3">
        <f t="shared" si="59"/>
        <v>246532.80894047045</v>
      </c>
      <c r="BP97" s="3">
        <f t="shared" si="59"/>
        <v>247536.47338547045</v>
      </c>
      <c r="BQ97" s="3">
        <f t="shared" si="59"/>
        <v>247990.33284047048</v>
      </c>
      <c r="BR97" s="3">
        <f t="shared" si="59"/>
        <v>249167.91529043048</v>
      </c>
      <c r="BS97" s="3">
        <f t="shared" si="59"/>
        <v>249820.57243688047</v>
      </c>
      <c r="BT97" s="3">
        <f t="shared" si="59"/>
        <v>250342.55342075796</v>
      </c>
      <c r="BU97" s="3">
        <f t="shared" si="59"/>
        <v>250952.00068700797</v>
      </c>
      <c r="BV97" s="3">
        <f t="shared" si="59"/>
        <v>251141.37133700796</v>
      </c>
      <c r="BW97" s="3">
        <f t="shared" si="59"/>
        <v>251450.24773700794</v>
      </c>
      <c r="BX97" s="3">
        <f t="shared" si="59"/>
        <v>252002.61434480795</v>
      </c>
      <c r="BY97" s="3">
        <f t="shared" si="59"/>
        <v>252817.64198274459</v>
      </c>
      <c r="BZ97" s="3">
        <f t="shared" ref="BZ97:CK97" si="60">SUM(BZ66:BZ96)</f>
        <v>253228.57629324461</v>
      </c>
      <c r="CA97" s="3">
        <f t="shared" si="60"/>
        <v>253928.7932086846</v>
      </c>
      <c r="CB97" s="3">
        <f t="shared" si="60"/>
        <v>254962.5675870346</v>
      </c>
      <c r="CC97" s="3">
        <f t="shared" si="60"/>
        <v>255430.04282568462</v>
      </c>
      <c r="CD97" s="3">
        <f t="shared" si="60"/>
        <v>247813.92139927461</v>
      </c>
      <c r="CE97" s="3">
        <f t="shared" si="60"/>
        <v>247803.56332911813</v>
      </c>
      <c r="CF97" s="3">
        <f t="shared" si="60"/>
        <v>248341.20374251195</v>
      </c>
      <c r="CG97" s="3">
        <f t="shared" si="60"/>
        <v>247797.41405296192</v>
      </c>
      <c r="CH97" s="3">
        <f t="shared" si="60"/>
        <v>0</v>
      </c>
      <c r="CI97" s="3">
        <f t="shared" si="60"/>
        <v>0</v>
      </c>
      <c r="CJ97" s="3">
        <f t="shared" si="60"/>
        <v>0</v>
      </c>
      <c r="CK97" s="3">
        <f t="shared" si="60"/>
        <v>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A77F-0F31-074F-9D0A-121C3F02699A}">
  <dimension ref="B2:L28"/>
  <sheetViews>
    <sheetView workbookViewId="0">
      <selection activeCell="P36" sqref="P36"/>
    </sheetView>
  </sheetViews>
  <sheetFormatPr baseColWidth="10" defaultRowHeight="16" x14ac:dyDescent="0.2"/>
  <cols>
    <col min="1" max="1" width="3.33203125" customWidth="1"/>
    <col min="3" max="3" width="15.5" customWidth="1"/>
    <col min="4" max="4" width="10" customWidth="1"/>
    <col min="9" max="9" width="13" customWidth="1"/>
    <col min="10" max="10" width="14.6640625" customWidth="1"/>
    <col min="11" max="11" width="13.6640625" customWidth="1"/>
    <col min="13" max="13" width="5.83203125" customWidth="1"/>
  </cols>
  <sheetData>
    <row r="2" spans="2:12" x14ac:dyDescent="0.2">
      <c r="B2" s="1" t="s">
        <v>0</v>
      </c>
    </row>
    <row r="3" spans="2:12" x14ac:dyDescent="0.2">
      <c r="B3" t="s">
        <v>613</v>
      </c>
    </row>
    <row r="5" spans="2:12" x14ac:dyDescent="0.2">
      <c r="B5" s="25" t="s">
        <v>1</v>
      </c>
      <c r="C5" s="25" t="s">
        <v>2</v>
      </c>
      <c r="D5" s="25" t="s">
        <v>11</v>
      </c>
      <c r="E5" s="25" t="s">
        <v>3</v>
      </c>
      <c r="F5" s="25" t="s">
        <v>4</v>
      </c>
      <c r="G5" s="25" t="s">
        <v>253</v>
      </c>
      <c r="H5" s="25" t="s">
        <v>5</v>
      </c>
      <c r="I5" s="25" t="s">
        <v>6</v>
      </c>
      <c r="J5" s="25" t="s">
        <v>8</v>
      </c>
      <c r="K5" s="25" t="s">
        <v>9</v>
      </c>
      <c r="L5" s="25" t="s">
        <v>7</v>
      </c>
    </row>
    <row r="6" spans="2:12" x14ac:dyDescent="0.2">
      <c r="B6">
        <v>1</v>
      </c>
      <c r="C6" s="24" t="s">
        <v>17</v>
      </c>
      <c r="D6" s="23">
        <v>3200</v>
      </c>
      <c r="E6" s="26">
        <v>40847</v>
      </c>
      <c r="F6" s="26">
        <v>44500</v>
      </c>
      <c r="G6" s="26"/>
      <c r="H6" s="27">
        <v>120</v>
      </c>
      <c r="I6" s="28">
        <v>6.19</v>
      </c>
      <c r="J6" s="3">
        <f>I6*D6</f>
        <v>19808</v>
      </c>
      <c r="K6" s="3">
        <f>J6*12</f>
        <v>237696</v>
      </c>
      <c r="L6" s="3">
        <f>K6/D6</f>
        <v>74.28</v>
      </c>
    </row>
    <row r="7" spans="2:12" x14ac:dyDescent="0.2">
      <c r="B7">
        <v>2</v>
      </c>
      <c r="C7" s="24" t="s">
        <v>18</v>
      </c>
      <c r="D7" s="23">
        <v>2250</v>
      </c>
      <c r="E7" s="26">
        <v>43243</v>
      </c>
      <c r="F7" s="26">
        <v>46904</v>
      </c>
      <c r="G7" s="26"/>
      <c r="H7" s="27">
        <v>121</v>
      </c>
      <c r="I7" s="28">
        <v>5.5</v>
      </c>
      <c r="J7" s="3">
        <f>I7*D7</f>
        <v>12375</v>
      </c>
      <c r="K7" s="3">
        <f t="shared" ref="K7:K20" si="0">J7*12</f>
        <v>148500</v>
      </c>
      <c r="L7" s="3">
        <f>K7/D7</f>
        <v>66</v>
      </c>
    </row>
    <row r="8" spans="2:12" x14ac:dyDescent="0.2">
      <c r="B8">
        <v>3</v>
      </c>
      <c r="C8" s="24" t="s">
        <v>605</v>
      </c>
      <c r="D8" s="23">
        <v>3000</v>
      </c>
      <c r="E8" s="26">
        <v>41487</v>
      </c>
      <c r="F8" s="26">
        <v>45291</v>
      </c>
      <c r="G8" s="26"/>
      <c r="H8" s="27">
        <v>60</v>
      </c>
      <c r="I8" s="28">
        <v>5.92</v>
      </c>
      <c r="J8" s="3">
        <f>I8*D8</f>
        <v>17760</v>
      </c>
      <c r="K8" s="3">
        <f t="shared" si="0"/>
        <v>213120</v>
      </c>
      <c r="L8" s="3">
        <f>K8/D8</f>
        <v>71.040000000000006</v>
      </c>
    </row>
    <row r="9" spans="2:12" x14ac:dyDescent="0.2">
      <c r="B9">
        <v>4</v>
      </c>
      <c r="C9" s="24" t="s">
        <v>606</v>
      </c>
      <c r="D9" s="23">
        <v>2500</v>
      </c>
      <c r="E9" s="26">
        <v>43160</v>
      </c>
      <c r="F9" s="26">
        <v>44985</v>
      </c>
      <c r="G9" s="26"/>
      <c r="H9" s="27">
        <v>60</v>
      </c>
      <c r="I9" s="28">
        <v>6.1</v>
      </c>
      <c r="J9" s="3">
        <f>I9*D9</f>
        <v>15250</v>
      </c>
      <c r="K9" s="3">
        <f t="shared" si="0"/>
        <v>183000</v>
      </c>
      <c r="L9" s="3">
        <f>K9/D9</f>
        <v>73.2</v>
      </c>
    </row>
    <row r="10" spans="2:12" x14ac:dyDescent="0.2">
      <c r="B10">
        <v>5</v>
      </c>
      <c r="C10" s="24" t="s">
        <v>607</v>
      </c>
      <c r="D10" s="23">
        <v>1000</v>
      </c>
      <c r="E10" s="26">
        <v>42723</v>
      </c>
      <c r="F10" s="26">
        <v>44681</v>
      </c>
      <c r="G10" s="26"/>
      <c r="H10" s="27">
        <v>65</v>
      </c>
      <c r="I10" s="28">
        <v>6.03</v>
      </c>
      <c r="J10" s="3">
        <f>I10*D10</f>
        <v>6030</v>
      </c>
      <c r="K10" s="3">
        <f t="shared" si="0"/>
        <v>72360</v>
      </c>
      <c r="L10" s="3">
        <f>K10/D10</f>
        <v>72.36</v>
      </c>
    </row>
    <row r="11" spans="2:12" x14ac:dyDescent="0.2">
      <c r="B11">
        <v>6</v>
      </c>
      <c r="C11" s="24" t="s">
        <v>608</v>
      </c>
      <c r="D11" s="23">
        <v>4300</v>
      </c>
      <c r="E11" s="26">
        <v>41487</v>
      </c>
      <c r="F11" s="26">
        <v>45138</v>
      </c>
      <c r="G11" s="26"/>
      <c r="H11" s="27">
        <v>120</v>
      </c>
      <c r="I11" s="28">
        <v>6.57</v>
      </c>
      <c r="J11" s="3">
        <f>I11*D11</f>
        <v>28251</v>
      </c>
      <c r="K11" s="3">
        <f t="shared" si="0"/>
        <v>339012</v>
      </c>
      <c r="L11" s="3">
        <f>K11/D11</f>
        <v>78.84</v>
      </c>
    </row>
    <row r="12" spans="2:12" x14ac:dyDescent="0.2">
      <c r="B12">
        <v>7</v>
      </c>
      <c r="C12" s="24" t="s">
        <v>609</v>
      </c>
      <c r="D12" s="23">
        <v>2800</v>
      </c>
      <c r="E12" s="26">
        <v>41456</v>
      </c>
      <c r="F12" s="26">
        <v>45107</v>
      </c>
      <c r="G12" s="26"/>
      <c r="H12" s="27">
        <v>120</v>
      </c>
      <c r="I12" s="28">
        <v>3.09</v>
      </c>
      <c r="J12" s="3">
        <f>I12*D12</f>
        <v>8652</v>
      </c>
      <c r="K12" s="3">
        <f t="shared" si="0"/>
        <v>103824</v>
      </c>
      <c r="L12" s="3">
        <f>K12/D12</f>
        <v>37.08</v>
      </c>
    </row>
    <row r="13" spans="2:12" x14ac:dyDescent="0.2">
      <c r="B13">
        <v>8</v>
      </c>
      <c r="C13" s="24" t="s">
        <v>610</v>
      </c>
      <c r="D13" s="23">
        <v>1750</v>
      </c>
      <c r="E13" s="26">
        <v>42825</v>
      </c>
      <c r="F13" s="26">
        <v>44834</v>
      </c>
      <c r="G13" s="26"/>
      <c r="H13" s="27">
        <v>67</v>
      </c>
      <c r="I13" s="28">
        <v>6.98</v>
      </c>
      <c r="J13" s="3">
        <f>I13*D13</f>
        <v>12215</v>
      </c>
      <c r="K13" s="3">
        <f t="shared" si="0"/>
        <v>146580</v>
      </c>
      <c r="L13" s="3">
        <f>K13/D13</f>
        <v>83.76</v>
      </c>
    </row>
    <row r="14" spans="2:12" x14ac:dyDescent="0.2">
      <c r="B14">
        <v>9</v>
      </c>
      <c r="C14" s="24" t="s">
        <v>611</v>
      </c>
      <c r="D14" s="23">
        <v>1750</v>
      </c>
      <c r="E14" s="26">
        <v>43431</v>
      </c>
      <c r="F14" s="26">
        <v>47269</v>
      </c>
      <c r="G14" s="26"/>
      <c r="H14" s="29">
        <v>126</v>
      </c>
      <c r="I14" s="28">
        <v>6.32</v>
      </c>
      <c r="J14" s="3">
        <f>I14*D14</f>
        <v>11060</v>
      </c>
      <c r="K14" s="3">
        <f t="shared" si="0"/>
        <v>132720</v>
      </c>
      <c r="L14" s="3">
        <f>K14/D14</f>
        <v>75.84</v>
      </c>
    </row>
    <row r="15" spans="2:12" x14ac:dyDescent="0.2">
      <c r="B15">
        <v>10</v>
      </c>
      <c r="C15" s="24" t="s">
        <v>612</v>
      </c>
      <c r="D15" s="23">
        <v>1700</v>
      </c>
      <c r="E15" s="30">
        <v>44196</v>
      </c>
      <c r="F15" s="26">
        <f>EOMONTH(E15,180)</f>
        <v>49674</v>
      </c>
      <c r="G15" s="26"/>
      <c r="H15" s="29">
        <v>180</v>
      </c>
      <c r="I15" s="31">
        <v>5.25</v>
      </c>
      <c r="J15" s="3">
        <f>I15*D15</f>
        <v>8925</v>
      </c>
      <c r="K15" s="3">
        <f t="shared" si="0"/>
        <v>107100</v>
      </c>
      <c r="L15" s="3">
        <f>K15/D15</f>
        <v>63</v>
      </c>
    </row>
    <row r="16" spans="2:12" x14ac:dyDescent="0.2">
      <c r="B16">
        <v>11</v>
      </c>
      <c r="C16" s="24"/>
      <c r="D16" s="23">
        <v>1100</v>
      </c>
      <c r="E16" s="31">
        <v>0</v>
      </c>
      <c r="F16" s="31">
        <v>0</v>
      </c>
      <c r="G16" s="31"/>
      <c r="H16" s="29">
        <v>0</v>
      </c>
      <c r="I16" s="31"/>
      <c r="J16" s="3">
        <f>I16*D16</f>
        <v>0</v>
      </c>
      <c r="K16" s="3">
        <f t="shared" si="0"/>
        <v>0</v>
      </c>
      <c r="L16" s="3">
        <f>K16/D16</f>
        <v>0</v>
      </c>
    </row>
    <row r="17" spans="2:12" x14ac:dyDescent="0.2">
      <c r="B17">
        <v>12</v>
      </c>
      <c r="C17" s="24"/>
      <c r="D17" s="23">
        <v>2750</v>
      </c>
      <c r="E17" s="31">
        <v>0</v>
      </c>
      <c r="F17" s="31">
        <v>0</v>
      </c>
      <c r="G17" s="31"/>
      <c r="H17" s="29">
        <v>0</v>
      </c>
      <c r="I17" s="31"/>
      <c r="J17" s="3">
        <f>I17*D17</f>
        <v>0</v>
      </c>
      <c r="K17" s="3">
        <f t="shared" si="0"/>
        <v>0</v>
      </c>
      <c r="L17" s="3">
        <f>K17/D17</f>
        <v>0</v>
      </c>
    </row>
    <row r="18" spans="2:12" x14ac:dyDescent="0.2">
      <c r="B18">
        <v>13</v>
      </c>
      <c r="C18" s="24"/>
      <c r="D18" s="23">
        <v>850</v>
      </c>
      <c r="E18" s="39">
        <v>44531</v>
      </c>
      <c r="F18" s="39">
        <v>46356</v>
      </c>
      <c r="G18" s="39">
        <v>45261</v>
      </c>
      <c r="H18" s="29">
        <v>60</v>
      </c>
      <c r="I18" s="31">
        <v>6</v>
      </c>
      <c r="J18" s="3">
        <f>I18*D18</f>
        <v>5100</v>
      </c>
      <c r="K18" s="3">
        <f t="shared" si="0"/>
        <v>61200</v>
      </c>
      <c r="L18" s="3">
        <f>K18/D18</f>
        <v>72</v>
      </c>
    </row>
    <row r="19" spans="2:12" x14ac:dyDescent="0.2">
      <c r="B19">
        <v>14</v>
      </c>
      <c r="C19" s="24"/>
      <c r="D19" s="23">
        <v>5300</v>
      </c>
      <c r="E19" s="31">
        <v>0</v>
      </c>
      <c r="F19" s="31">
        <v>0</v>
      </c>
      <c r="G19" s="31"/>
      <c r="H19" s="29">
        <v>0</v>
      </c>
      <c r="I19" s="31"/>
      <c r="J19" s="3">
        <f>I19*D19</f>
        <v>0</v>
      </c>
      <c r="K19" s="3">
        <f t="shared" si="0"/>
        <v>0</v>
      </c>
      <c r="L19" s="3">
        <f>K19/D19</f>
        <v>0</v>
      </c>
    </row>
    <row r="20" spans="2:12" x14ac:dyDescent="0.2">
      <c r="B20">
        <v>15</v>
      </c>
      <c r="C20" s="24"/>
      <c r="D20" s="23">
        <v>4900</v>
      </c>
      <c r="E20" s="31">
        <v>0</v>
      </c>
      <c r="F20" s="31">
        <v>0</v>
      </c>
      <c r="G20" s="31"/>
      <c r="H20" s="29">
        <v>0</v>
      </c>
      <c r="I20" s="31"/>
      <c r="J20" s="3">
        <f>I20*D20</f>
        <v>0</v>
      </c>
      <c r="K20" s="3">
        <f t="shared" si="0"/>
        <v>0</v>
      </c>
      <c r="L20" s="3">
        <f>K20/D20</f>
        <v>0</v>
      </c>
    </row>
    <row r="21" spans="2:12" x14ac:dyDescent="0.2">
      <c r="B21" s="32"/>
      <c r="C21" s="32"/>
      <c r="D21" s="33">
        <f>SUM(D6:D20)</f>
        <v>39150</v>
      </c>
      <c r="E21" s="32"/>
      <c r="F21" s="32"/>
      <c r="G21" s="32"/>
      <c r="H21" s="32"/>
      <c r="I21" s="34">
        <f>SUMPRODUCT(I6:I15,D6:D15)/SUM(D6:D15)</f>
        <v>5.786639175257732</v>
      </c>
      <c r="J21" s="34">
        <f>SUM(J6:J20)</f>
        <v>145426</v>
      </c>
      <c r="K21" s="34">
        <f>SUM(K6:K20)</f>
        <v>1745112</v>
      </c>
      <c r="L21" s="34">
        <f>SUMPRODUCT(D6:D15,L6:L15)/SUM(D6:D15)</f>
        <v>69.43967010309278</v>
      </c>
    </row>
    <row r="23" spans="2:12" x14ac:dyDescent="0.2">
      <c r="J23" s="2"/>
      <c r="K23" s="3"/>
    </row>
    <row r="24" spans="2:12" x14ac:dyDescent="0.2">
      <c r="H24" s="3"/>
      <c r="I24" s="3"/>
    </row>
    <row r="28" spans="2:12" x14ac:dyDescent="0.2">
      <c r="I28" s="2"/>
      <c r="J2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5D17-0F75-0B49-8BA3-50A35EC57F45}">
  <dimension ref="A2:P175"/>
  <sheetViews>
    <sheetView workbookViewId="0">
      <selection activeCell="G123" sqref="G123"/>
    </sheetView>
  </sheetViews>
  <sheetFormatPr baseColWidth="10" defaultColWidth="9.1640625" defaultRowHeight="13" x14ac:dyDescent="0.15"/>
  <cols>
    <col min="1" max="1" width="13.33203125" style="134" customWidth="1"/>
    <col min="2" max="2" width="11.5" style="134" customWidth="1"/>
    <col min="3" max="3" width="37.1640625" style="134" customWidth="1"/>
    <col min="4" max="14" width="17.1640625" style="134" customWidth="1"/>
    <col min="15" max="15" width="6.33203125" style="134" customWidth="1"/>
    <col min="16" max="16" width="12.1640625" style="134" customWidth="1"/>
    <col min="17" max="16384" width="9.1640625" style="134"/>
  </cols>
  <sheetData>
    <row r="2" spans="1:14" ht="15" customHeight="1" x14ac:dyDescent="0.15"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</row>
    <row r="3" spans="1:14" ht="15.75" customHeight="1" x14ac:dyDescent="0.15">
      <c r="B3" s="136" t="s">
        <v>394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</row>
    <row r="4" spans="1:14" ht="15" customHeight="1" x14ac:dyDescent="0.15">
      <c r="B4" s="135" t="s">
        <v>395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</row>
    <row r="5" spans="1:14" ht="15" customHeight="1" x14ac:dyDescent="0.15">
      <c r="B5" s="135" t="s">
        <v>396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</row>
    <row r="6" spans="1:14" ht="15" customHeight="1" x14ac:dyDescent="0.15">
      <c r="B6" s="137"/>
      <c r="C6" s="138"/>
      <c r="D6" s="137" t="s">
        <v>397</v>
      </c>
      <c r="E6" s="139" t="s">
        <v>398</v>
      </c>
      <c r="F6" s="139" t="s">
        <v>399</v>
      </c>
      <c r="G6" s="139" t="s">
        <v>400</v>
      </c>
      <c r="H6" s="139" t="s">
        <v>401</v>
      </c>
      <c r="I6" s="139" t="s">
        <v>402</v>
      </c>
      <c r="J6" s="140">
        <v>44469</v>
      </c>
      <c r="K6" s="140">
        <v>44500</v>
      </c>
      <c r="L6" s="140">
        <v>44530</v>
      </c>
      <c r="M6" s="140">
        <v>44561</v>
      </c>
      <c r="N6" s="137" t="s">
        <v>403</v>
      </c>
    </row>
    <row r="7" spans="1:14" ht="15" customHeight="1" x14ac:dyDescent="0.15">
      <c r="B7" s="141" t="s">
        <v>404</v>
      </c>
      <c r="C7" s="142" t="s">
        <v>19</v>
      </c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</row>
    <row r="8" spans="1:14" ht="15" customHeight="1" x14ac:dyDescent="0.15">
      <c r="B8" s="144"/>
      <c r="C8" s="145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</row>
    <row r="9" spans="1:14" ht="15" customHeight="1" x14ac:dyDescent="0.15">
      <c r="B9" s="146" t="s">
        <v>405</v>
      </c>
      <c r="C9" s="147" t="s">
        <v>20</v>
      </c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</row>
    <row r="10" spans="1:14" ht="15" customHeight="1" x14ac:dyDescent="0.15">
      <c r="B10" s="144"/>
      <c r="C10" s="145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</row>
    <row r="11" spans="1:14" ht="15" customHeight="1" x14ac:dyDescent="0.15">
      <c r="B11" s="146" t="s">
        <v>406</v>
      </c>
      <c r="C11" s="147" t="s">
        <v>21</v>
      </c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</row>
    <row r="12" spans="1:14" ht="15" customHeight="1" x14ac:dyDescent="0.15">
      <c r="B12" s="144" t="s">
        <v>407</v>
      </c>
      <c r="C12" s="145" t="s">
        <v>22</v>
      </c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</row>
    <row r="13" spans="1:14" ht="15" customHeight="1" x14ac:dyDescent="0.15">
      <c r="B13" s="144" t="s">
        <v>408</v>
      </c>
      <c r="C13" s="145" t="s">
        <v>23</v>
      </c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</row>
    <row r="14" spans="1:14" ht="15" customHeight="1" x14ac:dyDescent="0.15">
      <c r="A14" s="125" t="s">
        <v>409</v>
      </c>
      <c r="B14" s="144" t="s">
        <v>410</v>
      </c>
      <c r="C14" s="145" t="s">
        <v>24</v>
      </c>
      <c r="D14" s="150">
        <v>72601.66</v>
      </c>
      <c r="E14" s="151">
        <v>137332.62</v>
      </c>
      <c r="F14" s="151">
        <v>137518.62</v>
      </c>
      <c r="G14" s="151">
        <v>137853.16</v>
      </c>
      <c r="H14" s="151">
        <v>137853.16</v>
      </c>
      <c r="I14" s="151">
        <v>150188.57999999999</v>
      </c>
      <c r="J14" s="151">
        <v>141492.74</v>
      </c>
      <c r="K14" s="151">
        <v>150821.07999999999</v>
      </c>
      <c r="L14" s="151">
        <v>150821.07999999999</v>
      </c>
      <c r="M14" s="151">
        <v>157578.66</v>
      </c>
      <c r="N14" s="150"/>
    </row>
    <row r="15" spans="1:14" ht="15" customHeight="1" x14ac:dyDescent="0.15">
      <c r="A15" s="125" t="s">
        <v>411</v>
      </c>
      <c r="B15" s="152" t="s">
        <v>412</v>
      </c>
      <c r="C15" s="153" t="s">
        <v>413</v>
      </c>
      <c r="D15" s="150"/>
      <c r="E15" s="151">
        <v>0</v>
      </c>
      <c r="F15" s="151">
        <v>2631.79</v>
      </c>
      <c r="G15" s="151">
        <v>4881.05</v>
      </c>
      <c r="H15" s="151">
        <v>4881.05</v>
      </c>
      <c r="I15" s="151">
        <v>4881.05</v>
      </c>
      <c r="J15" s="151">
        <v>4881.05</v>
      </c>
      <c r="K15" s="151">
        <v>4881.05</v>
      </c>
      <c r="L15" s="151">
        <v>4881.05</v>
      </c>
      <c r="M15" s="151">
        <v>2631.79</v>
      </c>
      <c r="N15" s="150"/>
    </row>
    <row r="16" spans="1:14" ht="15" customHeight="1" x14ac:dyDescent="0.15">
      <c r="A16" s="125" t="s">
        <v>414</v>
      </c>
      <c r="B16" s="144" t="s">
        <v>415</v>
      </c>
      <c r="C16" s="145" t="s">
        <v>25</v>
      </c>
      <c r="D16" s="154">
        <v>0</v>
      </c>
      <c r="E16" s="155">
        <v>0</v>
      </c>
      <c r="F16" s="155">
        <v>0</v>
      </c>
      <c r="G16" s="155">
        <v>0</v>
      </c>
      <c r="H16" s="155">
        <v>0</v>
      </c>
      <c r="I16" s="155">
        <v>-11247.18</v>
      </c>
      <c r="J16" s="155">
        <v>0</v>
      </c>
      <c r="K16" s="155">
        <v>0</v>
      </c>
      <c r="L16" s="155">
        <v>0</v>
      </c>
      <c r="M16" s="155">
        <v>0</v>
      </c>
      <c r="N16" s="150"/>
    </row>
    <row r="17" spans="2:14" ht="15" customHeight="1" x14ac:dyDescent="0.15">
      <c r="B17" s="144" t="s">
        <v>416</v>
      </c>
      <c r="C17" s="145" t="s">
        <v>28</v>
      </c>
      <c r="D17" s="156">
        <v>72601.66</v>
      </c>
      <c r="E17" s="157">
        <v>137332.62</v>
      </c>
      <c r="F17" s="157">
        <v>140150.41</v>
      </c>
      <c r="G17" s="157">
        <v>142734.21</v>
      </c>
      <c r="H17" s="157">
        <v>142734.21</v>
      </c>
      <c r="I17" s="157">
        <v>143822.45000000001</v>
      </c>
      <c r="J17" s="157">
        <v>146373.79</v>
      </c>
      <c r="K17" s="157">
        <v>155702.13</v>
      </c>
      <c r="L17" s="157">
        <v>155702.13</v>
      </c>
      <c r="M17" s="157">
        <v>160210.45000000001</v>
      </c>
      <c r="N17" s="156"/>
    </row>
    <row r="18" spans="2:14" ht="15" customHeight="1" x14ac:dyDescent="0.15">
      <c r="B18" s="144" t="s">
        <v>417</v>
      </c>
      <c r="C18" s="145" t="s">
        <v>29</v>
      </c>
      <c r="D18" s="158">
        <v>72601.66</v>
      </c>
      <c r="E18" s="159">
        <v>137332.62</v>
      </c>
      <c r="F18" s="159">
        <v>140150.41</v>
      </c>
      <c r="G18" s="159">
        <v>142734.21</v>
      </c>
      <c r="H18" s="159">
        <v>142734.21</v>
      </c>
      <c r="I18" s="159">
        <v>143822.45000000001</v>
      </c>
      <c r="J18" s="159">
        <v>146373.79</v>
      </c>
      <c r="K18" s="159">
        <v>155702.13</v>
      </c>
      <c r="L18" s="159">
        <v>155702.13</v>
      </c>
      <c r="M18" s="159">
        <v>160210.45000000001</v>
      </c>
      <c r="N18" s="158"/>
    </row>
    <row r="19" spans="2:14" ht="15" customHeight="1" x14ac:dyDescent="0.15">
      <c r="B19" s="144" t="s">
        <v>418</v>
      </c>
      <c r="C19" s="145" t="s">
        <v>30</v>
      </c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</row>
    <row r="20" spans="2:14" ht="15" customHeight="1" x14ac:dyDescent="0.15">
      <c r="B20" s="144" t="s">
        <v>419</v>
      </c>
      <c r="C20" s="145" t="s">
        <v>31</v>
      </c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</row>
    <row r="21" spans="2:14" ht="15" customHeight="1" x14ac:dyDescent="0.15">
      <c r="B21" s="144" t="s">
        <v>420</v>
      </c>
      <c r="C21" s="145" t="s">
        <v>32</v>
      </c>
      <c r="D21" s="150">
        <v>45426.62</v>
      </c>
      <c r="E21" s="151">
        <v>78971</v>
      </c>
      <c r="F21" s="151">
        <v>78971</v>
      </c>
      <c r="G21" s="151">
        <v>78971</v>
      </c>
      <c r="H21" s="151">
        <v>78971</v>
      </c>
      <c r="I21" s="151">
        <v>78971</v>
      </c>
      <c r="J21" s="151">
        <v>80072.53</v>
      </c>
      <c r="K21" s="151">
        <v>87232.46</v>
      </c>
      <c r="L21" s="151">
        <v>87510</v>
      </c>
      <c r="M21" s="151">
        <v>90041.48</v>
      </c>
      <c r="N21" s="150"/>
    </row>
    <row r="22" spans="2:14" ht="15" customHeight="1" x14ac:dyDescent="0.15">
      <c r="B22" s="144" t="s">
        <v>421</v>
      </c>
      <c r="C22" s="145" t="s">
        <v>33</v>
      </c>
      <c r="D22" s="150">
        <v>-1047.5899999999999</v>
      </c>
      <c r="E22" s="151">
        <v>0</v>
      </c>
      <c r="F22" s="151">
        <v>0</v>
      </c>
      <c r="G22" s="151">
        <v>0</v>
      </c>
      <c r="H22" s="151">
        <v>-37109.99</v>
      </c>
      <c r="I22" s="151">
        <v>0</v>
      </c>
      <c r="J22" s="151">
        <v>-7834.91</v>
      </c>
      <c r="K22" s="151">
        <v>0</v>
      </c>
      <c r="L22" s="151">
        <v>0</v>
      </c>
      <c r="M22" s="151">
        <v>0</v>
      </c>
      <c r="N22" s="150"/>
    </row>
    <row r="23" spans="2:14" ht="15" customHeight="1" x14ac:dyDescent="0.15">
      <c r="B23" s="144" t="s">
        <v>422</v>
      </c>
      <c r="C23" s="145" t="s">
        <v>34</v>
      </c>
      <c r="D23" s="154">
        <v>0</v>
      </c>
      <c r="E23" s="155">
        <v>0</v>
      </c>
      <c r="F23" s="155">
        <v>0</v>
      </c>
      <c r="G23" s="155">
        <v>0</v>
      </c>
      <c r="H23" s="155">
        <v>0</v>
      </c>
      <c r="I23" s="155">
        <v>0</v>
      </c>
      <c r="J23" s="155">
        <v>0</v>
      </c>
      <c r="K23" s="155"/>
      <c r="L23" s="155"/>
      <c r="M23" s="155"/>
      <c r="N23" s="154"/>
    </row>
    <row r="24" spans="2:14" ht="15" customHeight="1" x14ac:dyDescent="0.15">
      <c r="B24" s="144" t="s">
        <v>423</v>
      </c>
      <c r="C24" s="145" t="s">
        <v>35</v>
      </c>
      <c r="D24" s="158">
        <v>44379.03</v>
      </c>
      <c r="E24" s="159">
        <v>78971</v>
      </c>
      <c r="F24" s="159">
        <v>78971</v>
      </c>
      <c r="G24" s="159">
        <v>78971</v>
      </c>
      <c r="H24" s="159">
        <v>41861.01</v>
      </c>
      <c r="I24" s="159">
        <v>78971</v>
      </c>
      <c r="J24" s="159">
        <v>72237.62</v>
      </c>
      <c r="K24" s="159">
        <v>87232.46</v>
      </c>
      <c r="L24" s="159">
        <v>87510</v>
      </c>
      <c r="M24" s="159">
        <v>90041.48</v>
      </c>
      <c r="N24" s="158"/>
    </row>
    <row r="25" spans="2:14" ht="15" customHeight="1" x14ac:dyDescent="0.15">
      <c r="B25" s="144" t="s">
        <v>424</v>
      </c>
      <c r="C25" s="145" t="s">
        <v>425</v>
      </c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</row>
    <row r="26" spans="2:14" ht="15" customHeight="1" x14ac:dyDescent="0.15">
      <c r="B26" s="144" t="s">
        <v>426</v>
      </c>
      <c r="C26" s="145" t="s">
        <v>427</v>
      </c>
      <c r="D26" s="154">
        <v>1725.85</v>
      </c>
      <c r="E26" s="155">
        <v>-0.02</v>
      </c>
      <c r="F26" s="155">
        <v>0</v>
      </c>
      <c r="G26" s="155">
        <v>0</v>
      </c>
      <c r="H26" s="155">
        <v>0</v>
      </c>
      <c r="I26" s="155">
        <v>0</v>
      </c>
      <c r="J26" s="155"/>
      <c r="K26" s="155">
        <v>0</v>
      </c>
      <c r="L26" s="155">
        <v>0</v>
      </c>
      <c r="M26" s="155">
        <v>0</v>
      </c>
      <c r="N26" s="154"/>
    </row>
    <row r="27" spans="2:14" ht="15" customHeight="1" x14ac:dyDescent="0.15">
      <c r="B27" s="144" t="s">
        <v>428</v>
      </c>
      <c r="C27" s="145" t="s">
        <v>429</v>
      </c>
      <c r="D27" s="158">
        <v>1725.85</v>
      </c>
      <c r="E27" s="159">
        <v>-0.02</v>
      </c>
      <c r="F27" s="159">
        <v>0</v>
      </c>
      <c r="G27" s="159">
        <v>0</v>
      </c>
      <c r="H27" s="159">
        <v>0</v>
      </c>
      <c r="I27" s="159">
        <v>0</v>
      </c>
      <c r="J27" s="159"/>
      <c r="K27" s="159">
        <v>0</v>
      </c>
      <c r="L27" s="159">
        <v>0</v>
      </c>
      <c r="M27" s="159">
        <v>0</v>
      </c>
      <c r="N27" s="158"/>
    </row>
    <row r="28" spans="2:14" ht="15" customHeight="1" x14ac:dyDescent="0.15">
      <c r="B28" s="144" t="s">
        <v>430</v>
      </c>
      <c r="C28" s="145" t="s">
        <v>36</v>
      </c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</row>
    <row r="29" spans="2:14" ht="15" customHeight="1" x14ac:dyDescent="0.15">
      <c r="B29" s="144" t="s">
        <v>431</v>
      </c>
      <c r="C29" s="145" t="s">
        <v>37</v>
      </c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</row>
    <row r="30" spans="2:14" ht="15" customHeight="1" x14ac:dyDescent="0.15">
      <c r="B30" s="144" t="s">
        <v>432</v>
      </c>
      <c r="C30" s="145" t="s">
        <v>433</v>
      </c>
      <c r="D30" s="154">
        <v>0</v>
      </c>
      <c r="E30" s="155">
        <v>0</v>
      </c>
      <c r="F30" s="155">
        <v>0</v>
      </c>
      <c r="G30" s="155">
        <v>0</v>
      </c>
      <c r="H30" s="155">
        <v>0</v>
      </c>
      <c r="I30" s="155">
        <v>0</v>
      </c>
      <c r="J30" s="155">
        <v>0</v>
      </c>
      <c r="K30" s="155"/>
      <c r="L30" s="155"/>
      <c r="M30" s="155"/>
      <c r="N30" s="154"/>
    </row>
    <row r="31" spans="2:14" ht="15" customHeight="1" x14ac:dyDescent="0.15">
      <c r="B31" s="144" t="s">
        <v>434</v>
      </c>
      <c r="C31" s="145" t="s">
        <v>42</v>
      </c>
      <c r="D31" s="156">
        <v>0</v>
      </c>
      <c r="E31" s="157">
        <v>0</v>
      </c>
      <c r="F31" s="157">
        <v>0</v>
      </c>
      <c r="G31" s="157">
        <v>0</v>
      </c>
      <c r="H31" s="157">
        <v>0</v>
      </c>
      <c r="I31" s="157">
        <v>0</v>
      </c>
      <c r="J31" s="157">
        <v>0</v>
      </c>
      <c r="K31" s="157"/>
      <c r="L31" s="157"/>
      <c r="M31" s="157"/>
      <c r="N31" s="156"/>
    </row>
    <row r="32" spans="2:14" ht="15" customHeight="1" x14ac:dyDescent="0.15">
      <c r="B32" s="144" t="s">
        <v>435</v>
      </c>
      <c r="C32" s="145" t="s">
        <v>47</v>
      </c>
      <c r="D32" s="156">
        <v>0</v>
      </c>
      <c r="E32" s="157">
        <v>0</v>
      </c>
      <c r="F32" s="157">
        <v>0</v>
      </c>
      <c r="G32" s="157">
        <v>0</v>
      </c>
      <c r="H32" s="157">
        <v>0</v>
      </c>
      <c r="I32" s="157">
        <v>0</v>
      </c>
      <c r="J32" s="157">
        <v>0</v>
      </c>
      <c r="K32" s="157"/>
      <c r="L32" s="157"/>
      <c r="M32" s="157"/>
      <c r="N32" s="156"/>
    </row>
    <row r="33" spans="1:16" ht="15" customHeight="1" x14ac:dyDescent="0.15">
      <c r="A33" s="125" t="s">
        <v>436</v>
      </c>
      <c r="B33" s="144" t="s">
        <v>437</v>
      </c>
      <c r="C33" s="145" t="s">
        <v>48</v>
      </c>
      <c r="D33" s="158">
        <v>46104.88</v>
      </c>
      <c r="E33" s="159">
        <v>78970.98</v>
      </c>
      <c r="F33" s="159">
        <v>78971</v>
      </c>
      <c r="G33" s="159">
        <v>78971</v>
      </c>
      <c r="H33" s="159">
        <v>41861.01</v>
      </c>
      <c r="I33" s="159">
        <v>78971</v>
      </c>
      <c r="J33" s="159">
        <v>72237.62</v>
      </c>
      <c r="K33" s="159">
        <v>87232.46</v>
      </c>
      <c r="L33" s="159">
        <v>87510</v>
      </c>
      <c r="M33" s="159">
        <v>90041.48</v>
      </c>
      <c r="N33" s="158"/>
    </row>
    <row r="34" spans="1:16" ht="15" customHeight="1" x14ac:dyDescent="0.15">
      <c r="B34" s="144" t="s">
        <v>438</v>
      </c>
      <c r="C34" s="145" t="s">
        <v>49</v>
      </c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</row>
    <row r="35" spans="1:16" ht="15" customHeight="1" x14ac:dyDescent="0.15">
      <c r="B35" s="144" t="s">
        <v>439</v>
      </c>
      <c r="C35" s="145" t="s">
        <v>50</v>
      </c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</row>
    <row r="36" spans="1:16" ht="15" customHeight="1" x14ac:dyDescent="0.15">
      <c r="A36" s="125" t="s">
        <v>440</v>
      </c>
      <c r="B36" s="144" t="s">
        <v>441</v>
      </c>
      <c r="C36" s="145" t="s">
        <v>51</v>
      </c>
      <c r="D36" s="150">
        <v>9677.17</v>
      </c>
      <c r="E36" s="151">
        <v>11276.35</v>
      </c>
      <c r="F36" s="151">
        <v>0</v>
      </c>
      <c r="G36" s="151">
        <v>24528.3</v>
      </c>
      <c r="H36" s="151">
        <v>25933.200000000001</v>
      </c>
      <c r="I36" s="151">
        <v>20701.5</v>
      </c>
      <c r="J36" s="151">
        <v>16834.05</v>
      </c>
      <c r="K36" s="151">
        <v>16834.05</v>
      </c>
      <c r="L36" s="151">
        <v>24319.17</v>
      </c>
      <c r="M36" s="151">
        <v>-11729.46</v>
      </c>
      <c r="N36" s="150"/>
    </row>
    <row r="37" spans="1:16" ht="15" customHeight="1" x14ac:dyDescent="0.15">
      <c r="A37" s="125" t="s">
        <v>411</v>
      </c>
      <c r="B37" s="144" t="s">
        <v>442</v>
      </c>
      <c r="C37" s="145" t="s">
        <v>56</v>
      </c>
      <c r="D37" s="154">
        <v>-379.5</v>
      </c>
      <c r="E37" s="155">
        <v>69</v>
      </c>
      <c r="F37" s="155">
        <v>69</v>
      </c>
      <c r="G37" s="155">
        <v>7569</v>
      </c>
      <c r="H37" s="155">
        <v>69</v>
      </c>
      <c r="I37" s="155">
        <v>69</v>
      </c>
      <c r="J37" s="155">
        <v>69</v>
      </c>
      <c r="K37" s="155">
        <v>69</v>
      </c>
      <c r="L37" s="155">
        <v>69</v>
      </c>
      <c r="M37" s="155">
        <v>69</v>
      </c>
      <c r="N37" s="154"/>
    </row>
    <row r="38" spans="1:16" ht="15" customHeight="1" x14ac:dyDescent="0.15">
      <c r="B38" s="144" t="s">
        <v>443</v>
      </c>
      <c r="C38" s="145" t="s">
        <v>57</v>
      </c>
      <c r="D38" s="156">
        <v>9297.67</v>
      </c>
      <c r="E38" s="157">
        <v>11345.35</v>
      </c>
      <c r="F38" s="157">
        <v>69</v>
      </c>
      <c r="G38" s="157">
        <v>32097.3</v>
      </c>
      <c r="H38" s="157">
        <v>26002.2</v>
      </c>
      <c r="I38" s="157">
        <v>20770.5</v>
      </c>
      <c r="J38" s="157">
        <v>16903.05</v>
      </c>
      <c r="K38" s="157">
        <v>16903.05</v>
      </c>
      <c r="L38" s="157">
        <v>24388.17</v>
      </c>
      <c r="M38" s="157">
        <v>-11660.46</v>
      </c>
      <c r="N38" s="156"/>
    </row>
    <row r="39" spans="1:16" ht="15" customHeight="1" x14ac:dyDescent="0.15">
      <c r="B39" s="144" t="s">
        <v>444</v>
      </c>
      <c r="C39" s="145" t="s">
        <v>58</v>
      </c>
      <c r="D39" s="156">
        <v>9297.67</v>
      </c>
      <c r="E39" s="157">
        <v>11345.35</v>
      </c>
      <c r="F39" s="157">
        <v>69</v>
      </c>
      <c r="G39" s="157">
        <v>32097.3</v>
      </c>
      <c r="H39" s="157">
        <v>26002.2</v>
      </c>
      <c r="I39" s="157">
        <v>20770.5</v>
      </c>
      <c r="J39" s="157">
        <v>16903.05</v>
      </c>
      <c r="K39" s="157">
        <v>16903.05</v>
      </c>
      <c r="L39" s="157">
        <v>24388.17</v>
      </c>
      <c r="M39" s="157">
        <v>-11660.46</v>
      </c>
      <c r="N39" s="156"/>
    </row>
    <row r="40" spans="1:16" ht="15" customHeight="1" x14ac:dyDescent="0.15">
      <c r="B40" s="146" t="s">
        <v>445</v>
      </c>
      <c r="C40" s="147" t="s">
        <v>60</v>
      </c>
      <c r="D40" s="160">
        <v>128004.21</v>
      </c>
      <c r="E40" s="161">
        <v>227648.95</v>
      </c>
      <c r="F40" s="161">
        <v>219190.41</v>
      </c>
      <c r="G40" s="161">
        <v>253802.51</v>
      </c>
      <c r="H40" s="161">
        <v>210597.42</v>
      </c>
      <c r="I40" s="161">
        <v>243563.95</v>
      </c>
      <c r="J40" s="161">
        <v>235514.46</v>
      </c>
      <c r="K40" s="161">
        <v>259837.64</v>
      </c>
      <c r="L40" s="161">
        <v>267600.3</v>
      </c>
      <c r="M40" s="161">
        <v>238591.47</v>
      </c>
      <c r="N40" s="160"/>
    </row>
    <row r="41" spans="1:16" ht="15" customHeight="1" x14ac:dyDescent="0.15">
      <c r="B41" s="144"/>
      <c r="C41" s="145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</row>
    <row r="42" spans="1:16" ht="15" customHeight="1" x14ac:dyDescent="0.15">
      <c r="B42" s="146" t="s">
        <v>446</v>
      </c>
      <c r="C42" s="147" t="s">
        <v>61</v>
      </c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P42" s="126" t="s">
        <v>596</v>
      </c>
    </row>
    <row r="43" spans="1:16" ht="15" customHeight="1" x14ac:dyDescent="0.15">
      <c r="B43" s="144" t="s">
        <v>447</v>
      </c>
      <c r="C43" s="145" t="s">
        <v>62</v>
      </c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</row>
    <row r="44" spans="1:16" ht="15" customHeight="1" x14ac:dyDescent="0.15">
      <c r="B44" s="144" t="s">
        <v>448</v>
      </c>
      <c r="C44" s="145" t="s">
        <v>63</v>
      </c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</row>
    <row r="45" spans="1:16" ht="15" customHeight="1" x14ac:dyDescent="0.15">
      <c r="B45" s="144" t="s">
        <v>449</v>
      </c>
      <c r="C45" s="145" t="s">
        <v>64</v>
      </c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</row>
    <row r="46" spans="1:16" ht="15" customHeight="1" x14ac:dyDescent="0.15">
      <c r="B46" s="152" t="s">
        <v>450</v>
      </c>
      <c r="C46" s="153" t="s">
        <v>68</v>
      </c>
      <c r="D46" s="149"/>
      <c r="E46" s="149"/>
      <c r="F46" s="149"/>
      <c r="G46" s="149"/>
      <c r="H46" s="149"/>
      <c r="I46" s="149"/>
      <c r="J46" s="149"/>
      <c r="K46" s="151">
        <v>0</v>
      </c>
      <c r="L46" s="151">
        <v>0</v>
      </c>
      <c r="M46" s="151">
        <v>0</v>
      </c>
      <c r="N46" s="149">
        <f>SUM(D46:M46)</f>
        <v>0</v>
      </c>
      <c r="P46" s="134">
        <v>10000</v>
      </c>
    </row>
    <row r="47" spans="1:16" ht="15" customHeight="1" x14ac:dyDescent="0.15">
      <c r="B47" s="152" t="s">
        <v>451</v>
      </c>
      <c r="C47" s="153" t="s">
        <v>69</v>
      </c>
      <c r="D47" s="149"/>
      <c r="E47" s="151">
        <v>0</v>
      </c>
      <c r="F47" s="151">
        <v>0</v>
      </c>
      <c r="G47" s="151">
        <v>425</v>
      </c>
      <c r="H47" s="151">
        <v>0</v>
      </c>
      <c r="I47" s="151">
        <v>0</v>
      </c>
      <c r="J47" s="151">
        <v>185</v>
      </c>
      <c r="K47" s="151">
        <v>0</v>
      </c>
      <c r="L47" s="151">
        <v>650</v>
      </c>
      <c r="M47" s="151">
        <v>0</v>
      </c>
      <c r="N47" s="149">
        <f t="shared" ref="N47:N53" si="0">SUM(D47:M47)</f>
        <v>1260</v>
      </c>
      <c r="P47" s="134">
        <v>1500</v>
      </c>
    </row>
    <row r="48" spans="1:16" ht="15" customHeight="1" x14ac:dyDescent="0.15">
      <c r="B48" s="144" t="s">
        <v>452</v>
      </c>
      <c r="C48" s="145" t="s">
        <v>70</v>
      </c>
      <c r="D48" s="150">
        <v>585</v>
      </c>
      <c r="E48" s="151">
        <v>0</v>
      </c>
      <c r="F48" s="151">
        <v>0</v>
      </c>
      <c r="G48" s="151">
        <v>0</v>
      </c>
      <c r="H48" s="151">
        <v>390</v>
      </c>
      <c r="I48" s="151">
        <v>0</v>
      </c>
      <c r="J48" s="151">
        <v>105</v>
      </c>
      <c r="K48" s="151">
        <v>0</v>
      </c>
      <c r="L48" s="186">
        <v>10500</v>
      </c>
      <c r="M48" s="151">
        <v>0</v>
      </c>
      <c r="N48" s="149">
        <f t="shared" si="0"/>
        <v>11580</v>
      </c>
      <c r="P48" s="134">
        <v>5000</v>
      </c>
    </row>
    <row r="49" spans="2:16" ht="15" customHeight="1" x14ac:dyDescent="0.15">
      <c r="B49" s="144" t="s">
        <v>453</v>
      </c>
      <c r="C49" s="145" t="s">
        <v>71</v>
      </c>
      <c r="D49" s="150">
        <v>4678</v>
      </c>
      <c r="E49" s="151">
        <v>0</v>
      </c>
      <c r="F49" s="151">
        <v>0</v>
      </c>
      <c r="G49" s="151">
        <v>0</v>
      </c>
      <c r="H49" s="151">
        <v>0</v>
      </c>
      <c r="I49" s="151">
        <v>0</v>
      </c>
      <c r="J49" s="151">
        <v>0</v>
      </c>
      <c r="K49" s="151">
        <v>0</v>
      </c>
      <c r="L49" s="151">
        <v>0</v>
      </c>
      <c r="M49" s="151">
        <v>0</v>
      </c>
      <c r="N49" s="149">
        <f t="shared" si="0"/>
        <v>4678</v>
      </c>
      <c r="P49" s="134">
        <v>1500</v>
      </c>
    </row>
    <row r="50" spans="2:16" ht="15" customHeight="1" x14ac:dyDescent="0.15">
      <c r="B50" s="152" t="s">
        <v>454</v>
      </c>
      <c r="C50" s="153" t="s">
        <v>73</v>
      </c>
      <c r="D50" s="150"/>
      <c r="E50" s="151">
        <v>0</v>
      </c>
      <c r="F50" s="151">
        <v>0</v>
      </c>
      <c r="G50" s="151">
        <v>0</v>
      </c>
      <c r="H50" s="151">
        <v>0</v>
      </c>
      <c r="I50" s="151">
        <v>0</v>
      </c>
      <c r="J50" s="151">
        <v>1100</v>
      </c>
      <c r="K50" s="151">
        <v>0</v>
      </c>
      <c r="L50" s="151">
        <v>0</v>
      </c>
      <c r="M50" s="151">
        <v>0</v>
      </c>
      <c r="N50" s="149">
        <f t="shared" si="0"/>
        <v>1100</v>
      </c>
      <c r="P50" s="134">
        <v>0</v>
      </c>
    </row>
    <row r="51" spans="2:16" ht="15" customHeight="1" x14ac:dyDescent="0.15">
      <c r="B51" s="144" t="s">
        <v>455</v>
      </c>
      <c r="C51" s="145" t="s">
        <v>74</v>
      </c>
      <c r="D51" s="150">
        <v>0</v>
      </c>
      <c r="E51" s="151">
        <v>0</v>
      </c>
      <c r="F51" s="151">
        <v>0</v>
      </c>
      <c r="G51" s="151">
        <v>597.30999999999995</v>
      </c>
      <c r="H51" s="151">
        <v>0</v>
      </c>
      <c r="I51" s="151">
        <v>0</v>
      </c>
      <c r="J51" s="151">
        <v>0</v>
      </c>
      <c r="K51" s="151">
        <v>0</v>
      </c>
      <c r="L51" s="151">
        <v>68</v>
      </c>
      <c r="M51" s="151">
        <v>0</v>
      </c>
      <c r="N51" s="149">
        <f t="shared" si="0"/>
        <v>665.31</v>
      </c>
      <c r="P51" s="134">
        <v>300</v>
      </c>
    </row>
    <row r="52" spans="2:16" ht="15" customHeight="1" x14ac:dyDescent="0.15">
      <c r="B52" s="152" t="s">
        <v>456</v>
      </c>
      <c r="C52" s="153" t="s">
        <v>75</v>
      </c>
      <c r="D52" s="150"/>
      <c r="E52" s="155">
        <v>0</v>
      </c>
      <c r="F52" s="155">
        <v>0</v>
      </c>
      <c r="G52" s="155">
        <v>0</v>
      </c>
      <c r="H52" s="155">
        <v>750</v>
      </c>
      <c r="I52" s="155">
        <v>0</v>
      </c>
      <c r="J52" s="155">
        <v>0</v>
      </c>
      <c r="K52" s="155">
        <v>0</v>
      </c>
      <c r="L52" s="155">
        <v>600</v>
      </c>
      <c r="M52" s="155">
        <v>0</v>
      </c>
      <c r="N52" s="149">
        <f t="shared" si="0"/>
        <v>1350</v>
      </c>
      <c r="P52" s="134">
        <v>1000</v>
      </c>
    </row>
    <row r="53" spans="2:16" ht="15" customHeight="1" x14ac:dyDescent="0.15">
      <c r="B53" s="144" t="s">
        <v>457</v>
      </c>
      <c r="C53" s="145" t="s">
        <v>76</v>
      </c>
      <c r="D53" s="158">
        <v>5263</v>
      </c>
      <c r="E53" s="159">
        <v>0</v>
      </c>
      <c r="F53" s="159">
        <v>0</v>
      </c>
      <c r="G53" s="159">
        <v>1022.31</v>
      </c>
      <c r="H53" s="159">
        <v>1140</v>
      </c>
      <c r="I53" s="159">
        <v>0</v>
      </c>
      <c r="J53" s="159">
        <v>1390</v>
      </c>
      <c r="K53" s="159">
        <v>0</v>
      </c>
      <c r="L53" s="159">
        <v>11818</v>
      </c>
      <c r="M53" s="159">
        <v>0</v>
      </c>
      <c r="N53" s="185">
        <f t="shared" si="0"/>
        <v>20633.309999999998</v>
      </c>
      <c r="P53" s="187">
        <f>SUM(P46:P52)</f>
        <v>19300</v>
      </c>
    </row>
    <row r="54" spans="2:16" ht="15" customHeight="1" x14ac:dyDescent="0.15">
      <c r="B54" s="144" t="s">
        <v>458</v>
      </c>
      <c r="C54" s="145" t="s">
        <v>77</v>
      </c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</row>
    <row r="55" spans="2:16" ht="15" customHeight="1" x14ac:dyDescent="0.15">
      <c r="B55" s="144" t="s">
        <v>459</v>
      </c>
      <c r="C55" s="145" t="s">
        <v>78</v>
      </c>
      <c r="D55" s="150">
        <v>67.95</v>
      </c>
      <c r="E55" s="151">
        <v>67.95</v>
      </c>
      <c r="F55" s="151">
        <v>135.9</v>
      </c>
      <c r="G55" s="151">
        <v>0</v>
      </c>
      <c r="H55" s="151">
        <v>499.95</v>
      </c>
      <c r="I55" s="151">
        <v>67.95</v>
      </c>
      <c r="J55" s="151">
        <v>176.3</v>
      </c>
      <c r="K55" s="151">
        <v>0</v>
      </c>
      <c r="L55" s="151">
        <v>67.95</v>
      </c>
      <c r="M55" s="151">
        <v>176.3</v>
      </c>
      <c r="N55" s="150">
        <f>SUM(D55:M55)</f>
        <v>1260.25</v>
      </c>
      <c r="P55" s="134">
        <v>1000</v>
      </c>
    </row>
    <row r="56" spans="2:16" ht="15" customHeight="1" x14ac:dyDescent="0.15">
      <c r="B56" s="152" t="s">
        <v>460</v>
      </c>
      <c r="C56" s="153" t="s">
        <v>461</v>
      </c>
      <c r="D56" s="150"/>
      <c r="E56" s="151"/>
      <c r="F56" s="151"/>
      <c r="G56" s="151"/>
      <c r="H56" s="151"/>
      <c r="I56" s="151"/>
      <c r="J56" s="151"/>
      <c r="K56" s="151">
        <v>0</v>
      </c>
      <c r="L56" s="151">
        <v>2850</v>
      </c>
      <c r="M56" s="151">
        <v>0</v>
      </c>
      <c r="N56" s="150">
        <f t="shared" ref="N56:N58" si="1">SUM(D56:M56)</f>
        <v>2850</v>
      </c>
      <c r="P56" s="134">
        <v>0</v>
      </c>
    </row>
    <row r="57" spans="2:16" ht="15" customHeight="1" x14ac:dyDescent="0.15">
      <c r="B57" s="144" t="s">
        <v>462</v>
      </c>
      <c r="C57" s="145" t="s">
        <v>80</v>
      </c>
      <c r="D57" s="154">
        <v>15618.3</v>
      </c>
      <c r="E57" s="155">
        <v>32208.6</v>
      </c>
      <c r="F57" s="155">
        <v>16104.3</v>
      </c>
      <c r="G57" s="155">
        <v>15618.3</v>
      </c>
      <c r="H57" s="155">
        <v>0</v>
      </c>
      <c r="I57" s="155">
        <v>31722.6</v>
      </c>
      <c r="J57" s="155">
        <v>15618.3</v>
      </c>
      <c r="K57" s="155">
        <v>490</v>
      </c>
      <c r="L57" s="155">
        <v>31236.6</v>
      </c>
      <c r="M57" s="155">
        <v>610</v>
      </c>
      <c r="N57" s="154">
        <f t="shared" si="1"/>
        <v>159227</v>
      </c>
      <c r="P57" s="134">
        <v>160000</v>
      </c>
    </row>
    <row r="58" spans="2:16" ht="15" customHeight="1" x14ac:dyDescent="0.15">
      <c r="B58" s="144" t="s">
        <v>463</v>
      </c>
      <c r="C58" s="145" t="s">
        <v>81</v>
      </c>
      <c r="D58" s="158">
        <v>15686.25</v>
      </c>
      <c r="E58" s="159">
        <v>32276.55</v>
      </c>
      <c r="F58" s="159">
        <v>16240.2</v>
      </c>
      <c r="G58" s="159">
        <v>15618.3</v>
      </c>
      <c r="H58" s="159">
        <v>499.95</v>
      </c>
      <c r="I58" s="159">
        <v>31790.55</v>
      </c>
      <c r="J58" s="159">
        <v>15794.6</v>
      </c>
      <c r="K58" s="159">
        <v>490</v>
      </c>
      <c r="L58" s="159">
        <v>34154.550000000003</v>
      </c>
      <c r="M58" s="159">
        <v>786.3</v>
      </c>
      <c r="N58" s="158">
        <f t="shared" si="1"/>
        <v>163337.25</v>
      </c>
      <c r="P58" s="187">
        <f>SUM(P55:P57)</f>
        <v>161000</v>
      </c>
    </row>
    <row r="59" spans="2:16" ht="15" customHeight="1" x14ac:dyDescent="0.15">
      <c r="B59" s="144" t="s">
        <v>464</v>
      </c>
      <c r="C59" s="145" t="s">
        <v>82</v>
      </c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</row>
    <row r="60" spans="2:16" ht="15" customHeight="1" x14ac:dyDescent="0.15">
      <c r="B60" s="144" t="s">
        <v>465</v>
      </c>
      <c r="C60" s="145" t="s">
        <v>83</v>
      </c>
      <c r="D60" s="150">
        <v>800</v>
      </c>
      <c r="E60" s="151">
        <v>800</v>
      </c>
      <c r="F60" s="151">
        <v>1440</v>
      </c>
      <c r="G60" s="151">
        <v>0</v>
      </c>
      <c r="H60" s="151">
        <v>1600</v>
      </c>
      <c r="I60" s="151">
        <v>800</v>
      </c>
      <c r="J60" s="151">
        <v>2000</v>
      </c>
      <c r="K60" s="151">
        <v>800</v>
      </c>
      <c r="L60" s="151">
        <v>800</v>
      </c>
      <c r="M60" s="151">
        <v>800</v>
      </c>
      <c r="N60" s="150">
        <f>SUM(D60:M60)</f>
        <v>9840</v>
      </c>
      <c r="P60" s="134">
        <f>900*12</f>
        <v>10800</v>
      </c>
    </row>
    <row r="61" spans="2:16" ht="15" customHeight="1" x14ac:dyDescent="0.15">
      <c r="B61" s="152" t="s">
        <v>466</v>
      </c>
      <c r="C61" s="153" t="s">
        <v>467</v>
      </c>
      <c r="D61" s="150"/>
      <c r="E61" s="151"/>
      <c r="F61" s="151"/>
      <c r="G61" s="151"/>
      <c r="H61" s="151"/>
      <c r="I61" s="151"/>
      <c r="J61" s="151"/>
      <c r="K61" s="151">
        <v>0</v>
      </c>
      <c r="L61" s="151">
        <v>1100</v>
      </c>
      <c r="M61" s="151">
        <v>0</v>
      </c>
      <c r="N61" s="150">
        <f>SUM(D61:M61)</f>
        <v>1100</v>
      </c>
    </row>
    <row r="62" spans="2:16" ht="15" customHeight="1" x14ac:dyDescent="0.15">
      <c r="B62" s="144" t="s">
        <v>468</v>
      </c>
      <c r="C62" s="145" t="s">
        <v>87</v>
      </c>
      <c r="D62" s="158">
        <v>800</v>
      </c>
      <c r="E62" s="159">
        <v>800</v>
      </c>
      <c r="F62" s="159">
        <v>1440</v>
      </c>
      <c r="G62" s="159">
        <v>0</v>
      </c>
      <c r="H62" s="159">
        <v>1600</v>
      </c>
      <c r="I62" s="159">
        <v>800</v>
      </c>
      <c r="J62" s="159">
        <v>2000</v>
      </c>
      <c r="K62" s="159">
        <v>800</v>
      </c>
      <c r="L62" s="159">
        <v>1900</v>
      </c>
      <c r="M62" s="159">
        <v>800</v>
      </c>
      <c r="N62" s="158">
        <f>N60+N61</f>
        <v>10940</v>
      </c>
      <c r="P62" s="187">
        <f>P60+P61</f>
        <v>10800</v>
      </c>
    </row>
    <row r="63" spans="2:16" ht="15" customHeight="1" x14ac:dyDescent="0.15">
      <c r="B63" s="144" t="s">
        <v>469</v>
      </c>
      <c r="C63" s="145" t="s">
        <v>88</v>
      </c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</row>
    <row r="64" spans="2:16" ht="15" customHeight="1" x14ac:dyDescent="0.15">
      <c r="B64" s="144" t="s">
        <v>470</v>
      </c>
      <c r="C64" s="145" t="s">
        <v>89</v>
      </c>
      <c r="D64" s="150">
        <v>700</v>
      </c>
      <c r="E64" s="151">
        <v>700</v>
      </c>
      <c r="F64" s="151">
        <v>700</v>
      </c>
      <c r="G64" s="151">
        <v>0</v>
      </c>
      <c r="H64" s="151">
        <v>1400</v>
      </c>
      <c r="I64" s="151">
        <v>700</v>
      </c>
      <c r="J64" s="151">
        <v>700</v>
      </c>
      <c r="K64" s="151">
        <v>700</v>
      </c>
      <c r="L64" s="151">
        <v>700</v>
      </c>
      <c r="M64" s="151">
        <v>700</v>
      </c>
      <c r="N64" s="150">
        <f>SUM(D64:M64)</f>
        <v>7000</v>
      </c>
    </row>
    <row r="65" spans="2:16" ht="15" customHeight="1" x14ac:dyDescent="0.15">
      <c r="B65" s="144" t="s">
        <v>471</v>
      </c>
      <c r="C65" s="145" t="s">
        <v>91</v>
      </c>
      <c r="D65" s="154">
        <v>0</v>
      </c>
      <c r="E65" s="155">
        <v>0</v>
      </c>
      <c r="F65" s="155">
        <v>0</v>
      </c>
      <c r="G65" s="155">
        <v>0</v>
      </c>
      <c r="H65" s="155">
        <v>0</v>
      </c>
      <c r="I65" s="155">
        <v>0</v>
      </c>
      <c r="J65" s="155">
        <v>0</v>
      </c>
      <c r="K65" s="155"/>
      <c r="L65" s="155"/>
      <c r="M65" s="155"/>
      <c r="N65" s="150">
        <f t="shared" ref="N65:N66" si="2">SUM(D65:M65)</f>
        <v>0</v>
      </c>
    </row>
    <row r="66" spans="2:16" ht="15" customHeight="1" x14ac:dyDescent="0.15">
      <c r="B66" s="144" t="s">
        <v>472</v>
      </c>
      <c r="C66" s="145" t="s">
        <v>92</v>
      </c>
      <c r="D66" s="158">
        <v>700</v>
      </c>
      <c r="E66" s="159">
        <v>700</v>
      </c>
      <c r="F66" s="159">
        <v>700</v>
      </c>
      <c r="G66" s="159">
        <v>0</v>
      </c>
      <c r="H66" s="159">
        <v>1400</v>
      </c>
      <c r="I66" s="159">
        <v>700</v>
      </c>
      <c r="J66" s="159">
        <v>700</v>
      </c>
      <c r="K66" s="159">
        <v>700</v>
      </c>
      <c r="L66" s="159">
        <v>700</v>
      </c>
      <c r="M66" s="159">
        <v>700</v>
      </c>
      <c r="N66" s="150">
        <f t="shared" si="2"/>
        <v>7000</v>
      </c>
      <c r="P66" s="187">
        <f>N66*103%</f>
        <v>7210</v>
      </c>
    </row>
    <row r="67" spans="2:16" ht="15" customHeight="1" x14ac:dyDescent="0.15">
      <c r="B67" s="144" t="s">
        <v>473</v>
      </c>
      <c r="C67" s="145" t="s">
        <v>93</v>
      </c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</row>
    <row r="68" spans="2:16" ht="15" customHeight="1" x14ac:dyDescent="0.15">
      <c r="B68" s="144" t="s">
        <v>474</v>
      </c>
      <c r="C68" s="145" t="s">
        <v>94</v>
      </c>
      <c r="D68" s="150">
        <v>0</v>
      </c>
      <c r="E68" s="151">
        <v>1200</v>
      </c>
      <c r="F68" s="151">
        <v>0</v>
      </c>
      <c r="G68" s="151">
        <v>0</v>
      </c>
      <c r="H68" s="151">
        <v>0</v>
      </c>
      <c r="I68" s="151">
        <v>3200</v>
      </c>
      <c r="J68" s="151">
        <v>120</v>
      </c>
      <c r="K68" s="151">
        <v>0</v>
      </c>
      <c r="L68" s="151">
        <v>0</v>
      </c>
      <c r="M68" s="151">
        <v>0</v>
      </c>
      <c r="N68" s="150">
        <f>SUM(D68:M68)</f>
        <v>4520</v>
      </c>
      <c r="P68" s="134">
        <v>0</v>
      </c>
    </row>
    <row r="69" spans="2:16" ht="15" customHeight="1" x14ac:dyDescent="0.15">
      <c r="B69" s="144" t="s">
        <v>475</v>
      </c>
      <c r="C69" s="145" t="s">
        <v>95</v>
      </c>
      <c r="D69" s="150">
        <v>6300</v>
      </c>
      <c r="E69" s="151">
        <v>6300</v>
      </c>
      <c r="F69" s="151">
        <v>6300</v>
      </c>
      <c r="G69" s="151">
        <v>0</v>
      </c>
      <c r="H69" s="151">
        <v>12600</v>
      </c>
      <c r="I69" s="151">
        <v>6300</v>
      </c>
      <c r="J69" s="151">
        <v>6300</v>
      </c>
      <c r="K69" s="151">
        <v>6300</v>
      </c>
      <c r="L69" s="151">
        <v>6300</v>
      </c>
      <c r="M69" s="151">
        <v>6300</v>
      </c>
      <c r="N69" s="150">
        <f t="shared" ref="N69:N73" si="3">SUM(D69:M69)</f>
        <v>63000</v>
      </c>
      <c r="P69" s="134">
        <f>N69*103%</f>
        <v>64890</v>
      </c>
    </row>
    <row r="70" spans="2:16" ht="15" customHeight="1" x14ac:dyDescent="0.15">
      <c r="B70" s="152" t="s">
        <v>476</v>
      </c>
      <c r="C70" s="153" t="s">
        <v>97</v>
      </c>
      <c r="D70" s="150"/>
      <c r="E70" s="151">
        <v>0</v>
      </c>
      <c r="F70" s="151">
        <v>0</v>
      </c>
      <c r="G70" s="151">
        <v>0</v>
      </c>
      <c r="H70" s="151">
        <v>2400</v>
      </c>
      <c r="I70" s="151">
        <v>0</v>
      </c>
      <c r="J70" s="151">
        <v>0</v>
      </c>
      <c r="K70" s="151">
        <v>95</v>
      </c>
      <c r="L70" s="151">
        <v>1500</v>
      </c>
      <c r="M70" s="151">
        <v>0</v>
      </c>
      <c r="N70" s="150">
        <f t="shared" si="3"/>
        <v>3995</v>
      </c>
      <c r="P70" s="134">
        <v>4000</v>
      </c>
    </row>
    <row r="71" spans="2:16" ht="15" customHeight="1" x14ac:dyDescent="0.15">
      <c r="B71" s="144" t="s">
        <v>477</v>
      </c>
      <c r="C71" s="145" t="s">
        <v>98</v>
      </c>
      <c r="D71" s="150">
        <v>0</v>
      </c>
      <c r="E71" s="151">
        <v>383</v>
      </c>
      <c r="F71" s="151">
        <v>0</v>
      </c>
      <c r="G71" s="151">
        <v>974</v>
      </c>
      <c r="H71" s="151">
        <v>0</v>
      </c>
      <c r="I71" s="151">
        <v>766</v>
      </c>
      <c r="J71" s="151">
        <v>766</v>
      </c>
      <c r="K71" s="151">
        <v>0</v>
      </c>
      <c r="L71" s="151">
        <v>931</v>
      </c>
      <c r="M71" s="151">
        <v>383</v>
      </c>
      <c r="N71" s="150">
        <f t="shared" si="3"/>
        <v>4203</v>
      </c>
      <c r="P71" s="134">
        <v>4000</v>
      </c>
    </row>
    <row r="72" spans="2:16" ht="15" customHeight="1" x14ac:dyDescent="0.15">
      <c r="B72" s="144" t="s">
        <v>478</v>
      </c>
      <c r="C72" s="145" t="s">
        <v>99</v>
      </c>
      <c r="D72" s="154">
        <v>485</v>
      </c>
      <c r="E72" s="155">
        <v>675</v>
      </c>
      <c r="F72" s="155">
        <v>725</v>
      </c>
      <c r="G72" s="155">
        <v>0</v>
      </c>
      <c r="H72" s="155">
        <v>1490</v>
      </c>
      <c r="I72" s="155">
        <v>750</v>
      </c>
      <c r="J72" s="155">
        <v>795</v>
      </c>
      <c r="K72" s="155">
        <v>775</v>
      </c>
      <c r="L72" s="155">
        <v>805</v>
      </c>
      <c r="M72" s="155">
        <v>825</v>
      </c>
      <c r="N72" s="150">
        <f t="shared" si="3"/>
        <v>7325</v>
      </c>
      <c r="P72" s="134">
        <v>7500</v>
      </c>
    </row>
    <row r="73" spans="2:16" ht="15" customHeight="1" x14ac:dyDescent="0.15">
      <c r="B73" s="144" t="s">
        <v>479</v>
      </c>
      <c r="C73" s="145" t="s">
        <v>100</v>
      </c>
      <c r="D73" s="156">
        <v>6785</v>
      </c>
      <c r="E73" s="157">
        <v>8558</v>
      </c>
      <c r="F73" s="157">
        <v>7025</v>
      </c>
      <c r="G73" s="157">
        <v>974</v>
      </c>
      <c r="H73" s="157">
        <v>16490</v>
      </c>
      <c r="I73" s="157">
        <v>11016</v>
      </c>
      <c r="J73" s="157">
        <v>7981</v>
      </c>
      <c r="K73" s="157">
        <v>7170</v>
      </c>
      <c r="L73" s="157">
        <v>9536</v>
      </c>
      <c r="M73" s="157">
        <v>7508</v>
      </c>
      <c r="N73" s="188">
        <f t="shared" si="3"/>
        <v>83043</v>
      </c>
      <c r="P73" s="134">
        <f>SUM(P68:P72)</f>
        <v>80390</v>
      </c>
    </row>
    <row r="74" spans="2:16" ht="15" customHeight="1" x14ac:dyDescent="0.15">
      <c r="B74" s="162" t="s">
        <v>480</v>
      </c>
      <c r="C74" s="163" t="s">
        <v>101</v>
      </c>
      <c r="D74" s="164">
        <v>29234.25</v>
      </c>
      <c r="E74" s="165">
        <v>42334.55</v>
      </c>
      <c r="F74" s="165">
        <v>25405.200000000001</v>
      </c>
      <c r="G74" s="165">
        <v>17614.61</v>
      </c>
      <c r="H74" s="165">
        <v>21129.95</v>
      </c>
      <c r="I74" s="165">
        <v>44306.55</v>
      </c>
      <c r="J74" s="165">
        <v>27865.599999999999</v>
      </c>
      <c r="K74" s="165">
        <v>9160</v>
      </c>
      <c r="L74" s="165">
        <v>58108.55</v>
      </c>
      <c r="M74" s="165">
        <v>9794.2999999999993</v>
      </c>
      <c r="N74" s="164">
        <f>SUM(D74:M74)</f>
        <v>284953.56</v>
      </c>
      <c r="O74" s="166"/>
      <c r="P74" s="133">
        <f>P53+P58+P62+P66+P73</f>
        <v>278700</v>
      </c>
    </row>
    <row r="75" spans="2:16" ht="15" customHeight="1" x14ac:dyDescent="0.15">
      <c r="B75" s="144" t="s">
        <v>481</v>
      </c>
      <c r="C75" s="145" t="s">
        <v>102</v>
      </c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</row>
    <row r="76" spans="2:16" ht="15" customHeight="1" x14ac:dyDescent="0.15">
      <c r="B76" s="144" t="s">
        <v>482</v>
      </c>
      <c r="C76" s="145" t="s">
        <v>103</v>
      </c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</row>
    <row r="77" spans="2:16" ht="15" customHeight="1" x14ac:dyDescent="0.15">
      <c r="B77" s="144" t="s">
        <v>483</v>
      </c>
      <c r="C77" s="145" t="s">
        <v>104</v>
      </c>
      <c r="D77" s="150">
        <v>15829.63</v>
      </c>
      <c r="E77" s="151">
        <v>7795.8</v>
      </c>
      <c r="F77" s="151">
        <v>44017.36</v>
      </c>
      <c r="G77" s="151">
        <v>-7512.17</v>
      </c>
      <c r="H77" s="151">
        <v>40069.58</v>
      </c>
      <c r="I77" s="151">
        <v>25914.85</v>
      </c>
      <c r="J77" s="151">
        <v>25644.26</v>
      </c>
      <c r="K77" s="151">
        <v>24716.03</v>
      </c>
      <c r="L77" s="151">
        <v>16623.310000000001</v>
      </c>
      <c r="M77" s="151">
        <v>19981.04</v>
      </c>
      <c r="N77" s="150"/>
    </row>
    <row r="78" spans="2:16" ht="15" customHeight="1" x14ac:dyDescent="0.15">
      <c r="B78" s="144" t="s">
        <v>484</v>
      </c>
      <c r="C78" s="145" t="s">
        <v>485</v>
      </c>
      <c r="D78" s="150">
        <v>88.48</v>
      </c>
      <c r="E78" s="151">
        <v>0</v>
      </c>
      <c r="F78" s="151">
        <v>0</v>
      </c>
      <c r="G78" s="151">
        <v>0</v>
      </c>
      <c r="H78" s="151">
        <v>0</v>
      </c>
      <c r="I78" s="151">
        <v>0</v>
      </c>
      <c r="J78" s="151">
        <v>0</v>
      </c>
      <c r="K78" s="151">
        <v>0</v>
      </c>
      <c r="L78" s="151">
        <v>0</v>
      </c>
      <c r="M78" s="151">
        <v>0</v>
      </c>
      <c r="N78" s="150"/>
    </row>
    <row r="79" spans="2:16" ht="15" customHeight="1" x14ac:dyDescent="0.15">
      <c r="B79" s="144" t="s">
        <v>486</v>
      </c>
      <c r="C79" s="145" t="s">
        <v>105</v>
      </c>
      <c r="D79" s="150">
        <v>11275.7</v>
      </c>
      <c r="E79" s="151">
        <v>1513</v>
      </c>
      <c r="F79" s="151">
        <v>18689.02</v>
      </c>
      <c r="G79" s="151">
        <v>-16129.93</v>
      </c>
      <c r="H79" s="151">
        <v>20992.2</v>
      </c>
      <c r="I79" s="151">
        <v>31023.200000000001</v>
      </c>
      <c r="J79" s="151">
        <v>14052.25</v>
      </c>
      <c r="K79" s="151">
        <v>-11569.54</v>
      </c>
      <c r="L79" s="151">
        <v>22624.400000000001</v>
      </c>
      <c r="M79" s="151">
        <v>11582.93</v>
      </c>
      <c r="N79" s="150"/>
    </row>
    <row r="80" spans="2:16" ht="15" customHeight="1" x14ac:dyDescent="0.15">
      <c r="B80" s="152" t="s">
        <v>487</v>
      </c>
      <c r="C80" s="153" t="s">
        <v>488</v>
      </c>
      <c r="D80" s="150"/>
      <c r="E80" s="151">
        <v>0</v>
      </c>
      <c r="F80" s="151">
        <v>0</v>
      </c>
      <c r="G80" s="151">
        <v>0</v>
      </c>
      <c r="H80" s="151">
        <v>471.91</v>
      </c>
      <c r="I80" s="151">
        <v>0</v>
      </c>
      <c r="J80" s="151">
        <v>120.03</v>
      </c>
      <c r="K80" s="151">
        <v>114.98</v>
      </c>
      <c r="L80" s="151">
        <v>114.98</v>
      </c>
      <c r="M80" s="151">
        <v>114.98</v>
      </c>
      <c r="N80" s="150"/>
    </row>
    <row r="81" spans="1:16" ht="15" customHeight="1" x14ac:dyDescent="0.15">
      <c r="B81" s="144" t="s">
        <v>489</v>
      </c>
      <c r="C81" s="145" t="s">
        <v>106</v>
      </c>
      <c r="D81" s="150">
        <v>13184.01</v>
      </c>
      <c r="E81" s="151">
        <v>6998.2</v>
      </c>
      <c r="F81" s="151">
        <v>20358.419999999998</v>
      </c>
      <c r="G81" s="151">
        <v>15586.77</v>
      </c>
      <c r="H81" s="151">
        <v>14124.34</v>
      </c>
      <c r="I81" s="151">
        <v>15226.96</v>
      </c>
      <c r="J81" s="151">
        <v>13350.69</v>
      </c>
      <c r="K81" s="151">
        <v>12629</v>
      </c>
      <c r="L81" s="151">
        <v>12832.29</v>
      </c>
      <c r="M81" s="151">
        <v>15592.65</v>
      </c>
      <c r="N81" s="150"/>
    </row>
    <row r="82" spans="1:16" ht="15" customHeight="1" x14ac:dyDescent="0.15">
      <c r="B82" s="144" t="s">
        <v>490</v>
      </c>
      <c r="C82" s="145" t="s">
        <v>107</v>
      </c>
      <c r="D82" s="154">
        <v>18.55</v>
      </c>
      <c r="E82" s="155">
        <v>6.27</v>
      </c>
      <c r="F82" s="155">
        <v>26.18</v>
      </c>
      <c r="G82" s="155">
        <v>36.15</v>
      </c>
      <c r="H82" s="155">
        <v>15.92</v>
      </c>
      <c r="I82" s="155">
        <v>19.22</v>
      </c>
      <c r="J82" s="155">
        <v>16.71</v>
      </c>
      <c r="K82" s="155">
        <v>18.63</v>
      </c>
      <c r="L82" s="155">
        <v>15.75</v>
      </c>
      <c r="M82" s="155">
        <v>33.32</v>
      </c>
      <c r="N82" s="154"/>
    </row>
    <row r="83" spans="1:16" ht="15" customHeight="1" x14ac:dyDescent="0.15">
      <c r="B83" s="144" t="s">
        <v>491</v>
      </c>
      <c r="C83" s="145" t="s">
        <v>108</v>
      </c>
      <c r="D83" s="156">
        <v>40396.370000000003</v>
      </c>
      <c r="E83" s="157">
        <v>16313.27</v>
      </c>
      <c r="F83" s="157">
        <v>83090.98</v>
      </c>
      <c r="G83" s="157">
        <v>-8019.18</v>
      </c>
      <c r="H83" s="157">
        <v>75673.95</v>
      </c>
      <c r="I83" s="157">
        <v>72184.23</v>
      </c>
      <c r="J83" s="157">
        <v>53183.94</v>
      </c>
      <c r="K83" s="157">
        <v>25909.1</v>
      </c>
      <c r="L83" s="157">
        <v>52210.73</v>
      </c>
      <c r="M83" s="157">
        <v>47304.92</v>
      </c>
      <c r="N83" s="156"/>
    </row>
    <row r="84" spans="1:16" ht="15" customHeight="1" x14ac:dyDescent="0.15">
      <c r="A84" s="125" t="s">
        <v>492</v>
      </c>
      <c r="B84" s="162" t="s">
        <v>493</v>
      </c>
      <c r="C84" s="163" t="s">
        <v>109</v>
      </c>
      <c r="D84" s="164">
        <v>40396.370000000003</v>
      </c>
      <c r="E84" s="165">
        <v>16313.27</v>
      </c>
      <c r="F84" s="165">
        <v>83090.98</v>
      </c>
      <c r="G84" s="165">
        <v>-8019.18</v>
      </c>
      <c r="H84" s="165">
        <v>75673.95</v>
      </c>
      <c r="I84" s="165">
        <v>72184.23</v>
      </c>
      <c r="J84" s="165">
        <v>53183.94</v>
      </c>
      <c r="K84" s="165">
        <v>25909.1</v>
      </c>
      <c r="L84" s="165">
        <v>52210.73</v>
      </c>
      <c r="M84" s="165">
        <v>47304.92</v>
      </c>
      <c r="N84" s="164">
        <f>SUM(D84:M84)</f>
        <v>458248.30999999994</v>
      </c>
      <c r="O84" s="166"/>
      <c r="P84" s="133">
        <f>N84*103%</f>
        <v>471995.75929999998</v>
      </c>
    </row>
    <row r="85" spans="1:16" ht="15" customHeight="1" x14ac:dyDescent="0.15">
      <c r="B85" s="144" t="s">
        <v>494</v>
      </c>
      <c r="C85" s="145" t="s">
        <v>110</v>
      </c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</row>
    <row r="86" spans="1:16" ht="15" customHeight="1" x14ac:dyDescent="0.15">
      <c r="B86" s="144" t="s">
        <v>495</v>
      </c>
      <c r="C86" s="145" t="s">
        <v>111</v>
      </c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</row>
    <row r="87" spans="1:16" ht="15" customHeight="1" x14ac:dyDescent="0.15">
      <c r="B87" s="144" t="s">
        <v>496</v>
      </c>
      <c r="C87" s="145" t="s">
        <v>112</v>
      </c>
      <c r="D87" s="154">
        <v>32502.01</v>
      </c>
      <c r="E87" s="155">
        <v>32502.01</v>
      </c>
      <c r="F87" s="155">
        <v>32502.01</v>
      </c>
      <c r="G87" s="155">
        <v>32502</v>
      </c>
      <c r="H87" s="155">
        <v>32502.01</v>
      </c>
      <c r="I87" s="155">
        <v>32502.01</v>
      </c>
      <c r="J87" s="155">
        <v>32502.01</v>
      </c>
      <c r="K87" s="155">
        <v>31158.38</v>
      </c>
      <c r="L87" s="155">
        <v>32166.1</v>
      </c>
      <c r="M87" s="155">
        <v>32166.080000000002</v>
      </c>
      <c r="N87" s="154"/>
    </row>
    <row r="88" spans="1:16" ht="15" customHeight="1" x14ac:dyDescent="0.15">
      <c r="B88" s="144" t="s">
        <v>497</v>
      </c>
      <c r="C88" s="145" t="s">
        <v>115</v>
      </c>
      <c r="D88" s="158">
        <v>32502.01</v>
      </c>
      <c r="E88" s="159">
        <v>32502.01</v>
      </c>
      <c r="F88" s="159">
        <v>32502.01</v>
      </c>
      <c r="G88" s="159">
        <v>32502</v>
      </c>
      <c r="H88" s="159">
        <v>32502.01</v>
      </c>
      <c r="I88" s="159">
        <v>32502.01</v>
      </c>
      <c r="J88" s="159">
        <v>32502.01</v>
      </c>
      <c r="K88" s="159">
        <v>31158.38</v>
      </c>
      <c r="L88" s="159">
        <v>32166.1</v>
      </c>
      <c r="M88" s="159">
        <v>32166.080000000002</v>
      </c>
      <c r="N88" s="158">
        <f>SUM(D88:M88)</f>
        <v>323004.62000000005</v>
      </c>
      <c r="P88" s="189">
        <f>N88</f>
        <v>323004.62000000005</v>
      </c>
    </row>
    <row r="89" spans="1:16" ht="15" customHeight="1" x14ac:dyDescent="0.15">
      <c r="B89" s="144" t="s">
        <v>498</v>
      </c>
      <c r="C89" s="145" t="s">
        <v>116</v>
      </c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</row>
    <row r="90" spans="1:16" ht="15" customHeight="1" x14ac:dyDescent="0.15">
      <c r="B90" s="144" t="s">
        <v>499</v>
      </c>
      <c r="C90" s="145" t="s">
        <v>117</v>
      </c>
      <c r="D90" s="150">
        <v>6800</v>
      </c>
      <c r="E90" s="151">
        <v>0</v>
      </c>
      <c r="F90" s="151">
        <v>0</v>
      </c>
      <c r="G90" s="151">
        <v>0</v>
      </c>
      <c r="H90" s="151">
        <v>0</v>
      </c>
      <c r="I90" s="151">
        <v>0</v>
      </c>
      <c r="J90" s="151">
        <v>0</v>
      </c>
      <c r="K90" s="151">
        <v>0</v>
      </c>
      <c r="L90" s="151">
        <v>0</v>
      </c>
      <c r="M90" s="151">
        <v>0</v>
      </c>
      <c r="N90" s="150"/>
    </row>
    <row r="91" spans="1:16" ht="15" customHeight="1" x14ac:dyDescent="0.15">
      <c r="B91" s="144" t="s">
        <v>500</v>
      </c>
      <c r="C91" s="145" t="s">
        <v>118</v>
      </c>
      <c r="D91" s="150">
        <v>0</v>
      </c>
      <c r="E91" s="151">
        <v>0</v>
      </c>
      <c r="F91" s="151">
        <v>0</v>
      </c>
      <c r="G91" s="151">
        <v>0</v>
      </c>
      <c r="H91" s="151">
        <v>0</v>
      </c>
      <c r="I91" s="151">
        <v>0</v>
      </c>
      <c r="J91" s="151">
        <v>0</v>
      </c>
      <c r="K91" s="151"/>
      <c r="L91" s="151"/>
      <c r="M91" s="151"/>
      <c r="N91" s="150"/>
    </row>
    <row r="92" spans="1:16" ht="15" customHeight="1" x14ac:dyDescent="0.15">
      <c r="B92" s="144" t="s">
        <v>501</v>
      </c>
      <c r="C92" s="145" t="s">
        <v>119</v>
      </c>
      <c r="D92" s="154">
        <v>0</v>
      </c>
      <c r="E92" s="155">
        <v>0</v>
      </c>
      <c r="F92" s="155">
        <v>0</v>
      </c>
      <c r="G92" s="155">
        <v>0</v>
      </c>
      <c r="H92" s="155">
        <v>2000</v>
      </c>
      <c r="I92" s="155">
        <v>0</v>
      </c>
      <c r="J92" s="155">
        <v>0</v>
      </c>
      <c r="K92" s="155">
        <v>0</v>
      </c>
      <c r="L92" s="155">
        <v>0</v>
      </c>
      <c r="M92" s="155">
        <v>0</v>
      </c>
      <c r="N92" s="154"/>
    </row>
    <row r="93" spans="1:16" ht="15" customHeight="1" x14ac:dyDescent="0.15">
      <c r="B93" s="144" t="s">
        <v>502</v>
      </c>
      <c r="C93" s="145" t="s">
        <v>121</v>
      </c>
      <c r="D93" s="156">
        <v>6800</v>
      </c>
      <c r="E93" s="157">
        <v>0</v>
      </c>
      <c r="F93" s="157">
        <v>0</v>
      </c>
      <c r="G93" s="157">
        <v>0</v>
      </c>
      <c r="H93" s="157">
        <v>2000</v>
      </c>
      <c r="I93" s="157">
        <v>0</v>
      </c>
      <c r="J93" s="157">
        <v>0</v>
      </c>
      <c r="K93" s="157">
        <v>0</v>
      </c>
      <c r="L93" s="157">
        <v>0</v>
      </c>
      <c r="M93" s="157">
        <v>0</v>
      </c>
      <c r="N93" s="156">
        <f>SUM(D93:M93)</f>
        <v>8800</v>
      </c>
      <c r="P93" s="134">
        <v>8800</v>
      </c>
    </row>
    <row r="94" spans="1:16" ht="15" customHeight="1" x14ac:dyDescent="0.15">
      <c r="A94" s="125" t="s">
        <v>503</v>
      </c>
      <c r="B94" s="162" t="s">
        <v>504</v>
      </c>
      <c r="C94" s="163" t="s">
        <v>122</v>
      </c>
      <c r="D94" s="164">
        <v>39302.01</v>
      </c>
      <c r="E94" s="165">
        <v>32502.01</v>
      </c>
      <c r="F94" s="165">
        <v>32502.01</v>
      </c>
      <c r="G94" s="165">
        <v>32502</v>
      </c>
      <c r="H94" s="165">
        <v>34502.01</v>
      </c>
      <c r="I94" s="165">
        <v>32502.01</v>
      </c>
      <c r="J94" s="165">
        <v>32502.01</v>
      </c>
      <c r="K94" s="165">
        <v>31158.38</v>
      </c>
      <c r="L94" s="165">
        <v>32166.1</v>
      </c>
      <c r="M94" s="165">
        <v>32166.080000000002</v>
      </c>
      <c r="N94" s="164"/>
      <c r="O94" s="166"/>
      <c r="P94" s="190">
        <f>P88+P93</f>
        <v>331804.62000000005</v>
      </c>
    </row>
    <row r="95" spans="1:16" ht="15" customHeight="1" x14ac:dyDescent="0.15">
      <c r="B95" s="144" t="s">
        <v>505</v>
      </c>
      <c r="C95" s="145" t="s">
        <v>123</v>
      </c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</row>
    <row r="96" spans="1:16" ht="15" customHeight="1" x14ac:dyDescent="0.15">
      <c r="B96" s="144" t="s">
        <v>506</v>
      </c>
      <c r="C96" s="145" t="s">
        <v>124</v>
      </c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</row>
    <row r="97" spans="1:16" ht="15" customHeight="1" x14ac:dyDescent="0.15">
      <c r="B97" s="144" t="s">
        <v>507</v>
      </c>
      <c r="C97" s="145" t="s">
        <v>125</v>
      </c>
      <c r="D97" s="150">
        <v>7931.5</v>
      </c>
      <c r="E97" s="151">
        <v>7931.5</v>
      </c>
      <c r="F97" s="151">
        <v>7931.5</v>
      </c>
      <c r="G97" s="151">
        <v>7931.5</v>
      </c>
      <c r="H97" s="151">
        <v>8664.83</v>
      </c>
      <c r="I97" s="151">
        <v>8664.83</v>
      </c>
      <c r="J97" s="151">
        <v>5508.33</v>
      </c>
      <c r="K97" s="151">
        <v>5508.33</v>
      </c>
      <c r="L97" s="151">
        <v>21734.78</v>
      </c>
      <c r="M97" s="151">
        <v>4859.28</v>
      </c>
      <c r="N97" s="150"/>
    </row>
    <row r="98" spans="1:16" ht="15" customHeight="1" x14ac:dyDescent="0.15">
      <c r="B98" s="144" t="s">
        <v>508</v>
      </c>
      <c r="C98" s="145" t="s">
        <v>126</v>
      </c>
      <c r="D98" s="150">
        <v>128.9</v>
      </c>
      <c r="E98" s="151">
        <v>128.9</v>
      </c>
      <c r="F98" s="151">
        <v>128.9</v>
      </c>
      <c r="G98" s="151">
        <v>128.9</v>
      </c>
      <c r="H98" s="151">
        <v>128.9</v>
      </c>
      <c r="I98" s="151">
        <v>128.9</v>
      </c>
      <c r="J98" s="151">
        <v>128.9</v>
      </c>
      <c r="K98" s="151">
        <v>128.9</v>
      </c>
      <c r="L98" s="151">
        <v>128.9</v>
      </c>
      <c r="M98" s="151">
        <v>128.9</v>
      </c>
      <c r="N98" s="150"/>
    </row>
    <row r="99" spans="1:16" ht="15" customHeight="1" x14ac:dyDescent="0.15">
      <c r="B99" s="144" t="s">
        <v>509</v>
      </c>
      <c r="C99" s="145" t="s">
        <v>127</v>
      </c>
      <c r="D99" s="154">
        <v>2324.83</v>
      </c>
      <c r="E99" s="155">
        <v>2324.83</v>
      </c>
      <c r="F99" s="155">
        <v>2324.83</v>
      </c>
      <c r="G99" s="155">
        <v>2324.83</v>
      </c>
      <c r="H99" s="155">
        <v>2432.5500000000002</v>
      </c>
      <c r="I99" s="155">
        <v>2432.5500000000002</v>
      </c>
      <c r="J99" s="155">
        <v>2432.5500000000002</v>
      </c>
      <c r="K99" s="151">
        <v>2432.5500000000002</v>
      </c>
      <c r="L99" s="151">
        <v>2432.5500000000002</v>
      </c>
      <c r="M99" s="151">
        <v>2432.5500000000002</v>
      </c>
      <c r="N99" s="154"/>
    </row>
    <row r="100" spans="1:16" ht="15" customHeight="1" x14ac:dyDescent="0.15">
      <c r="B100" s="144" t="s">
        <v>510</v>
      </c>
      <c r="C100" s="145" t="s">
        <v>129</v>
      </c>
      <c r="D100" s="156">
        <v>10385.23</v>
      </c>
      <c r="E100" s="157">
        <v>10385.23</v>
      </c>
      <c r="F100" s="157">
        <v>10385.23</v>
      </c>
      <c r="G100" s="157">
        <v>10385.23</v>
      </c>
      <c r="H100" s="157">
        <v>11226.28</v>
      </c>
      <c r="I100" s="157">
        <v>11226.28</v>
      </c>
      <c r="J100" s="157">
        <v>8069.78</v>
      </c>
      <c r="K100" s="157">
        <v>8069.78</v>
      </c>
      <c r="L100" s="157">
        <v>24296.23</v>
      </c>
      <c r="M100" s="157">
        <v>7420.73</v>
      </c>
      <c r="N100" s="156"/>
    </row>
    <row r="101" spans="1:16" ht="15" customHeight="1" x14ac:dyDescent="0.15">
      <c r="A101" s="125" t="s">
        <v>511</v>
      </c>
      <c r="B101" s="162" t="s">
        <v>512</v>
      </c>
      <c r="C101" s="163" t="s">
        <v>130</v>
      </c>
      <c r="D101" s="164">
        <v>10385.23</v>
      </c>
      <c r="E101" s="165">
        <v>10385.23</v>
      </c>
      <c r="F101" s="165">
        <v>10385.23</v>
      </c>
      <c r="G101" s="165">
        <v>10385.23</v>
      </c>
      <c r="H101" s="165">
        <v>11226.28</v>
      </c>
      <c r="I101" s="165">
        <v>11226.28</v>
      </c>
      <c r="J101" s="165">
        <v>8069.78</v>
      </c>
      <c r="K101" s="165">
        <v>8069.78</v>
      </c>
      <c r="L101" s="165">
        <v>24296.23</v>
      </c>
      <c r="M101" s="165">
        <v>7420.73</v>
      </c>
      <c r="N101" s="164">
        <f>SUM(D101:M101)</f>
        <v>111849.99999999999</v>
      </c>
      <c r="O101" s="166"/>
      <c r="P101" s="133">
        <f>N101*103%</f>
        <v>115205.49999999999</v>
      </c>
    </row>
    <row r="102" spans="1:16" ht="15" customHeight="1" x14ac:dyDescent="0.15">
      <c r="B102" s="144" t="s">
        <v>513</v>
      </c>
      <c r="C102" s="145" t="s">
        <v>131</v>
      </c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</row>
    <row r="103" spans="1:16" ht="15" customHeight="1" x14ac:dyDescent="0.15">
      <c r="B103" s="144" t="s">
        <v>514</v>
      </c>
      <c r="C103" s="145" t="s">
        <v>136</v>
      </c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</row>
    <row r="104" spans="1:16" ht="15" customHeight="1" x14ac:dyDescent="0.15">
      <c r="B104" s="144" t="s">
        <v>515</v>
      </c>
      <c r="C104" s="145" t="s">
        <v>137</v>
      </c>
      <c r="D104" s="154">
        <v>8253.2900000000009</v>
      </c>
      <c r="E104" s="155">
        <v>6906.04</v>
      </c>
      <c r="F104" s="155">
        <v>5141.93</v>
      </c>
      <c r="G104" s="155">
        <v>7009.87</v>
      </c>
      <c r="H104" s="155">
        <v>5354.47</v>
      </c>
      <c r="I104" s="155">
        <v>6089.1</v>
      </c>
      <c r="J104" s="155">
        <v>5349.05</v>
      </c>
      <c r="K104" s="155">
        <v>5420.85</v>
      </c>
      <c r="L104" s="155">
        <v>5410.04</v>
      </c>
      <c r="M104" s="155">
        <v>5484.89</v>
      </c>
      <c r="N104" s="154"/>
    </row>
    <row r="105" spans="1:16" ht="15" customHeight="1" x14ac:dyDescent="0.15">
      <c r="B105" s="144" t="s">
        <v>516</v>
      </c>
      <c r="C105" s="145" t="s">
        <v>138</v>
      </c>
      <c r="D105" s="156">
        <v>8253.2900000000009</v>
      </c>
      <c r="E105" s="157">
        <v>6906.04</v>
      </c>
      <c r="F105" s="157">
        <v>5141.93</v>
      </c>
      <c r="G105" s="157">
        <v>7009.87</v>
      </c>
      <c r="H105" s="157">
        <v>5354.47</v>
      </c>
      <c r="I105" s="157">
        <v>6089.1</v>
      </c>
      <c r="J105" s="157">
        <v>5349.05</v>
      </c>
      <c r="K105" s="157">
        <v>5420.85</v>
      </c>
      <c r="L105" s="157">
        <v>5410.04</v>
      </c>
      <c r="M105" s="157">
        <v>5484.89</v>
      </c>
      <c r="N105" s="156"/>
    </row>
    <row r="106" spans="1:16" ht="15" customHeight="1" x14ac:dyDescent="0.15">
      <c r="A106" s="125" t="s">
        <v>517</v>
      </c>
      <c r="B106" s="162" t="s">
        <v>518</v>
      </c>
      <c r="C106" s="163" t="s">
        <v>139</v>
      </c>
      <c r="D106" s="164">
        <v>8253.2900000000009</v>
      </c>
      <c r="E106" s="165">
        <v>6906.04</v>
      </c>
      <c r="F106" s="165">
        <v>5141.93</v>
      </c>
      <c r="G106" s="165">
        <v>7009.87</v>
      </c>
      <c r="H106" s="165">
        <v>5354.47</v>
      </c>
      <c r="I106" s="165">
        <v>6089.1</v>
      </c>
      <c r="J106" s="165">
        <v>5349.05</v>
      </c>
      <c r="K106" s="165">
        <v>5420.85</v>
      </c>
      <c r="L106" s="165">
        <v>5410.04</v>
      </c>
      <c r="M106" s="165">
        <v>5484.89</v>
      </c>
      <c r="N106" s="164">
        <f>SUM(D106:M106)</f>
        <v>60419.530000000006</v>
      </c>
      <c r="O106" s="166"/>
      <c r="P106" s="133">
        <f>N106*103%</f>
        <v>62232.115900000004</v>
      </c>
    </row>
    <row r="107" spans="1:16" ht="15" customHeight="1" x14ac:dyDescent="0.15">
      <c r="B107" s="144" t="s">
        <v>519</v>
      </c>
      <c r="C107" s="145" t="s">
        <v>140</v>
      </c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</row>
    <row r="108" spans="1:16" ht="15" customHeight="1" x14ac:dyDescent="0.15">
      <c r="B108" s="144" t="s">
        <v>520</v>
      </c>
      <c r="C108" s="145" t="s">
        <v>141</v>
      </c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</row>
    <row r="109" spans="1:16" ht="15" customHeight="1" x14ac:dyDescent="0.15">
      <c r="B109" s="144" t="s">
        <v>521</v>
      </c>
      <c r="C109" s="145" t="s">
        <v>143</v>
      </c>
      <c r="D109" s="150">
        <v>0</v>
      </c>
      <c r="E109" s="151">
        <v>50</v>
      </c>
      <c r="F109" s="151">
        <v>50.49</v>
      </c>
      <c r="G109" s="151">
        <v>20</v>
      </c>
      <c r="H109" s="151">
        <v>44</v>
      </c>
      <c r="I109" s="151">
        <v>76.84</v>
      </c>
      <c r="J109" s="151">
        <v>34</v>
      </c>
      <c r="K109" s="151">
        <v>76.22</v>
      </c>
      <c r="L109" s="151">
        <v>34</v>
      </c>
      <c r="M109" s="151">
        <v>18</v>
      </c>
      <c r="N109" s="150"/>
    </row>
    <row r="110" spans="1:16" ht="15" customHeight="1" x14ac:dyDescent="0.15">
      <c r="B110" s="144" t="s">
        <v>522</v>
      </c>
      <c r="C110" s="145" t="s">
        <v>144</v>
      </c>
      <c r="D110" s="154">
        <v>1194.8599999999999</v>
      </c>
      <c r="E110" s="155">
        <v>1355.85</v>
      </c>
      <c r="F110" s="155">
        <v>1231.8</v>
      </c>
      <c r="G110" s="155">
        <v>1209.19</v>
      </c>
      <c r="H110" s="155">
        <v>1576.26</v>
      </c>
      <c r="I110" s="155">
        <v>1288.6099999999999</v>
      </c>
      <c r="J110" s="155">
        <v>629.42999999999995</v>
      </c>
      <c r="K110" s="151">
        <v>1992.34</v>
      </c>
      <c r="L110" s="151">
        <v>1029.8800000000001</v>
      </c>
      <c r="M110" s="151">
        <v>1149.23</v>
      </c>
      <c r="N110" s="154"/>
    </row>
    <row r="111" spans="1:16" ht="15" customHeight="1" x14ac:dyDescent="0.15">
      <c r="B111" s="144" t="s">
        <v>523</v>
      </c>
      <c r="C111" s="145" t="s">
        <v>146</v>
      </c>
      <c r="D111" s="158">
        <v>1194.8599999999999</v>
      </c>
      <c r="E111" s="159">
        <v>1405.85</v>
      </c>
      <c r="F111" s="159">
        <v>1282.29</v>
      </c>
      <c r="G111" s="159">
        <v>1229.19</v>
      </c>
      <c r="H111" s="159">
        <v>1620.26</v>
      </c>
      <c r="I111" s="159">
        <v>1365.45</v>
      </c>
      <c r="J111" s="159">
        <v>663.43</v>
      </c>
      <c r="K111" s="159">
        <v>2068.56</v>
      </c>
      <c r="L111" s="159">
        <v>1063.8800000000001</v>
      </c>
      <c r="M111" s="159">
        <v>1167.23</v>
      </c>
      <c r="N111" s="158">
        <f>SUM(D111:M111)</f>
        <v>13061</v>
      </c>
      <c r="P111" s="134">
        <v>13000</v>
      </c>
    </row>
    <row r="112" spans="1:16" ht="15" customHeight="1" x14ac:dyDescent="0.15">
      <c r="B112" s="152" t="s">
        <v>524</v>
      </c>
      <c r="C112" s="153" t="s">
        <v>149</v>
      </c>
      <c r="E112" s="151">
        <v>0</v>
      </c>
      <c r="F112" s="151">
        <v>0</v>
      </c>
      <c r="G112" s="151">
        <v>0</v>
      </c>
      <c r="H112" s="151">
        <v>0</v>
      </c>
      <c r="I112" s="151">
        <v>122.9</v>
      </c>
      <c r="J112" s="151"/>
      <c r="K112" s="151">
        <v>0</v>
      </c>
      <c r="L112" s="151">
        <v>0</v>
      </c>
      <c r="M112" s="151">
        <v>0</v>
      </c>
      <c r="N112" s="158">
        <f t="shared" ref="N112:N115" si="4">SUM(D112:M112)</f>
        <v>122.9</v>
      </c>
      <c r="P112" s="134">
        <v>150</v>
      </c>
    </row>
    <row r="113" spans="1:16" ht="15" customHeight="1" x14ac:dyDescent="0.15">
      <c r="B113" s="152" t="s">
        <v>525</v>
      </c>
      <c r="C113" s="153" t="s">
        <v>150</v>
      </c>
      <c r="E113" s="151">
        <v>0</v>
      </c>
      <c r="F113" s="151">
        <v>0</v>
      </c>
      <c r="G113" s="151">
        <v>0</v>
      </c>
      <c r="H113" s="151">
        <v>0</v>
      </c>
      <c r="I113" s="151">
        <v>122.9</v>
      </c>
      <c r="J113" s="151"/>
      <c r="K113" s="151">
        <v>0</v>
      </c>
      <c r="L113" s="151">
        <v>0</v>
      </c>
      <c r="M113" s="151">
        <v>0</v>
      </c>
      <c r="N113" s="158">
        <f t="shared" si="4"/>
        <v>122.9</v>
      </c>
    </row>
    <row r="114" spans="1:16" ht="15" customHeight="1" x14ac:dyDescent="0.15">
      <c r="B114" s="144" t="s">
        <v>526</v>
      </c>
      <c r="C114" s="145" t="s">
        <v>151</v>
      </c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</row>
    <row r="115" spans="1:16" ht="15" customHeight="1" x14ac:dyDescent="0.15">
      <c r="B115" s="144" t="s">
        <v>527</v>
      </c>
      <c r="C115" s="145" t="s">
        <v>152</v>
      </c>
      <c r="D115" s="154">
        <v>-25298.49</v>
      </c>
      <c r="E115" s="155">
        <v>0</v>
      </c>
      <c r="F115" s="155">
        <v>0</v>
      </c>
      <c r="G115" s="155">
        <v>0</v>
      </c>
      <c r="H115" s="155">
        <v>0</v>
      </c>
      <c r="I115" s="155">
        <v>0</v>
      </c>
      <c r="J115" s="155">
        <v>0</v>
      </c>
      <c r="K115" s="155">
        <v>0</v>
      </c>
      <c r="L115" s="155">
        <v>0</v>
      </c>
      <c r="M115" s="155">
        <v>0</v>
      </c>
      <c r="N115" s="158">
        <f t="shared" si="4"/>
        <v>-25298.49</v>
      </c>
    </row>
    <row r="116" spans="1:16" ht="15" customHeight="1" x14ac:dyDescent="0.15">
      <c r="B116" s="144" t="s">
        <v>528</v>
      </c>
      <c r="C116" s="145" t="s">
        <v>153</v>
      </c>
      <c r="D116" s="156">
        <v>-25298.49</v>
      </c>
      <c r="E116" s="157">
        <v>0</v>
      </c>
      <c r="F116" s="157">
        <v>0</v>
      </c>
      <c r="G116" s="157">
        <v>0</v>
      </c>
      <c r="H116" s="157">
        <v>0</v>
      </c>
      <c r="I116" s="157">
        <v>0</v>
      </c>
      <c r="J116" s="157">
        <v>0</v>
      </c>
      <c r="K116" s="157">
        <v>0</v>
      </c>
      <c r="L116" s="157">
        <v>0</v>
      </c>
      <c r="M116" s="157">
        <v>0</v>
      </c>
      <c r="N116" s="156"/>
    </row>
    <row r="117" spans="1:16" ht="15" customHeight="1" x14ac:dyDescent="0.15">
      <c r="A117" s="125" t="s">
        <v>529</v>
      </c>
      <c r="B117" s="162" t="s">
        <v>530</v>
      </c>
      <c r="C117" s="163" t="s">
        <v>154</v>
      </c>
      <c r="D117" s="164">
        <v>-24103.63</v>
      </c>
      <c r="E117" s="165">
        <v>1405.85</v>
      </c>
      <c r="F117" s="165">
        <v>1282.29</v>
      </c>
      <c r="G117" s="165">
        <v>1229.19</v>
      </c>
      <c r="H117" s="165">
        <v>1620.26</v>
      </c>
      <c r="I117" s="165">
        <v>1488.35</v>
      </c>
      <c r="J117" s="165">
        <v>663.43</v>
      </c>
      <c r="K117" s="165">
        <v>2068.56</v>
      </c>
      <c r="L117" s="165">
        <v>1063.8800000000001</v>
      </c>
      <c r="M117" s="165">
        <v>1167.23</v>
      </c>
      <c r="N117" s="164">
        <f>SUM(D117:M117)</f>
        <v>-12114.590000000007</v>
      </c>
      <c r="O117" s="166"/>
      <c r="P117" s="133">
        <f>P111+P112</f>
        <v>13150</v>
      </c>
    </row>
    <row r="118" spans="1:16" ht="15" customHeight="1" x14ac:dyDescent="0.15">
      <c r="A118" s="125"/>
      <c r="B118" s="152" t="s">
        <v>531</v>
      </c>
      <c r="C118" s="153" t="s">
        <v>532</v>
      </c>
      <c r="D118" s="167"/>
      <c r="E118" s="167"/>
      <c r="F118" s="167"/>
      <c r="G118" s="151"/>
      <c r="H118" s="151"/>
      <c r="I118" s="151"/>
      <c r="J118" s="151"/>
      <c r="K118" s="151"/>
      <c r="L118" s="151"/>
      <c r="M118" s="151"/>
      <c r="N118" s="150"/>
    </row>
    <row r="119" spans="1:16" ht="15" customHeight="1" x14ac:dyDescent="0.15">
      <c r="A119" s="125"/>
      <c r="B119" s="152" t="s">
        <v>533</v>
      </c>
      <c r="C119" s="153" t="s">
        <v>155</v>
      </c>
      <c r="D119" s="167"/>
      <c r="E119" s="167"/>
      <c r="F119" s="167"/>
      <c r="G119" s="151"/>
      <c r="H119" s="151"/>
      <c r="I119" s="151"/>
      <c r="J119" s="151"/>
      <c r="K119" s="151"/>
      <c r="L119" s="151"/>
      <c r="M119" s="151"/>
      <c r="N119" s="150"/>
    </row>
    <row r="120" spans="1:16" ht="15" customHeight="1" x14ac:dyDescent="0.15">
      <c r="A120" s="125"/>
      <c r="B120" s="152" t="s">
        <v>534</v>
      </c>
      <c r="C120" s="153" t="s">
        <v>156</v>
      </c>
      <c r="E120" s="151">
        <v>0</v>
      </c>
      <c r="F120" s="151">
        <v>0</v>
      </c>
      <c r="G120" s="151">
        <v>0</v>
      </c>
      <c r="H120" s="151">
        <v>0</v>
      </c>
      <c r="I120" s="151">
        <v>0</v>
      </c>
      <c r="J120" s="151">
        <v>0</v>
      </c>
      <c r="K120" s="151"/>
      <c r="L120" s="151"/>
      <c r="M120" s="151"/>
      <c r="N120" s="151"/>
    </row>
    <row r="121" spans="1:16" ht="15" customHeight="1" x14ac:dyDescent="0.15">
      <c r="A121" s="125"/>
      <c r="B121" s="152" t="s">
        <v>535</v>
      </c>
      <c r="C121" s="153" t="s">
        <v>157</v>
      </c>
      <c r="E121" s="155">
        <v>250</v>
      </c>
      <c r="F121" s="155">
        <v>0</v>
      </c>
      <c r="G121" s="155">
        <v>0</v>
      </c>
      <c r="H121" s="155">
        <v>0</v>
      </c>
      <c r="I121" s="155">
        <v>0</v>
      </c>
      <c r="J121" s="155">
        <v>0</v>
      </c>
      <c r="K121" s="155">
        <v>0</v>
      </c>
      <c r="L121" s="155">
        <v>0</v>
      </c>
      <c r="M121" s="155">
        <v>0</v>
      </c>
      <c r="N121" s="155"/>
      <c r="P121" s="134">
        <v>250</v>
      </c>
    </row>
    <row r="122" spans="1:16" ht="15" customHeight="1" x14ac:dyDescent="0.15">
      <c r="A122" s="125"/>
      <c r="B122" s="152" t="s">
        <v>536</v>
      </c>
      <c r="C122" s="153" t="s">
        <v>158</v>
      </c>
      <c r="E122" s="157">
        <v>250</v>
      </c>
      <c r="F122" s="157">
        <v>0</v>
      </c>
      <c r="G122" s="157">
        <v>0</v>
      </c>
      <c r="H122" s="157">
        <v>0</v>
      </c>
      <c r="I122" s="157">
        <v>0</v>
      </c>
      <c r="J122" s="157">
        <v>0</v>
      </c>
      <c r="K122" s="157">
        <v>0</v>
      </c>
      <c r="L122" s="157">
        <v>0</v>
      </c>
      <c r="M122" s="157">
        <v>0</v>
      </c>
      <c r="N122" s="157"/>
    </row>
    <row r="123" spans="1:16" ht="15" customHeight="1" x14ac:dyDescent="0.15">
      <c r="A123" s="125"/>
      <c r="B123" s="168" t="s">
        <v>537</v>
      </c>
      <c r="C123" s="169" t="s">
        <v>159</v>
      </c>
      <c r="D123" s="133"/>
      <c r="E123" s="165">
        <v>250</v>
      </c>
      <c r="F123" s="165">
        <v>0</v>
      </c>
      <c r="G123" s="165">
        <v>0</v>
      </c>
      <c r="H123" s="165">
        <v>0</v>
      </c>
      <c r="I123" s="165">
        <v>0</v>
      </c>
      <c r="J123" s="165">
        <v>0</v>
      </c>
      <c r="K123" s="165">
        <v>0</v>
      </c>
      <c r="L123" s="165">
        <v>0</v>
      </c>
      <c r="M123" s="165">
        <v>0</v>
      </c>
      <c r="N123" s="165"/>
      <c r="O123" s="166"/>
      <c r="P123" s="133">
        <f>P121</f>
        <v>250</v>
      </c>
    </row>
    <row r="124" spans="1:16" ht="15" customHeight="1" x14ac:dyDescent="0.15">
      <c r="A124" s="125"/>
      <c r="B124" s="152" t="s">
        <v>538</v>
      </c>
      <c r="C124" s="153" t="s">
        <v>160</v>
      </c>
      <c r="F124" s="167"/>
      <c r="G124" s="167"/>
      <c r="H124" s="167"/>
      <c r="I124" s="167"/>
      <c r="J124" s="167"/>
      <c r="K124" s="167"/>
      <c r="L124" s="167"/>
      <c r="M124" s="167"/>
      <c r="N124" s="167"/>
    </row>
    <row r="125" spans="1:16" ht="15" customHeight="1" x14ac:dyDescent="0.15">
      <c r="A125" s="125"/>
      <c r="B125" s="152" t="s">
        <v>539</v>
      </c>
      <c r="C125" s="153" t="s">
        <v>161</v>
      </c>
      <c r="F125" s="167"/>
      <c r="G125" s="167"/>
      <c r="H125" s="167"/>
      <c r="I125" s="167"/>
      <c r="J125" s="167"/>
      <c r="K125" s="167"/>
      <c r="L125" s="167"/>
      <c r="M125" s="167"/>
      <c r="N125" s="167"/>
    </row>
    <row r="126" spans="1:16" ht="15" customHeight="1" x14ac:dyDescent="0.15">
      <c r="A126" s="125"/>
      <c r="B126" s="152" t="s">
        <v>540</v>
      </c>
      <c r="C126" s="153" t="s">
        <v>167</v>
      </c>
      <c r="E126" s="155">
        <v>3350</v>
      </c>
      <c r="F126" s="155">
        <v>86</v>
      </c>
      <c r="G126" s="155">
        <v>0</v>
      </c>
      <c r="H126" s="155">
        <v>0</v>
      </c>
      <c r="I126" s="155">
        <v>566.57000000000005</v>
      </c>
      <c r="J126" s="155">
        <v>0</v>
      </c>
      <c r="K126" s="155">
        <v>0</v>
      </c>
      <c r="L126" s="155">
        <v>0</v>
      </c>
      <c r="M126" s="155">
        <v>212</v>
      </c>
      <c r="N126" s="155"/>
      <c r="P126" s="134">
        <v>6500</v>
      </c>
    </row>
    <row r="127" spans="1:16" ht="15" customHeight="1" x14ac:dyDescent="0.15">
      <c r="A127" s="125"/>
      <c r="B127" s="152" t="s">
        <v>541</v>
      </c>
      <c r="C127" s="153" t="s">
        <v>168</v>
      </c>
      <c r="E127" s="159">
        <v>3350</v>
      </c>
      <c r="F127" s="159">
        <v>86</v>
      </c>
      <c r="G127" s="159">
        <v>0</v>
      </c>
      <c r="H127" s="159">
        <v>0</v>
      </c>
      <c r="I127" s="159">
        <v>566.57000000000005</v>
      </c>
      <c r="J127" s="159">
        <v>0</v>
      </c>
      <c r="K127" s="159"/>
      <c r="L127" s="159"/>
      <c r="M127" s="159"/>
      <c r="N127" s="159"/>
    </row>
    <row r="128" spans="1:16" ht="15" customHeight="1" x14ac:dyDescent="0.15">
      <c r="B128" s="144" t="s">
        <v>542</v>
      </c>
      <c r="C128" s="145" t="s">
        <v>169</v>
      </c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</row>
    <row r="129" spans="1:16" ht="15" customHeight="1" x14ac:dyDescent="0.15">
      <c r="B129" s="144" t="s">
        <v>543</v>
      </c>
      <c r="C129" s="145" t="s">
        <v>172</v>
      </c>
      <c r="D129" s="154">
        <v>1875</v>
      </c>
      <c r="E129" s="155">
        <v>1875</v>
      </c>
      <c r="F129" s="155">
        <v>1875</v>
      </c>
      <c r="G129" s="155">
        <v>1875</v>
      </c>
      <c r="H129" s="155">
        <v>2025</v>
      </c>
      <c r="I129" s="155">
        <v>3250</v>
      </c>
      <c r="J129" s="155">
        <v>1950</v>
      </c>
      <c r="K129" s="155">
        <v>1300</v>
      </c>
      <c r="L129" s="155">
        <v>1950</v>
      </c>
      <c r="M129" s="155">
        <v>2050</v>
      </c>
      <c r="N129" s="154"/>
      <c r="P129" s="134">
        <v>22000</v>
      </c>
    </row>
    <row r="130" spans="1:16" ht="15" customHeight="1" x14ac:dyDescent="0.15">
      <c r="B130" s="144" t="s">
        <v>544</v>
      </c>
      <c r="C130" s="145" t="s">
        <v>173</v>
      </c>
      <c r="D130" s="158">
        <v>1875</v>
      </c>
      <c r="E130" s="159">
        <v>1875</v>
      </c>
      <c r="F130" s="159">
        <v>1875</v>
      </c>
      <c r="G130" s="159">
        <v>1875</v>
      </c>
      <c r="H130" s="159">
        <v>2025</v>
      </c>
      <c r="I130" s="159">
        <v>3250</v>
      </c>
      <c r="J130" s="159">
        <v>1950</v>
      </c>
      <c r="K130" s="159">
        <v>1300</v>
      </c>
      <c r="L130" s="159">
        <v>1950</v>
      </c>
      <c r="M130" s="159">
        <v>2050</v>
      </c>
      <c r="N130" s="158"/>
    </row>
    <row r="131" spans="1:16" ht="15" customHeight="1" x14ac:dyDescent="0.15">
      <c r="B131" s="144" t="s">
        <v>545</v>
      </c>
      <c r="C131" s="145" t="s">
        <v>174</v>
      </c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</row>
    <row r="132" spans="1:16" ht="15" customHeight="1" x14ac:dyDescent="0.15">
      <c r="B132" s="144" t="s">
        <v>546</v>
      </c>
      <c r="C132" s="145" t="s">
        <v>175</v>
      </c>
      <c r="D132" s="154">
        <v>515.04</v>
      </c>
      <c r="E132" s="155">
        <v>0</v>
      </c>
      <c r="F132" s="155">
        <v>0</v>
      </c>
      <c r="G132" s="155">
        <v>0</v>
      </c>
      <c r="H132" s="155">
        <v>0</v>
      </c>
      <c r="I132" s="155">
        <v>1500</v>
      </c>
      <c r="J132" s="155">
        <v>1500</v>
      </c>
      <c r="K132" s="155">
        <v>1500</v>
      </c>
      <c r="L132" s="155">
        <v>1500</v>
      </c>
      <c r="M132" s="155">
        <v>5250</v>
      </c>
      <c r="N132" s="154"/>
      <c r="P132" s="134">
        <v>10000</v>
      </c>
    </row>
    <row r="133" spans="1:16" ht="15" customHeight="1" x14ac:dyDescent="0.15">
      <c r="B133" s="144" t="s">
        <v>547</v>
      </c>
      <c r="C133" s="145" t="s">
        <v>176</v>
      </c>
      <c r="D133" s="156">
        <v>515.04</v>
      </c>
      <c r="E133" s="157">
        <v>0</v>
      </c>
      <c r="F133" s="157">
        <v>0</v>
      </c>
      <c r="G133" s="157">
        <v>0</v>
      </c>
      <c r="H133" s="157">
        <v>0</v>
      </c>
      <c r="I133" s="157">
        <v>1500</v>
      </c>
      <c r="J133" s="157">
        <v>1500</v>
      </c>
      <c r="K133" s="157">
        <v>1500</v>
      </c>
      <c r="L133" s="157">
        <v>1500</v>
      </c>
      <c r="M133" s="157">
        <v>5250</v>
      </c>
      <c r="N133" s="156"/>
    </row>
    <row r="134" spans="1:16" ht="15" customHeight="1" x14ac:dyDescent="0.15">
      <c r="A134" s="125" t="s">
        <v>529</v>
      </c>
      <c r="B134" s="162" t="s">
        <v>548</v>
      </c>
      <c r="C134" s="163" t="s">
        <v>177</v>
      </c>
      <c r="D134" s="164">
        <v>2390.04</v>
      </c>
      <c r="E134" s="165">
        <v>5225</v>
      </c>
      <c r="F134" s="165">
        <v>1961</v>
      </c>
      <c r="G134" s="165">
        <v>1875</v>
      </c>
      <c r="H134" s="165">
        <v>2025</v>
      </c>
      <c r="I134" s="165">
        <v>5316.57</v>
      </c>
      <c r="J134" s="165">
        <v>3450</v>
      </c>
      <c r="K134" s="165">
        <v>2800</v>
      </c>
      <c r="L134" s="165">
        <v>3450</v>
      </c>
      <c r="M134" s="165">
        <v>7512</v>
      </c>
      <c r="N134" s="164"/>
      <c r="O134" s="166"/>
      <c r="P134" s="133">
        <f>P126+P129+P132</f>
        <v>38500</v>
      </c>
    </row>
    <row r="135" spans="1:16" ht="15" customHeight="1" x14ac:dyDescent="0.15">
      <c r="B135" s="144" t="s">
        <v>549</v>
      </c>
      <c r="C135" s="145" t="s">
        <v>183</v>
      </c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</row>
    <row r="136" spans="1:16" ht="15" customHeight="1" x14ac:dyDescent="0.15">
      <c r="B136" s="144" t="s">
        <v>550</v>
      </c>
      <c r="C136" s="145" t="s">
        <v>190</v>
      </c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</row>
    <row r="137" spans="1:16" ht="15" customHeight="1" x14ac:dyDescent="0.15">
      <c r="B137" s="144" t="s">
        <v>551</v>
      </c>
      <c r="C137" s="145" t="s">
        <v>191</v>
      </c>
      <c r="D137" s="154">
        <v>2926</v>
      </c>
      <c r="E137" s="155">
        <v>0</v>
      </c>
      <c r="F137" s="155">
        <v>0</v>
      </c>
      <c r="G137" s="155">
        <v>2926</v>
      </c>
      <c r="H137" s="155">
        <v>0</v>
      </c>
      <c r="I137" s="155">
        <v>1463</v>
      </c>
      <c r="J137" s="155">
        <v>0</v>
      </c>
      <c r="K137" s="155">
        <v>0</v>
      </c>
      <c r="L137" s="155">
        <v>0</v>
      </c>
      <c r="M137" s="155">
        <v>0</v>
      </c>
      <c r="N137" s="154"/>
    </row>
    <row r="138" spans="1:16" ht="15" customHeight="1" x14ac:dyDescent="0.15">
      <c r="B138" s="144" t="s">
        <v>552</v>
      </c>
      <c r="C138" s="145" t="s">
        <v>192</v>
      </c>
      <c r="D138" s="156">
        <v>2926</v>
      </c>
      <c r="E138" s="157">
        <v>0</v>
      </c>
      <c r="F138" s="157">
        <v>0</v>
      </c>
      <c r="G138" s="157">
        <v>2926</v>
      </c>
      <c r="H138" s="157">
        <v>0</v>
      </c>
      <c r="I138" s="157">
        <v>1463</v>
      </c>
      <c r="J138" s="157">
        <v>0</v>
      </c>
      <c r="K138" s="157">
        <v>0</v>
      </c>
      <c r="L138" s="157">
        <v>0</v>
      </c>
      <c r="M138" s="157">
        <v>0</v>
      </c>
      <c r="N138" s="156"/>
    </row>
    <row r="139" spans="1:16" ht="15" customHeight="1" x14ac:dyDescent="0.15">
      <c r="A139" s="125" t="s">
        <v>529</v>
      </c>
      <c r="B139" s="144" t="s">
        <v>553</v>
      </c>
      <c r="C139" s="145" t="s">
        <v>193</v>
      </c>
      <c r="D139" s="156">
        <v>2926</v>
      </c>
      <c r="E139" s="159">
        <v>0</v>
      </c>
      <c r="F139" s="159">
        <v>0</v>
      </c>
      <c r="G139" s="159">
        <v>2926</v>
      </c>
      <c r="H139" s="159">
        <v>0</v>
      </c>
      <c r="I139" s="159">
        <v>1463</v>
      </c>
      <c r="J139" s="159">
        <v>0</v>
      </c>
      <c r="K139" s="159">
        <v>0</v>
      </c>
      <c r="L139" s="159">
        <v>0</v>
      </c>
      <c r="M139" s="159">
        <v>0</v>
      </c>
      <c r="N139" s="156"/>
      <c r="P139" s="134">
        <v>0</v>
      </c>
    </row>
    <row r="140" spans="1:16" ht="15" customHeight="1" x14ac:dyDescent="0.15">
      <c r="B140" s="162" t="s">
        <v>554</v>
      </c>
      <c r="C140" s="163" t="s">
        <v>208</v>
      </c>
      <c r="D140" s="170">
        <v>108783.56</v>
      </c>
      <c r="E140" s="165">
        <v>115321.95</v>
      </c>
      <c r="F140" s="165">
        <v>159768.64000000001</v>
      </c>
      <c r="G140" s="165">
        <v>65522.720000000001</v>
      </c>
      <c r="H140" s="165">
        <v>151531.92000000001</v>
      </c>
      <c r="I140" s="165">
        <v>174009.52</v>
      </c>
      <c r="J140" s="171">
        <v>131083.81</v>
      </c>
      <c r="K140" s="172">
        <v>84586.67</v>
      </c>
      <c r="L140" s="172">
        <v>176705.53</v>
      </c>
      <c r="M140" s="172">
        <v>110850.15</v>
      </c>
      <c r="N140" s="170"/>
      <c r="O140" s="166"/>
      <c r="P140" s="190">
        <f>P134+P123+P117+P106+P101+P94+P84+P74</f>
        <v>1311837.9952</v>
      </c>
    </row>
    <row r="141" spans="1:16" ht="15" customHeight="1" x14ac:dyDescent="0.15">
      <c r="B141" s="152" t="s">
        <v>555</v>
      </c>
      <c r="C141" s="153" t="s">
        <v>556</v>
      </c>
      <c r="D141" s="167"/>
      <c r="E141" s="167"/>
      <c r="F141" s="167"/>
      <c r="G141" s="159"/>
      <c r="H141" s="159"/>
      <c r="I141" s="159"/>
      <c r="J141" s="159"/>
      <c r="N141" s="156"/>
    </row>
    <row r="142" spans="1:16" ht="15" customHeight="1" x14ac:dyDescent="0.15">
      <c r="B142" s="152" t="s">
        <v>557</v>
      </c>
      <c r="C142" s="153" t="s">
        <v>160</v>
      </c>
      <c r="D142" s="167"/>
      <c r="E142" s="167"/>
      <c r="F142" s="167"/>
      <c r="G142" s="159"/>
      <c r="H142" s="159"/>
      <c r="I142" s="159"/>
      <c r="J142" s="159"/>
      <c r="K142" s="159"/>
      <c r="L142" s="159"/>
      <c r="M142" s="159"/>
      <c r="N142" s="156"/>
    </row>
    <row r="143" spans="1:16" ht="15" customHeight="1" x14ac:dyDescent="0.15">
      <c r="B143" s="152" t="s">
        <v>558</v>
      </c>
      <c r="C143" s="153" t="s">
        <v>161</v>
      </c>
      <c r="D143" s="167"/>
      <c r="E143" s="167"/>
      <c r="F143" s="167"/>
      <c r="G143" s="159"/>
      <c r="H143" s="159"/>
      <c r="I143" s="159"/>
      <c r="J143" s="159"/>
      <c r="K143" s="159"/>
      <c r="L143" s="159"/>
      <c r="M143" s="159"/>
      <c r="N143" s="156"/>
    </row>
    <row r="144" spans="1:16" ht="15" customHeight="1" x14ac:dyDescent="0.15">
      <c r="B144" s="152" t="s">
        <v>559</v>
      </c>
      <c r="C144" s="153" t="s">
        <v>560</v>
      </c>
      <c r="E144" s="155">
        <v>0</v>
      </c>
      <c r="F144" s="155">
        <v>0</v>
      </c>
      <c r="G144" s="155">
        <v>0</v>
      </c>
      <c r="H144" s="155">
        <v>0</v>
      </c>
      <c r="I144" s="155">
        <v>566.57000000000005</v>
      </c>
      <c r="J144" s="155"/>
      <c r="K144" s="155"/>
      <c r="L144" s="155"/>
      <c r="M144" s="155"/>
      <c r="N144" s="156"/>
    </row>
    <row r="145" spans="1:14" ht="15" customHeight="1" x14ac:dyDescent="0.15">
      <c r="B145" s="152" t="s">
        <v>561</v>
      </c>
      <c r="C145" s="153" t="s">
        <v>168</v>
      </c>
      <c r="E145" s="157">
        <v>0</v>
      </c>
      <c r="F145" s="157">
        <v>0</v>
      </c>
      <c r="G145" s="157">
        <v>0</v>
      </c>
      <c r="H145" s="157">
        <v>0</v>
      </c>
      <c r="I145" s="157">
        <v>566.57000000000005</v>
      </c>
      <c r="J145" s="157"/>
      <c r="K145" s="157"/>
      <c r="L145" s="157"/>
      <c r="M145" s="157"/>
      <c r="N145" s="156"/>
    </row>
    <row r="146" spans="1:14" ht="15" customHeight="1" x14ac:dyDescent="0.15">
      <c r="B146" s="152" t="s">
        <v>562</v>
      </c>
      <c r="C146" s="153" t="s">
        <v>177</v>
      </c>
      <c r="E146" s="157">
        <v>0</v>
      </c>
      <c r="F146" s="157">
        <v>0</v>
      </c>
      <c r="G146" s="157">
        <v>0</v>
      </c>
      <c r="H146" s="157">
        <v>0</v>
      </c>
      <c r="I146" s="157">
        <v>566.57000000000005</v>
      </c>
      <c r="J146" s="157"/>
      <c r="K146" s="157"/>
      <c r="L146" s="157"/>
      <c r="M146" s="157"/>
      <c r="N146" s="156"/>
    </row>
    <row r="147" spans="1:14" ht="15" customHeight="1" x14ac:dyDescent="0.15">
      <c r="B147" s="173" t="s">
        <v>563</v>
      </c>
      <c r="C147" s="174" t="s">
        <v>564</v>
      </c>
      <c r="D147" s="126"/>
      <c r="E147" s="175">
        <v>0</v>
      </c>
      <c r="F147" s="175">
        <v>0</v>
      </c>
      <c r="G147" s="175">
        <v>0</v>
      </c>
      <c r="H147" s="175">
        <v>0</v>
      </c>
      <c r="I147" s="175">
        <v>566.57000000000005</v>
      </c>
      <c r="J147" s="175"/>
      <c r="K147" s="175"/>
      <c r="L147" s="175"/>
      <c r="M147" s="175"/>
      <c r="N147" s="176"/>
    </row>
    <row r="148" spans="1:14" ht="15" customHeight="1" x14ac:dyDescent="0.15">
      <c r="A148" s="125" t="s">
        <v>565</v>
      </c>
      <c r="B148" s="146" t="s">
        <v>566</v>
      </c>
      <c r="C148" s="147" t="s">
        <v>209</v>
      </c>
      <c r="D148" s="176">
        <v>108783.56</v>
      </c>
      <c r="E148" s="175">
        <v>115321.95</v>
      </c>
      <c r="F148" s="175">
        <v>159768.64000000001</v>
      </c>
      <c r="G148" s="175">
        <v>65522.720000000001</v>
      </c>
      <c r="H148" s="175">
        <v>151531.92000000001</v>
      </c>
      <c r="I148" s="175">
        <v>174576.09</v>
      </c>
      <c r="J148" s="175">
        <v>131083.81</v>
      </c>
      <c r="K148" s="175">
        <v>84586.67</v>
      </c>
      <c r="L148" s="175">
        <v>176705.53</v>
      </c>
      <c r="M148" s="175">
        <v>110850.15</v>
      </c>
      <c r="N148" s="177"/>
    </row>
    <row r="149" spans="1:14" ht="15" customHeight="1" x14ac:dyDescent="0.15">
      <c r="A149" s="178"/>
      <c r="B149" s="179" t="s">
        <v>567</v>
      </c>
      <c r="C149" s="180" t="s">
        <v>20</v>
      </c>
      <c r="D149" s="177">
        <v>19220.650000000001</v>
      </c>
      <c r="E149" s="161">
        <v>112327</v>
      </c>
      <c r="F149" s="161">
        <v>59421.77</v>
      </c>
      <c r="G149" s="161">
        <v>188279.79</v>
      </c>
      <c r="H149" s="161">
        <v>59065.5</v>
      </c>
      <c r="I149" s="161">
        <v>68987.86</v>
      </c>
      <c r="J149" s="161">
        <v>104430.65</v>
      </c>
      <c r="K149" s="161">
        <v>175250.97</v>
      </c>
      <c r="L149" s="161">
        <v>90894.77</v>
      </c>
      <c r="M149" s="161">
        <v>127741.32</v>
      </c>
      <c r="N149" s="177"/>
    </row>
    <row r="150" spans="1:14" ht="15" customHeight="1" x14ac:dyDescent="0.15">
      <c r="B150" s="144"/>
      <c r="C150" s="145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</row>
    <row r="151" spans="1:14" ht="15" customHeight="1" x14ac:dyDescent="0.15">
      <c r="B151" s="146" t="s">
        <v>568</v>
      </c>
      <c r="C151" s="147" t="s">
        <v>210</v>
      </c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</row>
    <row r="152" spans="1:14" ht="15" customHeight="1" x14ac:dyDescent="0.15">
      <c r="B152" s="144"/>
      <c r="C152" s="145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</row>
    <row r="153" spans="1:14" ht="15" customHeight="1" x14ac:dyDescent="0.15">
      <c r="B153" s="146" t="s">
        <v>569</v>
      </c>
      <c r="C153" s="147" t="s">
        <v>218</v>
      </c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</row>
    <row r="154" spans="1:14" ht="15" customHeight="1" x14ac:dyDescent="0.15">
      <c r="B154" s="144" t="s">
        <v>570</v>
      </c>
      <c r="C154" s="145" t="s">
        <v>219</v>
      </c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</row>
    <row r="155" spans="1:14" ht="15" customHeight="1" x14ac:dyDescent="0.15">
      <c r="B155" s="144" t="s">
        <v>571</v>
      </c>
      <c r="C155" s="145" t="s">
        <v>220</v>
      </c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</row>
    <row r="156" spans="1:14" ht="15" customHeight="1" x14ac:dyDescent="0.15">
      <c r="B156" s="144" t="s">
        <v>572</v>
      </c>
      <c r="C156" s="145" t="s">
        <v>221</v>
      </c>
      <c r="D156" s="154">
        <v>107919.45</v>
      </c>
      <c r="E156" s="155">
        <v>104438.18</v>
      </c>
      <c r="F156" s="155">
        <v>107919.46</v>
      </c>
      <c r="G156" s="155">
        <v>107635.29</v>
      </c>
      <c r="H156" s="155">
        <v>99109.53</v>
      </c>
      <c r="I156" s="155">
        <v>99109.52</v>
      </c>
      <c r="J156" s="155">
        <v>95912.44</v>
      </c>
      <c r="K156" s="155">
        <v>99109.51</v>
      </c>
      <c r="L156" s="155">
        <v>96316.160000000003</v>
      </c>
      <c r="M156" s="155">
        <v>100072.24</v>
      </c>
      <c r="N156" s="154"/>
    </row>
    <row r="157" spans="1:14" ht="15" customHeight="1" x14ac:dyDescent="0.15">
      <c r="A157" s="134" t="s">
        <v>573</v>
      </c>
      <c r="B157" s="144" t="s">
        <v>574</v>
      </c>
      <c r="C157" s="145" t="s">
        <v>222</v>
      </c>
      <c r="D157" s="158">
        <v>107919.45</v>
      </c>
      <c r="E157" s="159">
        <v>104438.18</v>
      </c>
      <c r="F157" s="159">
        <v>107919.46</v>
      </c>
      <c r="G157" s="159">
        <v>107635.29</v>
      </c>
      <c r="H157" s="159">
        <v>99109.53</v>
      </c>
      <c r="I157" s="159">
        <v>99109.52</v>
      </c>
      <c r="J157" s="159">
        <v>95912.44</v>
      </c>
      <c r="K157" s="159">
        <v>99109.51</v>
      </c>
      <c r="L157" s="159">
        <v>96316.160000000003</v>
      </c>
      <c r="M157" s="159">
        <v>100072.24</v>
      </c>
      <c r="N157" s="158"/>
    </row>
    <row r="158" spans="1:14" ht="15" customHeight="1" x14ac:dyDescent="0.15">
      <c r="B158" s="144" t="s">
        <v>575</v>
      </c>
      <c r="C158" s="145" t="s">
        <v>223</v>
      </c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</row>
    <row r="159" spans="1:14" ht="15" customHeight="1" x14ac:dyDescent="0.15">
      <c r="B159" s="144" t="s">
        <v>576</v>
      </c>
      <c r="C159" s="145" t="s">
        <v>224</v>
      </c>
      <c r="D159" s="154">
        <v>-18626.25</v>
      </c>
      <c r="E159" s="155">
        <v>0</v>
      </c>
      <c r="F159" s="155">
        <v>0</v>
      </c>
      <c r="G159" s="155">
        <v>840875.29</v>
      </c>
      <c r="H159" s="155">
        <v>0</v>
      </c>
      <c r="I159" s="155">
        <v>-53317</v>
      </c>
      <c r="J159" s="155">
        <v>0</v>
      </c>
      <c r="K159" s="155">
        <v>-6000</v>
      </c>
      <c r="L159" s="155">
        <v>0</v>
      </c>
      <c r="M159" s="155">
        <v>0</v>
      </c>
      <c r="N159" s="154"/>
    </row>
    <row r="160" spans="1:14" ht="15" customHeight="1" x14ac:dyDescent="0.15">
      <c r="A160" s="134" t="s">
        <v>577</v>
      </c>
      <c r="B160" s="144" t="s">
        <v>578</v>
      </c>
      <c r="C160" s="145" t="s">
        <v>225</v>
      </c>
      <c r="D160" s="156">
        <v>-18626.25</v>
      </c>
      <c r="E160" s="157">
        <v>0</v>
      </c>
      <c r="F160" s="157">
        <v>0</v>
      </c>
      <c r="G160" s="157">
        <v>840875.29</v>
      </c>
      <c r="H160" s="157">
        <v>0</v>
      </c>
      <c r="I160" s="157">
        <v>-53317</v>
      </c>
      <c r="J160" s="157">
        <v>0</v>
      </c>
      <c r="K160" s="157">
        <v>-6000</v>
      </c>
      <c r="L160" s="157">
        <v>0</v>
      </c>
      <c r="M160" s="157">
        <v>0</v>
      </c>
      <c r="N160" s="156"/>
    </row>
    <row r="161" spans="2:14" ht="15" customHeight="1" x14ac:dyDescent="0.15">
      <c r="B161" s="144" t="s">
        <v>579</v>
      </c>
      <c r="C161" s="145" t="s">
        <v>229</v>
      </c>
      <c r="D161" s="158">
        <v>89293.2</v>
      </c>
      <c r="E161" s="159">
        <v>104438.18</v>
      </c>
      <c r="F161" s="159">
        <v>107919.46</v>
      </c>
      <c r="G161" s="159">
        <v>948510.58</v>
      </c>
      <c r="H161" s="159">
        <v>99109.53</v>
      </c>
      <c r="I161" s="159">
        <v>45792.52</v>
      </c>
      <c r="J161" s="159">
        <v>95912.44</v>
      </c>
      <c r="K161" s="159">
        <v>93109.51</v>
      </c>
      <c r="L161" s="159">
        <v>96316.160000000003</v>
      </c>
      <c r="M161" s="159">
        <v>100072.24</v>
      </c>
      <c r="N161" s="158"/>
    </row>
    <row r="162" spans="2:14" ht="15" customHeight="1" x14ac:dyDescent="0.15">
      <c r="B162" s="144" t="s">
        <v>580</v>
      </c>
      <c r="C162" s="145" t="s">
        <v>230</v>
      </c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</row>
    <row r="163" spans="2:14" ht="15" customHeight="1" x14ac:dyDescent="0.15">
      <c r="B163" s="144" t="s">
        <v>581</v>
      </c>
      <c r="C163" s="145" t="s">
        <v>231</v>
      </c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</row>
    <row r="164" spans="2:14" ht="15" customHeight="1" x14ac:dyDescent="0.15">
      <c r="B164" s="144" t="s">
        <v>582</v>
      </c>
      <c r="C164" s="145" t="s">
        <v>232</v>
      </c>
      <c r="D164" s="154">
        <v>0.01</v>
      </c>
      <c r="E164" s="155">
        <v>0</v>
      </c>
      <c r="F164" s="155">
        <v>0</v>
      </c>
      <c r="G164" s="155">
        <v>0</v>
      </c>
      <c r="H164" s="155">
        <v>0</v>
      </c>
      <c r="I164" s="155">
        <v>44587.26</v>
      </c>
      <c r="J164" s="155">
        <v>0</v>
      </c>
      <c r="K164" s="155">
        <v>0</v>
      </c>
      <c r="L164" s="155">
        <v>0</v>
      </c>
      <c r="M164" s="155">
        <v>-45788.32</v>
      </c>
      <c r="N164" s="154"/>
    </row>
    <row r="165" spans="2:14" ht="15" customHeight="1" x14ac:dyDescent="0.15">
      <c r="B165" s="144" t="s">
        <v>583</v>
      </c>
      <c r="C165" s="145" t="s">
        <v>234</v>
      </c>
      <c r="D165" s="156">
        <v>0.01</v>
      </c>
      <c r="E165" s="157">
        <v>0</v>
      </c>
      <c r="F165" s="157">
        <v>0</v>
      </c>
      <c r="G165" s="157">
        <v>0</v>
      </c>
      <c r="H165" s="157">
        <v>0</v>
      </c>
      <c r="I165" s="157">
        <v>44587.26</v>
      </c>
      <c r="J165" s="157">
        <v>0</v>
      </c>
      <c r="K165" s="157">
        <v>0</v>
      </c>
      <c r="L165" s="157">
        <v>0</v>
      </c>
      <c r="M165" s="157">
        <v>-45788.32</v>
      </c>
      <c r="N165" s="156"/>
    </row>
    <row r="166" spans="2:14" ht="15" customHeight="1" x14ac:dyDescent="0.15">
      <c r="B166" s="144" t="s">
        <v>584</v>
      </c>
      <c r="C166" s="145" t="s">
        <v>235</v>
      </c>
      <c r="D166" s="158">
        <v>0.01</v>
      </c>
      <c r="E166" s="159">
        <v>0</v>
      </c>
      <c r="F166" s="159">
        <v>0</v>
      </c>
      <c r="G166" s="159">
        <v>0</v>
      </c>
      <c r="H166" s="159">
        <v>0</v>
      </c>
      <c r="I166" s="159">
        <v>44587.26</v>
      </c>
      <c r="J166" s="159">
        <v>0</v>
      </c>
      <c r="K166" s="159">
        <v>0</v>
      </c>
      <c r="L166" s="159">
        <v>0</v>
      </c>
      <c r="M166" s="159">
        <v>-45788.32</v>
      </c>
      <c r="N166" s="158"/>
    </row>
    <row r="167" spans="2:14" ht="15" customHeight="1" x14ac:dyDescent="0.15">
      <c r="B167" s="144" t="s">
        <v>585</v>
      </c>
      <c r="C167" s="145" t="s">
        <v>586</v>
      </c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</row>
    <row r="168" spans="2:14" ht="15" customHeight="1" x14ac:dyDescent="0.15">
      <c r="B168" s="144" t="s">
        <v>587</v>
      </c>
      <c r="C168" s="145" t="s">
        <v>236</v>
      </c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</row>
    <row r="169" spans="2:14" ht="15" customHeight="1" x14ac:dyDescent="0.15">
      <c r="B169" s="144" t="s">
        <v>588</v>
      </c>
      <c r="C169" s="145" t="s">
        <v>237</v>
      </c>
      <c r="D169" s="154">
        <v>-512453.22</v>
      </c>
      <c r="E169" s="155">
        <v>0</v>
      </c>
      <c r="F169" s="155">
        <v>0</v>
      </c>
      <c r="G169" s="155">
        <v>-515714.34</v>
      </c>
      <c r="H169" s="155">
        <v>0</v>
      </c>
      <c r="I169" s="155">
        <v>0</v>
      </c>
      <c r="J169" s="155">
        <v>-8537983</v>
      </c>
      <c r="K169" s="155">
        <v>0</v>
      </c>
      <c r="L169" s="155">
        <v>0</v>
      </c>
      <c r="M169" s="155">
        <v>4142145.63</v>
      </c>
      <c r="N169" s="154"/>
    </row>
    <row r="170" spans="2:14" ht="15" customHeight="1" x14ac:dyDescent="0.15">
      <c r="B170" s="144" t="s">
        <v>589</v>
      </c>
      <c r="C170" s="145" t="s">
        <v>239</v>
      </c>
      <c r="D170" s="156">
        <v>-512453.22</v>
      </c>
      <c r="E170" s="157">
        <v>0</v>
      </c>
      <c r="F170" s="157">
        <v>0</v>
      </c>
      <c r="G170" s="157">
        <v>-515714.34</v>
      </c>
      <c r="H170" s="157">
        <v>0</v>
      </c>
      <c r="I170" s="157">
        <v>0</v>
      </c>
      <c r="J170" s="157">
        <v>-8537983</v>
      </c>
      <c r="K170" s="157">
        <v>0</v>
      </c>
      <c r="L170" s="157">
        <v>0</v>
      </c>
      <c r="M170" s="157">
        <v>4142145.63</v>
      </c>
      <c r="N170" s="156"/>
    </row>
    <row r="171" spans="2:14" ht="15" customHeight="1" x14ac:dyDescent="0.15">
      <c r="B171" s="144" t="s">
        <v>590</v>
      </c>
      <c r="C171" s="145" t="s">
        <v>243</v>
      </c>
      <c r="D171" s="156">
        <v>-512453.22</v>
      </c>
      <c r="E171" s="157">
        <v>0</v>
      </c>
      <c r="F171" s="157">
        <v>0</v>
      </c>
      <c r="G171" s="157">
        <v>-515714.34</v>
      </c>
      <c r="H171" s="157">
        <v>0</v>
      </c>
      <c r="I171" s="157">
        <v>0</v>
      </c>
      <c r="J171" s="157">
        <v>-8537983</v>
      </c>
      <c r="K171" s="157">
        <v>0</v>
      </c>
      <c r="L171" s="157">
        <v>0</v>
      </c>
      <c r="M171" s="157">
        <v>4142145.63</v>
      </c>
      <c r="N171" s="156"/>
    </row>
    <row r="172" spans="2:14" ht="15" customHeight="1" x14ac:dyDescent="0.15">
      <c r="B172" s="146" t="s">
        <v>591</v>
      </c>
      <c r="C172" s="147" t="s">
        <v>244</v>
      </c>
      <c r="D172" s="176">
        <v>-423160.01</v>
      </c>
      <c r="E172" s="175">
        <v>104438.18</v>
      </c>
      <c r="F172" s="175">
        <v>107919.46</v>
      </c>
      <c r="G172" s="175">
        <v>432796.24</v>
      </c>
      <c r="H172" s="175">
        <v>99109.53</v>
      </c>
      <c r="I172" s="175">
        <v>90379.78</v>
      </c>
      <c r="J172" s="175">
        <v>-8442070.5600000005</v>
      </c>
      <c r="K172" s="175">
        <v>93109.51</v>
      </c>
      <c r="L172" s="175">
        <v>96316.160000000003</v>
      </c>
      <c r="M172" s="175">
        <v>4196429.55</v>
      </c>
      <c r="N172" s="176"/>
    </row>
    <row r="173" spans="2:14" ht="15" customHeight="1" x14ac:dyDescent="0.15">
      <c r="B173" s="146" t="s">
        <v>592</v>
      </c>
      <c r="C173" s="147" t="s">
        <v>245</v>
      </c>
      <c r="D173" s="181">
        <v>423160.01</v>
      </c>
      <c r="E173" s="182">
        <v>-104438.18</v>
      </c>
      <c r="F173" s="182">
        <v>-107919.46</v>
      </c>
      <c r="G173" s="182">
        <v>-432796.24</v>
      </c>
      <c r="H173" s="182">
        <v>-99109.53</v>
      </c>
      <c r="I173" s="182">
        <v>-90379.78</v>
      </c>
      <c r="J173" s="182">
        <v>8442070.5600000005</v>
      </c>
      <c r="K173" s="182">
        <v>-93109.51</v>
      </c>
      <c r="L173" s="182">
        <v>-96316.160000000003</v>
      </c>
      <c r="M173" s="182">
        <v>-4196429.55</v>
      </c>
      <c r="N173" s="181"/>
    </row>
    <row r="174" spans="2:14" ht="15" customHeight="1" thickBot="1" x14ac:dyDescent="0.2">
      <c r="B174" s="146" t="s">
        <v>593</v>
      </c>
      <c r="C174" s="147" t="s">
        <v>246</v>
      </c>
      <c r="D174" s="183">
        <v>442380.66</v>
      </c>
      <c r="E174" s="184">
        <v>7888.82</v>
      </c>
      <c r="F174" s="184">
        <v>-48497.69</v>
      </c>
      <c r="G174" s="184">
        <v>-244516.45</v>
      </c>
      <c r="H174" s="184">
        <v>-40044.03</v>
      </c>
      <c r="I174" s="184">
        <v>-21391.919999999998</v>
      </c>
      <c r="J174" s="184">
        <v>8546501.2100000009</v>
      </c>
      <c r="K174" s="184">
        <v>82141.460000000006</v>
      </c>
      <c r="L174" s="184">
        <v>-5421.39</v>
      </c>
      <c r="M174" s="184">
        <v>-4068688.23</v>
      </c>
      <c r="N174" s="183"/>
    </row>
    <row r="175" spans="2:14" ht="14" thickTop="1" x14ac:dyDescent="0.15"/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48C9-AABB-3442-813F-B00F1EFA8386}">
  <dimension ref="B2:BY34"/>
  <sheetViews>
    <sheetView topLeftCell="C1" workbookViewId="0">
      <selection activeCell="O38" sqref="O38"/>
    </sheetView>
  </sheetViews>
  <sheetFormatPr baseColWidth="10" defaultRowHeight="16" x14ac:dyDescent="0.2"/>
  <cols>
    <col min="1" max="1" width="7.83203125" customWidth="1"/>
    <col min="2" max="2" width="35" customWidth="1"/>
    <col min="3" max="5" width="15.83203125" customWidth="1"/>
    <col min="6" max="65" width="11.6640625" customWidth="1"/>
  </cols>
  <sheetData>
    <row r="2" spans="2:4" ht="21" x14ac:dyDescent="0.25">
      <c r="B2" s="44" t="s">
        <v>270</v>
      </c>
    </row>
    <row r="3" spans="2:4" x14ac:dyDescent="0.2">
      <c r="B3" s="45" t="s">
        <v>271</v>
      </c>
    </row>
    <row r="4" spans="2:4" x14ac:dyDescent="0.2">
      <c r="B4" s="46" t="s">
        <v>272</v>
      </c>
      <c r="C4" s="46"/>
      <c r="D4" s="46"/>
    </row>
    <row r="5" spans="2:4" x14ac:dyDescent="0.2">
      <c r="B5" s="47" t="s">
        <v>273</v>
      </c>
      <c r="C5" s="47" t="s">
        <v>274</v>
      </c>
      <c r="D5" s="47" t="s">
        <v>275</v>
      </c>
    </row>
    <row r="6" spans="2:4" x14ac:dyDescent="0.2">
      <c r="B6" t="s">
        <v>276</v>
      </c>
      <c r="C6" s="48">
        <f>'2020 T12'!P88</f>
        <v>365968.14</v>
      </c>
      <c r="D6" s="51">
        <f t="shared" ref="D6:D15" si="0">IFERROR(C6/$C$16,0)</f>
        <v>0.24637338446784596</v>
      </c>
    </row>
    <row r="7" spans="2:4" x14ac:dyDescent="0.2">
      <c r="B7" t="s">
        <v>277</v>
      </c>
      <c r="C7" s="48">
        <f>'2020 T12'!P96</f>
        <v>443598.17000000004</v>
      </c>
      <c r="D7" s="51">
        <f t="shared" si="0"/>
        <v>0.29863469122378494</v>
      </c>
    </row>
    <row r="8" spans="2:4" x14ac:dyDescent="0.2">
      <c r="B8" t="s">
        <v>278</v>
      </c>
      <c r="C8" s="48">
        <f>'2020 T12'!P109</f>
        <v>394068.68000000005</v>
      </c>
      <c r="D8" s="51">
        <f t="shared" si="0"/>
        <v>0.26529094692334848</v>
      </c>
    </row>
    <row r="9" spans="2:4" x14ac:dyDescent="0.2">
      <c r="B9" t="s">
        <v>279</v>
      </c>
      <c r="C9" s="48">
        <f>'2020 T12'!P117</f>
        <v>103069.25999999998</v>
      </c>
      <c r="D9" s="51">
        <f t="shared" si="0"/>
        <v>6.9387248903132318E-2</v>
      </c>
    </row>
    <row r="10" spans="2:4" x14ac:dyDescent="0.2">
      <c r="B10" t="s">
        <v>280</v>
      </c>
      <c r="C10" s="48">
        <f>'2020 T12'!P126</f>
        <v>76718</v>
      </c>
      <c r="D10" s="51">
        <f t="shared" si="0"/>
        <v>5.164731910707912E-2</v>
      </c>
    </row>
    <row r="11" spans="2:4" x14ac:dyDescent="0.2">
      <c r="B11" t="s">
        <v>281</v>
      </c>
      <c r="C11" s="48">
        <f>'2020 T12'!P141</f>
        <v>19417.760000000002</v>
      </c>
      <c r="D11" s="51">
        <f t="shared" si="0"/>
        <v>1.307222877375162E-2</v>
      </c>
    </row>
    <row r="12" spans="2:4" x14ac:dyDescent="0.2">
      <c r="B12" t="s">
        <v>282</v>
      </c>
      <c r="C12" s="48">
        <f>'2020 T12'!P146</f>
        <v>4519.5800000000008</v>
      </c>
      <c r="D12" s="51">
        <f t="shared" si="0"/>
        <v>3.0426261175991644E-3</v>
      </c>
    </row>
    <row r="13" spans="2:4" x14ac:dyDescent="0.2">
      <c r="B13" t="s">
        <v>283</v>
      </c>
      <c r="C13" s="48">
        <f>'2020 T12'!P164</f>
        <v>75550.17</v>
      </c>
      <c r="D13" s="51">
        <f t="shared" si="0"/>
        <v>5.0861124359134438E-2</v>
      </c>
    </row>
    <row r="14" spans="2:4" x14ac:dyDescent="0.2">
      <c r="B14" t="s">
        <v>284</v>
      </c>
      <c r="C14" s="48">
        <f>SUM('2020 T12'!C180:O180)</f>
        <v>0</v>
      </c>
      <c r="D14" s="51">
        <f t="shared" si="0"/>
        <v>0</v>
      </c>
    </row>
    <row r="15" spans="2:4" x14ac:dyDescent="0.2">
      <c r="B15" t="s">
        <v>285</v>
      </c>
      <c r="C15" s="48">
        <f>SUM('2020 T12'!C194:O194)</f>
        <v>2511</v>
      </c>
      <c r="D15" s="51">
        <f t="shared" si="0"/>
        <v>1.6904301243238311E-3</v>
      </c>
    </row>
    <row r="16" spans="2:4" x14ac:dyDescent="0.2">
      <c r="B16" s="1" t="s">
        <v>286</v>
      </c>
      <c r="C16" s="50">
        <f>SUM(C6:C15)</f>
        <v>1485420.7600000002</v>
      </c>
      <c r="D16" s="52">
        <f>SUM(D6:D15)</f>
        <v>0.99999999999999978</v>
      </c>
    </row>
    <row r="17" spans="2:77" x14ac:dyDescent="0.2">
      <c r="C17" s="49"/>
    </row>
    <row r="20" spans="2:77" x14ac:dyDescent="0.2">
      <c r="B20" s="46" t="s">
        <v>287</v>
      </c>
      <c r="C20" s="46"/>
      <c r="D20" s="46"/>
      <c r="E20" s="46"/>
      <c r="F20" s="46"/>
      <c r="G20" s="55" t="s">
        <v>290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</row>
    <row r="21" spans="2:77" x14ac:dyDescent="0.2">
      <c r="B21" s="47" t="s">
        <v>273</v>
      </c>
      <c r="C21" s="47" t="s">
        <v>597</v>
      </c>
      <c r="D21" s="47" t="s">
        <v>288</v>
      </c>
      <c r="E21" s="47" t="s">
        <v>289</v>
      </c>
      <c r="F21" s="54">
        <f>'Cash Flow'!G$6</f>
        <v>44286</v>
      </c>
      <c r="G21" s="54">
        <f>'Cash Flow'!H$6</f>
        <v>44316</v>
      </c>
      <c r="H21" s="54">
        <f>'Cash Flow'!I$6</f>
        <v>44347</v>
      </c>
      <c r="I21" s="54">
        <f>'Cash Flow'!J$6</f>
        <v>44377</v>
      </c>
      <c r="J21" s="54">
        <f>'Cash Flow'!K$6</f>
        <v>44408</v>
      </c>
      <c r="K21" s="54">
        <f>'Cash Flow'!L$6</f>
        <v>44439</v>
      </c>
      <c r="L21" s="54">
        <f>'Cash Flow'!M$6</f>
        <v>44469</v>
      </c>
      <c r="M21" s="54">
        <f>'Cash Flow'!N$6</f>
        <v>44500</v>
      </c>
      <c r="N21" s="54">
        <f>'Cash Flow'!O$6</f>
        <v>44530</v>
      </c>
      <c r="O21" s="54">
        <f>'Cash Flow'!P$6</f>
        <v>44561</v>
      </c>
      <c r="P21" s="54">
        <f>'Cash Flow'!Q$6</f>
        <v>44592</v>
      </c>
      <c r="Q21" s="54">
        <f>'Cash Flow'!R$6</f>
        <v>44620</v>
      </c>
      <c r="R21" s="54">
        <f>'Cash Flow'!S$6</f>
        <v>44651</v>
      </c>
      <c r="S21" s="54">
        <f>'Cash Flow'!T$6</f>
        <v>44681</v>
      </c>
      <c r="T21" s="54">
        <f>'Cash Flow'!U$6</f>
        <v>44712</v>
      </c>
      <c r="U21" s="54">
        <f>'Cash Flow'!V$6</f>
        <v>44742</v>
      </c>
      <c r="V21" s="54">
        <f>'Cash Flow'!W$6</f>
        <v>44773</v>
      </c>
      <c r="W21" s="54">
        <f>'Cash Flow'!X$6</f>
        <v>44804</v>
      </c>
      <c r="X21" s="54">
        <f>'Cash Flow'!Y$6</f>
        <v>44834</v>
      </c>
      <c r="Y21" s="54">
        <f>'Cash Flow'!Z$6</f>
        <v>44865</v>
      </c>
      <c r="Z21" s="54">
        <f>'Cash Flow'!AA$6</f>
        <v>44895</v>
      </c>
      <c r="AA21" s="54">
        <f>'Cash Flow'!AB$6</f>
        <v>44926</v>
      </c>
      <c r="AB21" s="54">
        <f>'Cash Flow'!AC$6</f>
        <v>44957</v>
      </c>
      <c r="AC21" s="54">
        <f>'Cash Flow'!AD$6</f>
        <v>44985</v>
      </c>
      <c r="AD21" s="54">
        <f>'Cash Flow'!AE$6</f>
        <v>45016</v>
      </c>
      <c r="AE21" s="54">
        <f>'Cash Flow'!AF$6</f>
        <v>45046</v>
      </c>
      <c r="AF21" s="54">
        <f>'Cash Flow'!AG$6</f>
        <v>45077</v>
      </c>
      <c r="AG21" s="54">
        <f>'Cash Flow'!AH$6</f>
        <v>45107</v>
      </c>
      <c r="AH21" s="54">
        <f>'Cash Flow'!AI$6</f>
        <v>45138</v>
      </c>
      <c r="AI21" s="54">
        <f>'Cash Flow'!AJ$6</f>
        <v>45169</v>
      </c>
      <c r="AJ21" s="54">
        <f>'Cash Flow'!AK$6</f>
        <v>45199</v>
      </c>
      <c r="AK21" s="54">
        <f>'Cash Flow'!AL$6</f>
        <v>45230</v>
      </c>
      <c r="AL21" s="54">
        <f>'Cash Flow'!AM$6</f>
        <v>45260</v>
      </c>
      <c r="AM21" s="54">
        <f>'Cash Flow'!AN$6</f>
        <v>45291</v>
      </c>
      <c r="AN21" s="54">
        <f>'Cash Flow'!AO$6</f>
        <v>45322</v>
      </c>
      <c r="AO21" s="54">
        <f>'Cash Flow'!AP$6</f>
        <v>45351</v>
      </c>
      <c r="AP21" s="54">
        <f>'Cash Flow'!AQ$6</f>
        <v>45382</v>
      </c>
      <c r="AQ21" s="54">
        <f>'Cash Flow'!AR$6</f>
        <v>45412</v>
      </c>
      <c r="AR21" s="54">
        <f>'Cash Flow'!AS$6</f>
        <v>45443</v>
      </c>
      <c r="AS21" s="54">
        <f>'Cash Flow'!AT$6</f>
        <v>45473</v>
      </c>
      <c r="AT21" s="54">
        <f>'Cash Flow'!AU$6</f>
        <v>45504</v>
      </c>
      <c r="AU21" s="54">
        <f>'Cash Flow'!AV$6</f>
        <v>45535</v>
      </c>
      <c r="AV21" s="54">
        <f>'Cash Flow'!AW$6</f>
        <v>45565</v>
      </c>
      <c r="AW21" s="54">
        <f>'Cash Flow'!AX$6</f>
        <v>45596</v>
      </c>
      <c r="AX21" s="54">
        <f>'Cash Flow'!AY$6</f>
        <v>45626</v>
      </c>
      <c r="AY21" s="54">
        <f>'Cash Flow'!AZ$6</f>
        <v>45657</v>
      </c>
      <c r="AZ21" s="54">
        <f>'Cash Flow'!BA$6</f>
        <v>45688</v>
      </c>
      <c r="BA21" s="54">
        <f>'Cash Flow'!BB$6</f>
        <v>45716</v>
      </c>
      <c r="BB21" s="54">
        <f>'Cash Flow'!BC$6</f>
        <v>45747</v>
      </c>
      <c r="BC21" s="54">
        <f>'Cash Flow'!BD$6</f>
        <v>45777</v>
      </c>
      <c r="BD21" s="54">
        <f>'Cash Flow'!BE$6</f>
        <v>45808</v>
      </c>
      <c r="BE21" s="54">
        <f>'Cash Flow'!BF$6</f>
        <v>45838</v>
      </c>
      <c r="BF21" s="54">
        <f>'Cash Flow'!BG$6</f>
        <v>45869</v>
      </c>
      <c r="BG21" s="54">
        <f>'Cash Flow'!BH$6</f>
        <v>45900</v>
      </c>
      <c r="BH21" s="54">
        <f>'Cash Flow'!BI$6</f>
        <v>45930</v>
      </c>
      <c r="BI21" s="54">
        <f>'Cash Flow'!BJ$6</f>
        <v>45961</v>
      </c>
      <c r="BJ21" s="54">
        <f>'Cash Flow'!BK$6</f>
        <v>45991</v>
      </c>
      <c r="BK21" s="54">
        <f>'Cash Flow'!BL$6</f>
        <v>46022</v>
      </c>
      <c r="BL21" s="54">
        <f>'Cash Flow'!BM$6</f>
        <v>46053</v>
      </c>
      <c r="BM21" s="54">
        <f>'Cash Flow'!BN$6</f>
        <v>46081</v>
      </c>
    </row>
    <row r="22" spans="2:77" x14ac:dyDescent="0.2">
      <c r="B22" s="47"/>
      <c r="C22" s="47"/>
      <c r="D22" s="47"/>
      <c r="E22" s="47"/>
      <c r="F22" s="47">
        <f>'Cash Flow'!G$5</f>
        <v>1</v>
      </c>
      <c r="G22" s="47">
        <f>'Cash Flow'!H$5</f>
        <v>2</v>
      </c>
      <c r="H22" s="47">
        <f>'Cash Flow'!I$5</f>
        <v>3</v>
      </c>
      <c r="I22" s="47">
        <f>'Cash Flow'!J$5</f>
        <v>4</v>
      </c>
      <c r="J22" s="47">
        <f>'Cash Flow'!K$5</f>
        <v>5</v>
      </c>
      <c r="K22" s="47">
        <f>'Cash Flow'!L$5</f>
        <v>6</v>
      </c>
      <c r="L22" s="47">
        <f>'Cash Flow'!M$5</f>
        <v>7</v>
      </c>
      <c r="M22" s="47">
        <f>'Cash Flow'!N$5</f>
        <v>8</v>
      </c>
      <c r="N22" s="47">
        <f>'Cash Flow'!O$5</f>
        <v>9</v>
      </c>
      <c r="O22" s="47">
        <f>'Cash Flow'!P$5</f>
        <v>10</v>
      </c>
      <c r="P22" s="47">
        <f>'Cash Flow'!Q$5</f>
        <v>11</v>
      </c>
      <c r="Q22" s="47">
        <f>'Cash Flow'!R$5</f>
        <v>12</v>
      </c>
      <c r="R22" s="47">
        <f>'Cash Flow'!S$5</f>
        <v>13</v>
      </c>
      <c r="S22" s="47">
        <f>'Cash Flow'!T$5</f>
        <v>14</v>
      </c>
      <c r="T22" s="47">
        <f>'Cash Flow'!U$5</f>
        <v>15</v>
      </c>
      <c r="U22" s="47">
        <f>'Cash Flow'!V$5</f>
        <v>16</v>
      </c>
      <c r="V22" s="47">
        <f>'Cash Flow'!W$5</f>
        <v>17</v>
      </c>
      <c r="W22" s="47">
        <f>'Cash Flow'!X$5</f>
        <v>18</v>
      </c>
      <c r="X22" s="47">
        <f>'Cash Flow'!Y$5</f>
        <v>19</v>
      </c>
      <c r="Y22" s="47">
        <f>'Cash Flow'!Z$5</f>
        <v>20</v>
      </c>
      <c r="Z22" s="47">
        <f>'Cash Flow'!AA$5</f>
        <v>21</v>
      </c>
      <c r="AA22" s="47">
        <f>'Cash Flow'!AB$5</f>
        <v>22</v>
      </c>
      <c r="AB22" s="47">
        <f>'Cash Flow'!AC$5</f>
        <v>23</v>
      </c>
      <c r="AC22" s="47">
        <f>'Cash Flow'!AD$5</f>
        <v>24</v>
      </c>
      <c r="AD22" s="47">
        <f>'Cash Flow'!AE$5</f>
        <v>25</v>
      </c>
      <c r="AE22" s="47">
        <f>'Cash Flow'!AF$5</f>
        <v>26</v>
      </c>
      <c r="AF22" s="47">
        <f>'Cash Flow'!AG$5</f>
        <v>27</v>
      </c>
      <c r="AG22" s="47">
        <f>'Cash Flow'!AH$5</f>
        <v>28</v>
      </c>
      <c r="AH22" s="47">
        <f>'Cash Flow'!AI$5</f>
        <v>29</v>
      </c>
      <c r="AI22" s="47">
        <f>'Cash Flow'!AJ$5</f>
        <v>30</v>
      </c>
      <c r="AJ22" s="47">
        <f>'Cash Flow'!AK$5</f>
        <v>31</v>
      </c>
      <c r="AK22" s="47">
        <f>'Cash Flow'!AL$5</f>
        <v>32</v>
      </c>
      <c r="AL22" s="47">
        <f>'Cash Flow'!AM$5</f>
        <v>33</v>
      </c>
      <c r="AM22" s="47">
        <f>'Cash Flow'!AN$5</f>
        <v>34</v>
      </c>
      <c r="AN22" s="47">
        <f>'Cash Flow'!AO$5</f>
        <v>35</v>
      </c>
      <c r="AO22" s="47">
        <f>'Cash Flow'!AP$5</f>
        <v>36</v>
      </c>
      <c r="AP22" s="47">
        <f>'Cash Flow'!AQ$5</f>
        <v>37</v>
      </c>
      <c r="AQ22" s="47">
        <f>'Cash Flow'!AR$5</f>
        <v>38</v>
      </c>
      <c r="AR22" s="47">
        <f>'Cash Flow'!AS$5</f>
        <v>39</v>
      </c>
      <c r="AS22" s="47">
        <f>'Cash Flow'!AT$5</f>
        <v>40</v>
      </c>
      <c r="AT22" s="47">
        <f>'Cash Flow'!AU$5</f>
        <v>41</v>
      </c>
      <c r="AU22" s="47">
        <f>'Cash Flow'!AV$5</f>
        <v>42</v>
      </c>
      <c r="AV22" s="47">
        <f>'Cash Flow'!AW$5</f>
        <v>43</v>
      </c>
      <c r="AW22" s="47">
        <f>'Cash Flow'!AX$5</f>
        <v>44</v>
      </c>
      <c r="AX22" s="47">
        <f>'Cash Flow'!AY$5</f>
        <v>45</v>
      </c>
      <c r="AY22" s="47">
        <f>'Cash Flow'!AZ$5</f>
        <v>46</v>
      </c>
      <c r="AZ22" s="47">
        <f>'Cash Flow'!BA$5</f>
        <v>47</v>
      </c>
      <c r="BA22" s="47">
        <f>'Cash Flow'!BB$5</f>
        <v>48</v>
      </c>
      <c r="BB22" s="47">
        <f>'Cash Flow'!BC$5</f>
        <v>49</v>
      </c>
      <c r="BC22" s="47">
        <f>'Cash Flow'!BD$5</f>
        <v>50</v>
      </c>
      <c r="BD22" s="47">
        <f>'Cash Flow'!BE$5</f>
        <v>51</v>
      </c>
      <c r="BE22" s="47">
        <f>'Cash Flow'!BF$5</f>
        <v>52</v>
      </c>
      <c r="BF22" s="47">
        <f>'Cash Flow'!BG$5</f>
        <v>53</v>
      </c>
      <c r="BG22" s="47">
        <f>'Cash Flow'!BH$5</f>
        <v>54</v>
      </c>
      <c r="BH22" s="47">
        <f>'Cash Flow'!BI$5</f>
        <v>55</v>
      </c>
      <c r="BI22" s="47">
        <f>'Cash Flow'!BJ$5</f>
        <v>56</v>
      </c>
      <c r="BJ22" s="47">
        <f>'Cash Flow'!BK$5</f>
        <v>57</v>
      </c>
      <c r="BK22" s="47">
        <f>'Cash Flow'!BL$5</f>
        <v>58</v>
      </c>
      <c r="BL22" s="47">
        <f>'Cash Flow'!BM$5</f>
        <v>59</v>
      </c>
      <c r="BM22" s="47">
        <f>'Cash Flow'!BN$5</f>
        <v>60</v>
      </c>
      <c r="BN22" s="47">
        <f>'Cash Flow'!BO$5</f>
        <v>61</v>
      </c>
      <c r="BO22" s="47">
        <f>'Cash Flow'!BP$5</f>
        <v>62</v>
      </c>
      <c r="BP22" s="47">
        <f>'Cash Flow'!BQ$5</f>
        <v>63</v>
      </c>
      <c r="BQ22" s="47">
        <f>'Cash Flow'!BR$5</f>
        <v>64</v>
      </c>
      <c r="BR22" s="47">
        <f>'Cash Flow'!BS$5</f>
        <v>65</v>
      </c>
      <c r="BS22" s="47">
        <f>'Cash Flow'!BT$5</f>
        <v>66</v>
      </c>
      <c r="BT22" s="47">
        <f>'Cash Flow'!BU$5</f>
        <v>67</v>
      </c>
      <c r="BU22" s="47">
        <f>'Cash Flow'!BV$5</f>
        <v>68</v>
      </c>
      <c r="BV22" s="47">
        <f>'Cash Flow'!BW$5</f>
        <v>69</v>
      </c>
      <c r="BW22" s="47">
        <f>'Cash Flow'!BX$5</f>
        <v>70</v>
      </c>
      <c r="BX22" s="47">
        <f>'Cash Flow'!BY$5</f>
        <v>71</v>
      </c>
      <c r="BY22" s="47">
        <f>'Cash Flow'!BZ$5</f>
        <v>72</v>
      </c>
    </row>
    <row r="23" spans="2:77" x14ac:dyDescent="0.2">
      <c r="B23" t="s">
        <v>276</v>
      </c>
      <c r="C23" s="48">
        <f>'2021 T12'!P74</f>
        <v>278700</v>
      </c>
      <c r="D23" s="20">
        <f t="shared" ref="D23:D32" si="1">C23/12</f>
        <v>23225</v>
      </c>
      <c r="E23" s="53">
        <v>0.03</v>
      </c>
      <c r="F23" s="191">
        <f t="shared" ref="F23:O23" si="2">IF(F$22="","",$D23*(1+$E23)^(ROUNDUP((F$22-12)/12,0)-1))</f>
        <v>21891.789989631445</v>
      </c>
      <c r="G23" s="191">
        <f t="shared" si="2"/>
        <v>21891.789989631445</v>
      </c>
      <c r="H23" s="191">
        <f t="shared" si="2"/>
        <v>21891.789989631445</v>
      </c>
      <c r="I23" s="191">
        <f t="shared" si="2"/>
        <v>21891.789989631445</v>
      </c>
      <c r="J23" s="191">
        <f t="shared" si="2"/>
        <v>21891.789989631445</v>
      </c>
      <c r="K23" s="191">
        <f t="shared" si="2"/>
        <v>21891.789989631445</v>
      </c>
      <c r="L23" s="191">
        <f t="shared" si="2"/>
        <v>21891.789989631445</v>
      </c>
      <c r="M23" s="191">
        <f t="shared" si="2"/>
        <v>21891.789989631445</v>
      </c>
      <c r="N23" s="191">
        <f t="shared" si="2"/>
        <v>21891.789989631445</v>
      </c>
      <c r="O23" s="191">
        <f t="shared" si="2"/>
        <v>21891.789989631445</v>
      </c>
      <c r="P23" s="20">
        <f>D23</f>
        <v>23225</v>
      </c>
      <c r="Q23" s="20">
        <f>P23</f>
        <v>23225</v>
      </c>
      <c r="R23" s="20">
        <f>IF(R$22="","",$D23*(1+$E23)^(ROUNDUP((R$22-12)/12,0)-1))</f>
        <v>23225</v>
      </c>
      <c r="S23" s="20">
        <f t="shared" ref="S23:BY26" si="3">IF(S$22="","",$D23*(1+$E23)^(ROUNDUP((S$22-12)/12,0)-1))</f>
        <v>23225</v>
      </c>
      <c r="T23" s="20">
        <f t="shared" si="3"/>
        <v>23225</v>
      </c>
      <c r="U23" s="20">
        <f t="shared" si="3"/>
        <v>23225</v>
      </c>
      <c r="V23" s="20">
        <f t="shared" si="3"/>
        <v>23225</v>
      </c>
      <c r="W23" s="20">
        <f t="shared" si="3"/>
        <v>23225</v>
      </c>
      <c r="X23" s="20">
        <f t="shared" si="3"/>
        <v>23225</v>
      </c>
      <c r="Y23" s="20">
        <f t="shared" si="3"/>
        <v>23225</v>
      </c>
      <c r="Z23" s="20">
        <f t="shared" si="3"/>
        <v>23225</v>
      </c>
      <c r="AA23" s="20">
        <f t="shared" si="3"/>
        <v>23225</v>
      </c>
      <c r="AB23" s="20">
        <f t="shared" si="3"/>
        <v>23225</v>
      </c>
      <c r="AC23" s="20">
        <f t="shared" si="3"/>
        <v>23225</v>
      </c>
      <c r="AD23" s="20">
        <f t="shared" si="3"/>
        <v>23921.75</v>
      </c>
      <c r="AE23" s="20">
        <f t="shared" si="3"/>
        <v>23921.75</v>
      </c>
      <c r="AF23" s="20">
        <f t="shared" si="3"/>
        <v>23921.75</v>
      </c>
      <c r="AG23" s="20">
        <f t="shared" si="3"/>
        <v>23921.75</v>
      </c>
      <c r="AH23" s="20">
        <f t="shared" si="3"/>
        <v>23921.75</v>
      </c>
      <c r="AI23" s="20">
        <f t="shared" si="3"/>
        <v>23921.75</v>
      </c>
      <c r="AJ23" s="20">
        <f t="shared" si="3"/>
        <v>23921.75</v>
      </c>
      <c r="AK23" s="20">
        <f t="shared" si="3"/>
        <v>23921.75</v>
      </c>
      <c r="AL23" s="20">
        <f t="shared" si="3"/>
        <v>23921.75</v>
      </c>
      <c r="AM23" s="20">
        <f t="shared" si="3"/>
        <v>23921.75</v>
      </c>
      <c r="AN23" s="20">
        <f t="shared" si="3"/>
        <v>23921.75</v>
      </c>
      <c r="AO23" s="20">
        <f t="shared" si="3"/>
        <v>23921.75</v>
      </c>
      <c r="AP23" s="20">
        <f t="shared" si="3"/>
        <v>24639.4025</v>
      </c>
      <c r="AQ23" s="20">
        <f t="shared" si="3"/>
        <v>24639.4025</v>
      </c>
      <c r="AR23" s="20">
        <f t="shared" si="3"/>
        <v>24639.4025</v>
      </c>
      <c r="AS23" s="20">
        <f t="shared" si="3"/>
        <v>24639.4025</v>
      </c>
      <c r="AT23" s="20">
        <f t="shared" si="3"/>
        <v>24639.4025</v>
      </c>
      <c r="AU23" s="20">
        <f t="shared" si="3"/>
        <v>24639.4025</v>
      </c>
      <c r="AV23" s="20">
        <f t="shared" si="3"/>
        <v>24639.4025</v>
      </c>
      <c r="AW23" s="20">
        <f t="shared" si="3"/>
        <v>24639.4025</v>
      </c>
      <c r="AX23" s="20">
        <f t="shared" si="3"/>
        <v>24639.4025</v>
      </c>
      <c r="AY23" s="20">
        <f t="shared" si="3"/>
        <v>24639.4025</v>
      </c>
      <c r="AZ23" s="20">
        <f t="shared" si="3"/>
        <v>24639.4025</v>
      </c>
      <c r="BA23" s="20">
        <f t="shared" si="3"/>
        <v>24639.4025</v>
      </c>
      <c r="BB23" s="20">
        <f t="shared" si="3"/>
        <v>25378.584575000001</v>
      </c>
      <c r="BC23" s="20">
        <f t="shared" si="3"/>
        <v>25378.584575000001</v>
      </c>
      <c r="BD23" s="20">
        <f t="shared" si="3"/>
        <v>25378.584575000001</v>
      </c>
      <c r="BE23" s="20">
        <f t="shared" si="3"/>
        <v>25378.584575000001</v>
      </c>
      <c r="BF23" s="20">
        <f t="shared" si="3"/>
        <v>25378.584575000001</v>
      </c>
      <c r="BG23" s="20">
        <f t="shared" si="3"/>
        <v>25378.584575000001</v>
      </c>
      <c r="BH23" s="20">
        <f t="shared" si="3"/>
        <v>25378.584575000001</v>
      </c>
      <c r="BI23" s="20">
        <f t="shared" si="3"/>
        <v>25378.584575000001</v>
      </c>
      <c r="BJ23" s="20">
        <f t="shared" si="3"/>
        <v>25378.584575000001</v>
      </c>
      <c r="BK23" s="20">
        <f t="shared" si="3"/>
        <v>25378.584575000001</v>
      </c>
      <c r="BL23" s="20">
        <f t="shared" si="3"/>
        <v>25378.584575000001</v>
      </c>
      <c r="BM23" s="20">
        <f t="shared" si="3"/>
        <v>25378.584575000001</v>
      </c>
      <c r="BN23" s="20">
        <f t="shared" si="3"/>
        <v>26139.942112249999</v>
      </c>
      <c r="BO23" s="20">
        <f t="shared" si="3"/>
        <v>26139.942112249999</v>
      </c>
      <c r="BP23" s="20">
        <f t="shared" si="3"/>
        <v>26139.942112249999</v>
      </c>
      <c r="BQ23" s="20">
        <f t="shared" si="3"/>
        <v>26139.942112249999</v>
      </c>
      <c r="BR23" s="20">
        <f t="shared" si="3"/>
        <v>26139.942112249999</v>
      </c>
      <c r="BS23" s="20">
        <f t="shared" si="3"/>
        <v>26139.942112249999</v>
      </c>
      <c r="BT23" s="20">
        <f t="shared" si="3"/>
        <v>26139.942112249999</v>
      </c>
      <c r="BU23" s="20">
        <f t="shared" si="3"/>
        <v>26139.942112249999</v>
      </c>
      <c r="BV23" s="20">
        <f t="shared" si="3"/>
        <v>26139.942112249999</v>
      </c>
      <c r="BW23" s="20">
        <f t="shared" si="3"/>
        <v>26139.942112249999</v>
      </c>
      <c r="BX23" s="20">
        <f t="shared" si="3"/>
        <v>26139.942112249999</v>
      </c>
      <c r="BY23" s="20">
        <f t="shared" si="3"/>
        <v>26139.942112249999</v>
      </c>
    </row>
    <row r="24" spans="2:77" x14ac:dyDescent="0.2">
      <c r="B24" t="s">
        <v>277</v>
      </c>
      <c r="C24" s="48">
        <f>'2021 T12'!P84</f>
        <v>471995.75929999998</v>
      </c>
      <c r="D24" s="20">
        <f t="shared" si="1"/>
        <v>39332.979941666665</v>
      </c>
      <c r="E24" s="53">
        <v>0.03</v>
      </c>
      <c r="F24" s="191">
        <f t="shared" ref="F24:O32" si="4">IF(F$22="","",$D24*(1+$E24)^(ROUNDUP(F$22/12,0)-1))</f>
        <v>39332.979941666665</v>
      </c>
      <c r="G24" s="191">
        <f t="shared" si="4"/>
        <v>39332.979941666665</v>
      </c>
      <c r="H24" s="191">
        <f t="shared" si="4"/>
        <v>39332.979941666665</v>
      </c>
      <c r="I24" s="191">
        <f t="shared" si="4"/>
        <v>39332.979941666665</v>
      </c>
      <c r="J24" s="191">
        <f t="shared" si="4"/>
        <v>39332.979941666665</v>
      </c>
      <c r="K24" s="191">
        <f t="shared" si="4"/>
        <v>39332.979941666665</v>
      </c>
      <c r="L24" s="191">
        <f t="shared" si="4"/>
        <v>39332.979941666665</v>
      </c>
      <c r="M24" s="191">
        <f t="shared" si="4"/>
        <v>39332.979941666665</v>
      </c>
      <c r="N24" s="191">
        <f t="shared" si="4"/>
        <v>39332.979941666665</v>
      </c>
      <c r="O24" s="191">
        <f t="shared" si="4"/>
        <v>39332.979941666665</v>
      </c>
      <c r="P24" s="20">
        <f t="shared" ref="P24:P33" si="5">D24</f>
        <v>39332.979941666665</v>
      </c>
      <c r="Q24" s="20">
        <f t="shared" ref="Q24:Q33" si="6">P24</f>
        <v>39332.979941666665</v>
      </c>
      <c r="R24" s="20">
        <f>IF(R$22="","",$D24*(1+$E24)^(ROUNDUP((R$22-12)/12,0)-1))</f>
        <v>39332.979941666665</v>
      </c>
      <c r="S24" s="20">
        <f t="shared" si="3"/>
        <v>39332.979941666665</v>
      </c>
      <c r="T24" s="20">
        <f t="shared" si="3"/>
        <v>39332.979941666665</v>
      </c>
      <c r="U24" s="20">
        <f t="shared" si="3"/>
        <v>39332.979941666665</v>
      </c>
      <c r="V24" s="20">
        <f t="shared" si="3"/>
        <v>39332.979941666665</v>
      </c>
      <c r="W24" s="20">
        <f t="shared" si="3"/>
        <v>39332.979941666665</v>
      </c>
      <c r="X24" s="20">
        <f t="shared" si="3"/>
        <v>39332.979941666665</v>
      </c>
      <c r="Y24" s="20">
        <f t="shared" si="3"/>
        <v>39332.979941666665</v>
      </c>
      <c r="Z24" s="20">
        <f t="shared" si="3"/>
        <v>39332.979941666665</v>
      </c>
      <c r="AA24" s="20">
        <f t="shared" si="3"/>
        <v>39332.979941666665</v>
      </c>
      <c r="AB24" s="20">
        <f t="shared" si="3"/>
        <v>39332.979941666665</v>
      </c>
      <c r="AC24" s="20">
        <f t="shared" si="3"/>
        <v>39332.979941666665</v>
      </c>
      <c r="AD24" s="20">
        <f t="shared" si="3"/>
        <v>40512.969339916664</v>
      </c>
      <c r="AE24" s="20">
        <f t="shared" si="3"/>
        <v>40512.969339916664</v>
      </c>
      <c r="AF24" s="20">
        <f t="shared" si="3"/>
        <v>40512.969339916664</v>
      </c>
      <c r="AG24" s="20">
        <f t="shared" si="3"/>
        <v>40512.969339916664</v>
      </c>
      <c r="AH24" s="20">
        <f t="shared" si="3"/>
        <v>40512.969339916664</v>
      </c>
      <c r="AI24" s="20">
        <f t="shared" si="3"/>
        <v>40512.969339916664</v>
      </c>
      <c r="AJ24" s="20">
        <f t="shared" si="3"/>
        <v>40512.969339916664</v>
      </c>
      <c r="AK24" s="20">
        <f t="shared" si="3"/>
        <v>40512.969339916664</v>
      </c>
      <c r="AL24" s="20">
        <f t="shared" si="3"/>
        <v>40512.969339916664</v>
      </c>
      <c r="AM24" s="20">
        <f t="shared" si="3"/>
        <v>40512.969339916664</v>
      </c>
      <c r="AN24" s="20">
        <f t="shared" si="3"/>
        <v>40512.969339916664</v>
      </c>
      <c r="AO24" s="20">
        <f t="shared" si="3"/>
        <v>40512.969339916664</v>
      </c>
      <c r="AP24" s="20">
        <f t="shared" si="3"/>
        <v>41728.358420114164</v>
      </c>
      <c r="AQ24" s="20">
        <f t="shared" si="3"/>
        <v>41728.358420114164</v>
      </c>
      <c r="AR24" s="20">
        <f t="shared" si="3"/>
        <v>41728.358420114164</v>
      </c>
      <c r="AS24" s="20">
        <f t="shared" si="3"/>
        <v>41728.358420114164</v>
      </c>
      <c r="AT24" s="20">
        <f t="shared" si="3"/>
        <v>41728.358420114164</v>
      </c>
      <c r="AU24" s="20">
        <f t="shared" si="3"/>
        <v>41728.358420114164</v>
      </c>
      <c r="AV24" s="20">
        <f t="shared" si="3"/>
        <v>41728.358420114164</v>
      </c>
      <c r="AW24" s="20">
        <f t="shared" si="3"/>
        <v>41728.358420114164</v>
      </c>
      <c r="AX24" s="20">
        <f t="shared" si="3"/>
        <v>41728.358420114164</v>
      </c>
      <c r="AY24" s="20">
        <f t="shared" si="3"/>
        <v>41728.358420114164</v>
      </c>
      <c r="AZ24" s="20">
        <f t="shared" si="3"/>
        <v>41728.358420114164</v>
      </c>
      <c r="BA24" s="20">
        <f t="shared" si="3"/>
        <v>41728.358420114164</v>
      </c>
      <c r="BB24" s="20">
        <f t="shared" si="3"/>
        <v>42980.209172717587</v>
      </c>
      <c r="BC24" s="20">
        <f t="shared" si="3"/>
        <v>42980.209172717587</v>
      </c>
      <c r="BD24" s="20">
        <f t="shared" si="3"/>
        <v>42980.209172717587</v>
      </c>
      <c r="BE24" s="20">
        <f t="shared" si="3"/>
        <v>42980.209172717587</v>
      </c>
      <c r="BF24" s="20">
        <f t="shared" si="3"/>
        <v>42980.209172717587</v>
      </c>
      <c r="BG24" s="20">
        <f t="shared" si="3"/>
        <v>42980.209172717587</v>
      </c>
      <c r="BH24" s="20">
        <f t="shared" si="3"/>
        <v>42980.209172717587</v>
      </c>
      <c r="BI24" s="20">
        <f t="shared" si="3"/>
        <v>42980.209172717587</v>
      </c>
      <c r="BJ24" s="20">
        <f t="shared" si="3"/>
        <v>42980.209172717587</v>
      </c>
      <c r="BK24" s="20">
        <f t="shared" si="3"/>
        <v>42980.209172717587</v>
      </c>
      <c r="BL24" s="20">
        <f t="shared" si="3"/>
        <v>42980.209172717587</v>
      </c>
      <c r="BM24" s="20">
        <f t="shared" si="3"/>
        <v>42980.209172717587</v>
      </c>
      <c r="BN24" s="20">
        <f t="shared" si="3"/>
        <v>44269.615447899116</v>
      </c>
      <c r="BO24" s="20">
        <f t="shared" si="3"/>
        <v>44269.615447899116</v>
      </c>
      <c r="BP24" s="20">
        <f t="shared" si="3"/>
        <v>44269.615447899116</v>
      </c>
      <c r="BQ24" s="20">
        <f t="shared" si="3"/>
        <v>44269.615447899116</v>
      </c>
      <c r="BR24" s="20">
        <f t="shared" si="3"/>
        <v>44269.615447899116</v>
      </c>
      <c r="BS24" s="20">
        <f t="shared" si="3"/>
        <v>44269.615447899116</v>
      </c>
      <c r="BT24" s="20">
        <f t="shared" si="3"/>
        <v>44269.615447899116</v>
      </c>
      <c r="BU24" s="20">
        <f t="shared" si="3"/>
        <v>44269.615447899116</v>
      </c>
      <c r="BV24" s="20">
        <f t="shared" si="3"/>
        <v>44269.615447899116</v>
      </c>
      <c r="BW24" s="20">
        <f t="shared" si="3"/>
        <v>44269.615447899116</v>
      </c>
      <c r="BX24" s="20">
        <f t="shared" si="3"/>
        <v>44269.615447899116</v>
      </c>
      <c r="BY24" s="20">
        <f t="shared" si="3"/>
        <v>44269.615447899116</v>
      </c>
    </row>
    <row r="25" spans="2:77" x14ac:dyDescent="0.2">
      <c r="B25" t="s">
        <v>278</v>
      </c>
      <c r="C25" s="48">
        <f>'2021 T12'!P94</f>
        <v>331804.62000000005</v>
      </c>
      <c r="D25" s="20">
        <f t="shared" si="1"/>
        <v>27650.385000000006</v>
      </c>
      <c r="E25" s="53">
        <v>0.03</v>
      </c>
      <c r="F25" s="191">
        <f t="shared" si="4"/>
        <v>27650.385000000006</v>
      </c>
      <c r="G25" s="191">
        <f t="shared" si="4"/>
        <v>27650.385000000006</v>
      </c>
      <c r="H25" s="191">
        <f t="shared" si="4"/>
        <v>27650.385000000006</v>
      </c>
      <c r="I25" s="191">
        <f t="shared" si="4"/>
        <v>27650.385000000006</v>
      </c>
      <c r="J25" s="191">
        <f t="shared" si="4"/>
        <v>27650.385000000006</v>
      </c>
      <c r="K25" s="191">
        <f t="shared" si="4"/>
        <v>27650.385000000006</v>
      </c>
      <c r="L25" s="191">
        <f t="shared" si="4"/>
        <v>27650.385000000006</v>
      </c>
      <c r="M25" s="191">
        <f t="shared" si="4"/>
        <v>27650.385000000006</v>
      </c>
      <c r="N25" s="191">
        <f t="shared" si="4"/>
        <v>27650.385000000006</v>
      </c>
      <c r="O25" s="191">
        <f t="shared" si="4"/>
        <v>27650.385000000006</v>
      </c>
      <c r="P25" s="20">
        <f t="shared" si="5"/>
        <v>27650.385000000006</v>
      </c>
      <c r="Q25" s="20">
        <f t="shared" si="6"/>
        <v>27650.385000000006</v>
      </c>
      <c r="R25" s="20">
        <f t="shared" ref="R25:AG33" si="7">IF(R$22="","",$D25*(1+$E25)^(ROUNDUP((R$22-12)/12,0)-1))</f>
        <v>27650.385000000006</v>
      </c>
      <c r="S25" s="20">
        <f t="shared" si="7"/>
        <v>27650.385000000006</v>
      </c>
      <c r="T25" s="20">
        <f t="shared" si="7"/>
        <v>27650.385000000006</v>
      </c>
      <c r="U25" s="20">
        <f t="shared" si="7"/>
        <v>27650.385000000006</v>
      </c>
      <c r="V25" s="20">
        <f t="shared" si="7"/>
        <v>27650.385000000006</v>
      </c>
      <c r="W25" s="20">
        <f t="shared" si="7"/>
        <v>27650.385000000006</v>
      </c>
      <c r="X25" s="20">
        <f t="shared" si="7"/>
        <v>27650.385000000006</v>
      </c>
      <c r="Y25" s="20">
        <f t="shared" si="7"/>
        <v>27650.385000000006</v>
      </c>
      <c r="Z25" s="20">
        <f t="shared" si="7"/>
        <v>27650.385000000006</v>
      </c>
      <c r="AA25" s="20">
        <f t="shared" si="7"/>
        <v>27650.385000000006</v>
      </c>
      <c r="AB25" s="20">
        <f t="shared" si="7"/>
        <v>27650.385000000006</v>
      </c>
      <c r="AC25" s="20">
        <f t="shared" si="7"/>
        <v>27650.385000000006</v>
      </c>
      <c r="AD25" s="20">
        <f t="shared" si="7"/>
        <v>28479.896550000005</v>
      </c>
      <c r="AE25" s="20">
        <f t="shared" si="7"/>
        <v>28479.896550000005</v>
      </c>
      <c r="AF25" s="20">
        <f t="shared" si="7"/>
        <v>28479.896550000005</v>
      </c>
      <c r="AG25" s="20">
        <f t="shared" si="7"/>
        <v>28479.896550000005</v>
      </c>
      <c r="AH25" s="20">
        <f t="shared" si="3"/>
        <v>28479.896550000005</v>
      </c>
      <c r="AI25" s="20">
        <f t="shared" si="3"/>
        <v>28479.896550000005</v>
      </c>
      <c r="AJ25" s="20">
        <f t="shared" si="3"/>
        <v>28479.896550000005</v>
      </c>
      <c r="AK25" s="20">
        <f t="shared" si="3"/>
        <v>28479.896550000005</v>
      </c>
      <c r="AL25" s="20">
        <f t="shared" si="3"/>
        <v>28479.896550000005</v>
      </c>
      <c r="AM25" s="20">
        <f t="shared" si="3"/>
        <v>28479.896550000005</v>
      </c>
      <c r="AN25" s="20">
        <f t="shared" si="3"/>
        <v>28479.896550000005</v>
      </c>
      <c r="AO25" s="20">
        <f t="shared" si="3"/>
        <v>28479.896550000005</v>
      </c>
      <c r="AP25" s="20">
        <f t="shared" si="3"/>
        <v>29334.293446500003</v>
      </c>
      <c r="AQ25" s="20">
        <f t="shared" si="3"/>
        <v>29334.293446500003</v>
      </c>
      <c r="AR25" s="20">
        <f t="shared" si="3"/>
        <v>29334.293446500003</v>
      </c>
      <c r="AS25" s="20">
        <f t="shared" si="3"/>
        <v>29334.293446500003</v>
      </c>
      <c r="AT25" s="20">
        <f t="shared" si="3"/>
        <v>29334.293446500003</v>
      </c>
      <c r="AU25" s="20">
        <f t="shared" si="3"/>
        <v>29334.293446500003</v>
      </c>
      <c r="AV25" s="20">
        <f t="shared" si="3"/>
        <v>29334.293446500003</v>
      </c>
      <c r="AW25" s="20">
        <f t="shared" si="3"/>
        <v>29334.293446500003</v>
      </c>
      <c r="AX25" s="20">
        <f t="shared" si="3"/>
        <v>29334.293446500003</v>
      </c>
      <c r="AY25" s="20">
        <f t="shared" si="3"/>
        <v>29334.293446500003</v>
      </c>
      <c r="AZ25" s="20">
        <f t="shared" si="3"/>
        <v>29334.293446500003</v>
      </c>
      <c r="BA25" s="20">
        <f t="shared" si="3"/>
        <v>29334.293446500003</v>
      </c>
      <c r="BB25" s="20">
        <f t="shared" si="3"/>
        <v>30214.322249895005</v>
      </c>
      <c r="BC25" s="20">
        <f t="shared" si="3"/>
        <v>30214.322249895005</v>
      </c>
      <c r="BD25" s="20">
        <f t="shared" si="3"/>
        <v>30214.322249895005</v>
      </c>
      <c r="BE25" s="20">
        <f t="shared" si="3"/>
        <v>30214.322249895005</v>
      </c>
      <c r="BF25" s="20">
        <f t="shared" si="3"/>
        <v>30214.322249895005</v>
      </c>
      <c r="BG25" s="20">
        <f t="shared" si="3"/>
        <v>30214.322249895005</v>
      </c>
      <c r="BH25" s="20">
        <f t="shared" si="3"/>
        <v>30214.322249895005</v>
      </c>
      <c r="BI25" s="20">
        <f t="shared" si="3"/>
        <v>30214.322249895005</v>
      </c>
      <c r="BJ25" s="20">
        <f t="shared" si="3"/>
        <v>30214.322249895005</v>
      </c>
      <c r="BK25" s="20">
        <f t="shared" si="3"/>
        <v>30214.322249895005</v>
      </c>
      <c r="BL25" s="20">
        <f t="shared" si="3"/>
        <v>30214.322249895005</v>
      </c>
      <c r="BM25" s="20">
        <f t="shared" si="3"/>
        <v>30214.322249895005</v>
      </c>
      <c r="BN25" s="20">
        <f t="shared" si="3"/>
        <v>31120.751917391855</v>
      </c>
      <c r="BO25" s="20">
        <f t="shared" si="3"/>
        <v>31120.751917391855</v>
      </c>
      <c r="BP25" s="20">
        <f t="shared" si="3"/>
        <v>31120.751917391855</v>
      </c>
      <c r="BQ25" s="20">
        <f t="shared" si="3"/>
        <v>31120.751917391855</v>
      </c>
      <c r="BR25" s="20">
        <f t="shared" si="3"/>
        <v>31120.751917391855</v>
      </c>
      <c r="BS25" s="20">
        <f t="shared" si="3"/>
        <v>31120.751917391855</v>
      </c>
      <c r="BT25" s="20">
        <f t="shared" si="3"/>
        <v>31120.751917391855</v>
      </c>
      <c r="BU25" s="20">
        <f t="shared" si="3"/>
        <v>31120.751917391855</v>
      </c>
      <c r="BV25" s="20">
        <f t="shared" si="3"/>
        <v>31120.751917391855</v>
      </c>
      <c r="BW25" s="20">
        <f t="shared" si="3"/>
        <v>31120.751917391855</v>
      </c>
      <c r="BX25" s="20">
        <f t="shared" si="3"/>
        <v>31120.751917391855</v>
      </c>
      <c r="BY25" s="20">
        <f t="shared" si="3"/>
        <v>31120.751917391855</v>
      </c>
    </row>
    <row r="26" spans="2:77" x14ac:dyDescent="0.2">
      <c r="B26" t="s">
        <v>279</v>
      </c>
      <c r="C26" s="48">
        <f>'2021 T12'!P101</f>
        <v>115205.49999999999</v>
      </c>
      <c r="D26" s="20">
        <f t="shared" si="1"/>
        <v>9600.4583333333321</v>
      </c>
      <c r="E26" s="53">
        <v>0.03</v>
      </c>
      <c r="F26" s="191">
        <f t="shared" si="4"/>
        <v>9600.4583333333321</v>
      </c>
      <c r="G26" s="191">
        <f t="shared" si="4"/>
        <v>9600.4583333333321</v>
      </c>
      <c r="H26" s="191">
        <f t="shared" si="4"/>
        <v>9600.4583333333321</v>
      </c>
      <c r="I26" s="191">
        <f t="shared" si="4"/>
        <v>9600.4583333333321</v>
      </c>
      <c r="J26" s="191">
        <f t="shared" si="4"/>
        <v>9600.4583333333321</v>
      </c>
      <c r="K26" s="191">
        <f t="shared" si="4"/>
        <v>9600.4583333333321</v>
      </c>
      <c r="L26" s="191">
        <f t="shared" si="4"/>
        <v>9600.4583333333321</v>
      </c>
      <c r="M26" s="191">
        <f t="shared" si="4"/>
        <v>9600.4583333333321</v>
      </c>
      <c r="N26" s="191">
        <f t="shared" si="4"/>
        <v>9600.4583333333321</v>
      </c>
      <c r="O26" s="191">
        <f t="shared" si="4"/>
        <v>9600.4583333333321</v>
      </c>
      <c r="P26" s="20">
        <f t="shared" si="5"/>
        <v>9600.4583333333321</v>
      </c>
      <c r="Q26" s="20">
        <f t="shared" si="6"/>
        <v>9600.4583333333321</v>
      </c>
      <c r="R26" s="20">
        <f t="shared" si="7"/>
        <v>9600.4583333333321</v>
      </c>
      <c r="S26" s="20">
        <f t="shared" si="3"/>
        <v>9600.4583333333321</v>
      </c>
      <c r="T26" s="20">
        <f t="shared" si="3"/>
        <v>9600.4583333333321</v>
      </c>
      <c r="U26" s="20">
        <f t="shared" si="3"/>
        <v>9600.4583333333321</v>
      </c>
      <c r="V26" s="20">
        <f t="shared" si="3"/>
        <v>9600.4583333333321</v>
      </c>
      <c r="W26" s="20">
        <f t="shared" si="3"/>
        <v>9600.4583333333321</v>
      </c>
      <c r="X26" s="20">
        <f t="shared" si="3"/>
        <v>9600.4583333333321</v>
      </c>
      <c r="Y26" s="20">
        <f t="shared" si="3"/>
        <v>9600.4583333333321</v>
      </c>
      <c r="Z26" s="20">
        <f t="shared" si="3"/>
        <v>9600.4583333333321</v>
      </c>
      <c r="AA26" s="20">
        <f t="shared" si="3"/>
        <v>9600.4583333333321</v>
      </c>
      <c r="AB26" s="20">
        <f t="shared" si="3"/>
        <v>9600.4583333333321</v>
      </c>
      <c r="AC26" s="20">
        <f t="shared" si="3"/>
        <v>9600.4583333333321</v>
      </c>
      <c r="AD26" s="20">
        <f t="shared" si="3"/>
        <v>9888.4720833333322</v>
      </c>
      <c r="AE26" s="20">
        <f t="shared" si="3"/>
        <v>9888.4720833333322</v>
      </c>
      <c r="AF26" s="20">
        <f t="shared" si="3"/>
        <v>9888.4720833333322</v>
      </c>
      <c r="AG26" s="20">
        <f t="shared" si="3"/>
        <v>9888.4720833333322</v>
      </c>
      <c r="AH26" s="20">
        <f t="shared" si="3"/>
        <v>9888.4720833333322</v>
      </c>
      <c r="AI26" s="20">
        <f t="shared" si="3"/>
        <v>9888.4720833333322</v>
      </c>
      <c r="AJ26" s="20">
        <f t="shared" si="3"/>
        <v>9888.4720833333322</v>
      </c>
      <c r="AK26" s="20">
        <f t="shared" si="3"/>
        <v>9888.4720833333322</v>
      </c>
      <c r="AL26" s="20">
        <f t="shared" si="3"/>
        <v>9888.4720833333322</v>
      </c>
      <c r="AM26" s="20">
        <f t="shared" si="3"/>
        <v>9888.4720833333322</v>
      </c>
      <c r="AN26" s="20">
        <f t="shared" si="3"/>
        <v>9888.4720833333322</v>
      </c>
      <c r="AO26" s="20">
        <f t="shared" si="3"/>
        <v>9888.4720833333322</v>
      </c>
      <c r="AP26" s="20">
        <f t="shared" si="3"/>
        <v>10185.126245833331</v>
      </c>
      <c r="AQ26" s="20">
        <f t="shared" si="3"/>
        <v>10185.126245833331</v>
      </c>
      <c r="AR26" s="20">
        <f t="shared" si="3"/>
        <v>10185.126245833331</v>
      </c>
      <c r="AS26" s="20">
        <f t="shared" si="3"/>
        <v>10185.126245833331</v>
      </c>
      <c r="AT26" s="20">
        <f t="shared" si="3"/>
        <v>10185.126245833331</v>
      </c>
      <c r="AU26" s="20">
        <f t="shared" si="3"/>
        <v>10185.126245833331</v>
      </c>
      <c r="AV26" s="20">
        <f t="shared" si="3"/>
        <v>10185.126245833331</v>
      </c>
      <c r="AW26" s="20">
        <f t="shared" si="3"/>
        <v>10185.126245833331</v>
      </c>
      <c r="AX26" s="20">
        <f t="shared" si="3"/>
        <v>10185.126245833331</v>
      </c>
      <c r="AY26" s="20">
        <f t="shared" si="3"/>
        <v>10185.126245833331</v>
      </c>
      <c r="AZ26" s="20">
        <f t="shared" si="3"/>
        <v>10185.126245833331</v>
      </c>
      <c r="BA26" s="20">
        <f t="shared" ref="S26:BY30" si="8">IF(BA$22="","",$D26*(1+$E26)^(ROUNDUP((BA$22-12)/12,0)-1))</f>
        <v>10185.126245833331</v>
      </c>
      <c r="BB26" s="20">
        <f t="shared" si="8"/>
        <v>10490.680033208331</v>
      </c>
      <c r="BC26" s="20">
        <f t="shared" si="8"/>
        <v>10490.680033208331</v>
      </c>
      <c r="BD26" s="20">
        <f t="shared" si="8"/>
        <v>10490.680033208331</v>
      </c>
      <c r="BE26" s="20">
        <f t="shared" si="8"/>
        <v>10490.680033208331</v>
      </c>
      <c r="BF26" s="20">
        <f t="shared" si="8"/>
        <v>10490.680033208331</v>
      </c>
      <c r="BG26" s="20">
        <f t="shared" si="8"/>
        <v>10490.680033208331</v>
      </c>
      <c r="BH26" s="20">
        <f t="shared" si="8"/>
        <v>10490.680033208331</v>
      </c>
      <c r="BI26" s="20">
        <f t="shared" si="8"/>
        <v>10490.680033208331</v>
      </c>
      <c r="BJ26" s="20">
        <f t="shared" si="8"/>
        <v>10490.680033208331</v>
      </c>
      <c r="BK26" s="20">
        <f t="shared" si="8"/>
        <v>10490.680033208331</v>
      </c>
      <c r="BL26" s="20">
        <f t="shared" si="8"/>
        <v>10490.680033208331</v>
      </c>
      <c r="BM26" s="20">
        <f t="shared" si="8"/>
        <v>10490.680033208331</v>
      </c>
      <c r="BN26" s="20">
        <f t="shared" si="8"/>
        <v>10805.400434204581</v>
      </c>
      <c r="BO26" s="20">
        <f t="shared" si="8"/>
        <v>10805.400434204581</v>
      </c>
      <c r="BP26" s="20">
        <f t="shared" si="8"/>
        <v>10805.400434204581</v>
      </c>
      <c r="BQ26" s="20">
        <f t="shared" si="8"/>
        <v>10805.400434204581</v>
      </c>
      <c r="BR26" s="20">
        <f t="shared" si="8"/>
        <v>10805.400434204581</v>
      </c>
      <c r="BS26" s="20">
        <f t="shared" si="8"/>
        <v>10805.400434204581</v>
      </c>
      <c r="BT26" s="20">
        <f t="shared" si="8"/>
        <v>10805.400434204581</v>
      </c>
      <c r="BU26" s="20">
        <f t="shared" si="8"/>
        <v>10805.400434204581</v>
      </c>
      <c r="BV26" s="20">
        <f t="shared" si="8"/>
        <v>10805.400434204581</v>
      </c>
      <c r="BW26" s="20">
        <f t="shared" si="8"/>
        <v>10805.400434204581</v>
      </c>
      <c r="BX26" s="20">
        <f t="shared" si="8"/>
        <v>10805.400434204581</v>
      </c>
      <c r="BY26" s="20">
        <f t="shared" si="8"/>
        <v>10805.400434204581</v>
      </c>
    </row>
    <row r="27" spans="2:77" x14ac:dyDescent="0.2">
      <c r="B27" t="s">
        <v>280</v>
      </c>
      <c r="C27" s="48">
        <f>'2021 T12'!P106</f>
        <v>62232.115900000004</v>
      </c>
      <c r="D27" s="20">
        <f t="shared" si="1"/>
        <v>5186.0096583333334</v>
      </c>
      <c r="E27" s="53">
        <v>0.03</v>
      </c>
      <c r="F27" s="191">
        <f t="shared" si="4"/>
        <v>5186.0096583333334</v>
      </c>
      <c r="G27" s="191">
        <f t="shared" si="4"/>
        <v>5186.0096583333334</v>
      </c>
      <c r="H27" s="191">
        <f t="shared" si="4"/>
        <v>5186.0096583333334</v>
      </c>
      <c r="I27" s="191">
        <f t="shared" si="4"/>
        <v>5186.0096583333334</v>
      </c>
      <c r="J27" s="191">
        <f t="shared" si="4"/>
        <v>5186.0096583333334</v>
      </c>
      <c r="K27" s="191">
        <f t="shared" si="4"/>
        <v>5186.0096583333334</v>
      </c>
      <c r="L27" s="191">
        <f t="shared" si="4"/>
        <v>5186.0096583333334</v>
      </c>
      <c r="M27" s="191">
        <f t="shared" si="4"/>
        <v>5186.0096583333334</v>
      </c>
      <c r="N27" s="191">
        <f t="shared" si="4"/>
        <v>5186.0096583333334</v>
      </c>
      <c r="O27" s="191">
        <f t="shared" si="4"/>
        <v>5186.0096583333334</v>
      </c>
      <c r="P27" s="20">
        <f t="shared" si="5"/>
        <v>5186.0096583333334</v>
      </c>
      <c r="Q27" s="20">
        <f t="shared" si="6"/>
        <v>5186.0096583333334</v>
      </c>
      <c r="R27" s="20">
        <f t="shared" si="7"/>
        <v>5186.0096583333334</v>
      </c>
      <c r="S27" s="20">
        <f t="shared" si="8"/>
        <v>5186.0096583333334</v>
      </c>
      <c r="T27" s="20">
        <f t="shared" si="8"/>
        <v>5186.0096583333334</v>
      </c>
      <c r="U27" s="20">
        <f t="shared" si="8"/>
        <v>5186.0096583333334</v>
      </c>
      <c r="V27" s="20">
        <f t="shared" si="8"/>
        <v>5186.0096583333334</v>
      </c>
      <c r="W27" s="20">
        <f t="shared" si="8"/>
        <v>5186.0096583333334</v>
      </c>
      <c r="X27" s="20">
        <f t="shared" si="8"/>
        <v>5186.0096583333334</v>
      </c>
      <c r="Y27" s="20">
        <f t="shared" si="8"/>
        <v>5186.0096583333334</v>
      </c>
      <c r="Z27" s="20">
        <f t="shared" si="8"/>
        <v>5186.0096583333334</v>
      </c>
      <c r="AA27" s="20">
        <f t="shared" si="8"/>
        <v>5186.0096583333334</v>
      </c>
      <c r="AB27" s="20">
        <f t="shared" si="8"/>
        <v>5186.0096583333334</v>
      </c>
      <c r="AC27" s="20">
        <f t="shared" si="8"/>
        <v>5186.0096583333334</v>
      </c>
      <c r="AD27" s="20">
        <f t="shared" si="8"/>
        <v>5341.5899480833332</v>
      </c>
      <c r="AE27" s="20">
        <f t="shared" si="8"/>
        <v>5341.5899480833332</v>
      </c>
      <c r="AF27" s="20">
        <f t="shared" si="8"/>
        <v>5341.5899480833332</v>
      </c>
      <c r="AG27" s="20">
        <f t="shared" si="8"/>
        <v>5341.5899480833332</v>
      </c>
      <c r="AH27" s="20">
        <f t="shared" si="8"/>
        <v>5341.5899480833332</v>
      </c>
      <c r="AI27" s="20">
        <f t="shared" si="8"/>
        <v>5341.5899480833332</v>
      </c>
      <c r="AJ27" s="20">
        <f t="shared" si="8"/>
        <v>5341.5899480833332</v>
      </c>
      <c r="AK27" s="20">
        <f t="shared" si="8"/>
        <v>5341.5899480833332</v>
      </c>
      <c r="AL27" s="20">
        <f t="shared" si="8"/>
        <v>5341.5899480833332</v>
      </c>
      <c r="AM27" s="20">
        <f t="shared" si="8"/>
        <v>5341.5899480833332</v>
      </c>
      <c r="AN27" s="20">
        <f t="shared" si="8"/>
        <v>5341.5899480833332</v>
      </c>
      <c r="AO27" s="20">
        <f t="shared" si="8"/>
        <v>5341.5899480833332</v>
      </c>
      <c r="AP27" s="20">
        <f t="shared" si="8"/>
        <v>5501.8376465258334</v>
      </c>
      <c r="AQ27" s="20">
        <f t="shared" si="8"/>
        <v>5501.8376465258334</v>
      </c>
      <c r="AR27" s="20">
        <f t="shared" si="8"/>
        <v>5501.8376465258334</v>
      </c>
      <c r="AS27" s="20">
        <f t="shared" si="8"/>
        <v>5501.8376465258334</v>
      </c>
      <c r="AT27" s="20">
        <f t="shared" si="8"/>
        <v>5501.8376465258334</v>
      </c>
      <c r="AU27" s="20">
        <f t="shared" si="8"/>
        <v>5501.8376465258334</v>
      </c>
      <c r="AV27" s="20">
        <f t="shared" si="8"/>
        <v>5501.8376465258334</v>
      </c>
      <c r="AW27" s="20">
        <f t="shared" si="8"/>
        <v>5501.8376465258334</v>
      </c>
      <c r="AX27" s="20">
        <f t="shared" si="8"/>
        <v>5501.8376465258334</v>
      </c>
      <c r="AY27" s="20">
        <f t="shared" si="8"/>
        <v>5501.8376465258334</v>
      </c>
      <c r="AZ27" s="20">
        <f t="shared" si="8"/>
        <v>5501.8376465258334</v>
      </c>
      <c r="BA27" s="20">
        <f t="shared" si="8"/>
        <v>5501.8376465258334</v>
      </c>
      <c r="BB27" s="20">
        <f t="shared" si="8"/>
        <v>5666.8927759216085</v>
      </c>
      <c r="BC27" s="20">
        <f t="shared" si="8"/>
        <v>5666.8927759216085</v>
      </c>
      <c r="BD27" s="20">
        <f t="shared" si="8"/>
        <v>5666.8927759216085</v>
      </c>
      <c r="BE27" s="20">
        <f t="shared" si="8"/>
        <v>5666.8927759216085</v>
      </c>
      <c r="BF27" s="20">
        <f t="shared" si="8"/>
        <v>5666.8927759216085</v>
      </c>
      <c r="BG27" s="20">
        <f t="shared" si="8"/>
        <v>5666.8927759216085</v>
      </c>
      <c r="BH27" s="20">
        <f t="shared" si="8"/>
        <v>5666.8927759216085</v>
      </c>
      <c r="BI27" s="20">
        <f t="shared" si="8"/>
        <v>5666.8927759216085</v>
      </c>
      <c r="BJ27" s="20">
        <f t="shared" si="8"/>
        <v>5666.8927759216085</v>
      </c>
      <c r="BK27" s="20">
        <f t="shared" si="8"/>
        <v>5666.8927759216085</v>
      </c>
      <c r="BL27" s="20">
        <f t="shared" si="8"/>
        <v>5666.8927759216085</v>
      </c>
      <c r="BM27" s="20">
        <f t="shared" si="8"/>
        <v>5666.8927759216085</v>
      </c>
      <c r="BN27" s="20">
        <f t="shared" si="8"/>
        <v>5836.8995591992561</v>
      </c>
      <c r="BO27" s="20">
        <f t="shared" si="8"/>
        <v>5836.8995591992561</v>
      </c>
      <c r="BP27" s="20">
        <f t="shared" si="8"/>
        <v>5836.8995591992561</v>
      </c>
      <c r="BQ27" s="20">
        <f t="shared" si="8"/>
        <v>5836.8995591992561</v>
      </c>
      <c r="BR27" s="20">
        <f t="shared" si="8"/>
        <v>5836.8995591992561</v>
      </c>
      <c r="BS27" s="20">
        <f t="shared" si="8"/>
        <v>5836.8995591992561</v>
      </c>
      <c r="BT27" s="20">
        <f t="shared" si="8"/>
        <v>5836.8995591992561</v>
      </c>
      <c r="BU27" s="20">
        <f t="shared" si="8"/>
        <v>5836.8995591992561</v>
      </c>
      <c r="BV27" s="20">
        <f t="shared" si="8"/>
        <v>5836.8995591992561</v>
      </c>
      <c r="BW27" s="20">
        <f t="shared" si="8"/>
        <v>5836.8995591992561</v>
      </c>
      <c r="BX27" s="20">
        <f t="shared" si="8"/>
        <v>5836.8995591992561</v>
      </c>
      <c r="BY27" s="20">
        <f t="shared" si="8"/>
        <v>5836.8995591992561</v>
      </c>
    </row>
    <row r="28" spans="2:77" x14ac:dyDescent="0.2">
      <c r="B28" t="s">
        <v>281</v>
      </c>
      <c r="C28" s="48">
        <f>'2021 T12'!P117</f>
        <v>13150</v>
      </c>
      <c r="D28" s="20">
        <f t="shared" si="1"/>
        <v>1095.8333333333333</v>
      </c>
      <c r="E28" s="53">
        <v>0.03</v>
      </c>
      <c r="F28" s="191">
        <f t="shared" si="4"/>
        <v>1095.8333333333333</v>
      </c>
      <c r="G28" s="191">
        <f t="shared" si="4"/>
        <v>1095.8333333333333</v>
      </c>
      <c r="H28" s="191">
        <f t="shared" si="4"/>
        <v>1095.8333333333333</v>
      </c>
      <c r="I28" s="191">
        <f t="shared" si="4"/>
        <v>1095.8333333333333</v>
      </c>
      <c r="J28" s="191">
        <f t="shared" si="4"/>
        <v>1095.8333333333333</v>
      </c>
      <c r="K28" s="191">
        <f t="shared" si="4"/>
        <v>1095.8333333333333</v>
      </c>
      <c r="L28" s="191">
        <f t="shared" si="4"/>
        <v>1095.8333333333333</v>
      </c>
      <c r="M28" s="191">
        <f t="shared" si="4"/>
        <v>1095.8333333333333</v>
      </c>
      <c r="N28" s="191">
        <f t="shared" si="4"/>
        <v>1095.8333333333333</v>
      </c>
      <c r="O28" s="191">
        <f t="shared" si="4"/>
        <v>1095.8333333333333</v>
      </c>
      <c r="P28" s="20">
        <f t="shared" si="5"/>
        <v>1095.8333333333333</v>
      </c>
      <c r="Q28" s="20">
        <f t="shared" si="6"/>
        <v>1095.8333333333333</v>
      </c>
      <c r="R28" s="20">
        <f t="shared" si="7"/>
        <v>1095.8333333333333</v>
      </c>
      <c r="S28" s="20">
        <f t="shared" si="8"/>
        <v>1095.8333333333333</v>
      </c>
      <c r="T28" s="20">
        <f t="shared" si="8"/>
        <v>1095.8333333333333</v>
      </c>
      <c r="U28" s="20">
        <f t="shared" si="8"/>
        <v>1095.8333333333333</v>
      </c>
      <c r="V28" s="20">
        <f t="shared" si="8"/>
        <v>1095.8333333333333</v>
      </c>
      <c r="W28" s="20">
        <f t="shared" si="8"/>
        <v>1095.8333333333333</v>
      </c>
      <c r="X28" s="20">
        <f t="shared" si="8"/>
        <v>1095.8333333333333</v>
      </c>
      <c r="Y28" s="20">
        <f t="shared" si="8"/>
        <v>1095.8333333333333</v>
      </c>
      <c r="Z28" s="20">
        <f t="shared" si="8"/>
        <v>1095.8333333333333</v>
      </c>
      <c r="AA28" s="20">
        <f t="shared" si="8"/>
        <v>1095.8333333333333</v>
      </c>
      <c r="AB28" s="20">
        <f t="shared" si="8"/>
        <v>1095.8333333333333</v>
      </c>
      <c r="AC28" s="20">
        <f t="shared" si="8"/>
        <v>1095.8333333333333</v>
      </c>
      <c r="AD28" s="20">
        <f t="shared" si="8"/>
        <v>1128.7083333333333</v>
      </c>
      <c r="AE28" s="20">
        <f t="shared" si="8"/>
        <v>1128.7083333333333</v>
      </c>
      <c r="AF28" s="20">
        <f t="shared" si="8"/>
        <v>1128.7083333333333</v>
      </c>
      <c r="AG28" s="20">
        <f t="shared" si="8"/>
        <v>1128.7083333333333</v>
      </c>
      <c r="AH28" s="20">
        <f t="shared" si="8"/>
        <v>1128.7083333333333</v>
      </c>
      <c r="AI28" s="20">
        <f t="shared" si="8"/>
        <v>1128.7083333333333</v>
      </c>
      <c r="AJ28" s="20">
        <f t="shared" si="8"/>
        <v>1128.7083333333333</v>
      </c>
      <c r="AK28" s="20">
        <f t="shared" si="8"/>
        <v>1128.7083333333333</v>
      </c>
      <c r="AL28" s="20">
        <f t="shared" si="8"/>
        <v>1128.7083333333333</v>
      </c>
      <c r="AM28" s="20">
        <f t="shared" si="8"/>
        <v>1128.7083333333333</v>
      </c>
      <c r="AN28" s="20">
        <f t="shared" si="8"/>
        <v>1128.7083333333333</v>
      </c>
      <c r="AO28" s="20">
        <f t="shared" si="8"/>
        <v>1128.7083333333333</v>
      </c>
      <c r="AP28" s="20">
        <f t="shared" si="8"/>
        <v>1162.5695833333332</v>
      </c>
      <c r="AQ28" s="20">
        <f t="shared" si="8"/>
        <v>1162.5695833333332</v>
      </c>
      <c r="AR28" s="20">
        <f t="shared" si="8"/>
        <v>1162.5695833333332</v>
      </c>
      <c r="AS28" s="20">
        <f t="shared" si="8"/>
        <v>1162.5695833333332</v>
      </c>
      <c r="AT28" s="20">
        <f t="shared" si="8"/>
        <v>1162.5695833333332</v>
      </c>
      <c r="AU28" s="20">
        <f t="shared" si="8"/>
        <v>1162.5695833333332</v>
      </c>
      <c r="AV28" s="20">
        <f t="shared" si="8"/>
        <v>1162.5695833333332</v>
      </c>
      <c r="AW28" s="20">
        <f t="shared" si="8"/>
        <v>1162.5695833333332</v>
      </c>
      <c r="AX28" s="20">
        <f t="shared" si="8"/>
        <v>1162.5695833333332</v>
      </c>
      <c r="AY28" s="20">
        <f t="shared" si="8"/>
        <v>1162.5695833333332</v>
      </c>
      <c r="AZ28" s="20">
        <f t="shared" si="8"/>
        <v>1162.5695833333332</v>
      </c>
      <c r="BA28" s="20">
        <f t="shared" si="8"/>
        <v>1162.5695833333332</v>
      </c>
      <c r="BB28" s="20">
        <f t="shared" si="8"/>
        <v>1197.4466708333332</v>
      </c>
      <c r="BC28" s="20">
        <f t="shared" si="8"/>
        <v>1197.4466708333332</v>
      </c>
      <c r="BD28" s="20">
        <f t="shared" si="8"/>
        <v>1197.4466708333332</v>
      </c>
      <c r="BE28" s="20">
        <f t="shared" si="8"/>
        <v>1197.4466708333332</v>
      </c>
      <c r="BF28" s="20">
        <f t="shared" si="8"/>
        <v>1197.4466708333332</v>
      </c>
      <c r="BG28" s="20">
        <f t="shared" si="8"/>
        <v>1197.4466708333332</v>
      </c>
      <c r="BH28" s="20">
        <f t="shared" si="8"/>
        <v>1197.4466708333332</v>
      </c>
      <c r="BI28" s="20">
        <f t="shared" si="8"/>
        <v>1197.4466708333332</v>
      </c>
      <c r="BJ28" s="20">
        <f t="shared" si="8"/>
        <v>1197.4466708333332</v>
      </c>
      <c r="BK28" s="20">
        <f t="shared" si="8"/>
        <v>1197.4466708333332</v>
      </c>
      <c r="BL28" s="20">
        <f t="shared" si="8"/>
        <v>1197.4466708333332</v>
      </c>
      <c r="BM28" s="20">
        <f t="shared" si="8"/>
        <v>1197.4466708333332</v>
      </c>
      <c r="BN28" s="20">
        <f t="shared" si="8"/>
        <v>1233.3700709583331</v>
      </c>
      <c r="BO28" s="20">
        <f t="shared" si="8"/>
        <v>1233.3700709583331</v>
      </c>
      <c r="BP28" s="20">
        <f t="shared" si="8"/>
        <v>1233.3700709583331</v>
      </c>
      <c r="BQ28" s="20">
        <f t="shared" si="8"/>
        <v>1233.3700709583331</v>
      </c>
      <c r="BR28" s="20">
        <f t="shared" si="8"/>
        <v>1233.3700709583331</v>
      </c>
      <c r="BS28" s="20">
        <f t="shared" si="8"/>
        <v>1233.3700709583331</v>
      </c>
      <c r="BT28" s="20">
        <f t="shared" si="8"/>
        <v>1233.3700709583331</v>
      </c>
      <c r="BU28" s="20">
        <f t="shared" si="8"/>
        <v>1233.3700709583331</v>
      </c>
      <c r="BV28" s="20">
        <f t="shared" si="8"/>
        <v>1233.3700709583331</v>
      </c>
      <c r="BW28" s="20">
        <f t="shared" si="8"/>
        <v>1233.3700709583331</v>
      </c>
      <c r="BX28" s="20">
        <f t="shared" si="8"/>
        <v>1233.3700709583331</v>
      </c>
      <c r="BY28" s="20">
        <f t="shared" si="8"/>
        <v>1233.3700709583331</v>
      </c>
    </row>
    <row r="29" spans="2:77" x14ac:dyDescent="0.2">
      <c r="B29" t="s">
        <v>282</v>
      </c>
      <c r="C29" s="48">
        <f>'2021 T12'!P123</f>
        <v>250</v>
      </c>
      <c r="D29" s="20">
        <f t="shared" si="1"/>
        <v>20.833333333333332</v>
      </c>
      <c r="E29" s="53">
        <v>0.03</v>
      </c>
      <c r="F29" s="191">
        <f t="shared" si="4"/>
        <v>20.833333333333332</v>
      </c>
      <c r="G29" s="191">
        <f t="shared" si="4"/>
        <v>20.833333333333332</v>
      </c>
      <c r="H29" s="191">
        <f t="shared" si="4"/>
        <v>20.833333333333332</v>
      </c>
      <c r="I29" s="191">
        <f t="shared" si="4"/>
        <v>20.833333333333332</v>
      </c>
      <c r="J29" s="191">
        <f t="shared" si="4"/>
        <v>20.833333333333332</v>
      </c>
      <c r="K29" s="191">
        <f t="shared" si="4"/>
        <v>20.833333333333332</v>
      </c>
      <c r="L29" s="191">
        <f t="shared" si="4"/>
        <v>20.833333333333332</v>
      </c>
      <c r="M29" s="191">
        <f t="shared" si="4"/>
        <v>20.833333333333332</v>
      </c>
      <c r="N29" s="191">
        <f t="shared" si="4"/>
        <v>20.833333333333332</v>
      </c>
      <c r="O29" s="191">
        <f t="shared" si="4"/>
        <v>20.833333333333332</v>
      </c>
      <c r="P29" s="20">
        <f t="shared" si="5"/>
        <v>20.833333333333332</v>
      </c>
      <c r="Q29" s="20">
        <f t="shared" si="6"/>
        <v>20.833333333333332</v>
      </c>
      <c r="R29" s="20">
        <f t="shared" si="7"/>
        <v>20.833333333333332</v>
      </c>
      <c r="S29" s="20">
        <f t="shared" si="8"/>
        <v>20.833333333333332</v>
      </c>
      <c r="T29" s="20">
        <f t="shared" si="8"/>
        <v>20.833333333333332</v>
      </c>
      <c r="U29" s="20">
        <f t="shared" si="8"/>
        <v>20.833333333333332</v>
      </c>
      <c r="V29" s="20">
        <f t="shared" si="8"/>
        <v>20.833333333333332</v>
      </c>
      <c r="W29" s="20">
        <f t="shared" si="8"/>
        <v>20.833333333333332</v>
      </c>
      <c r="X29" s="20">
        <f t="shared" si="8"/>
        <v>20.833333333333332</v>
      </c>
      <c r="Y29" s="20">
        <f t="shared" si="8"/>
        <v>20.833333333333332</v>
      </c>
      <c r="Z29" s="20">
        <f t="shared" si="8"/>
        <v>20.833333333333332</v>
      </c>
      <c r="AA29" s="20">
        <f t="shared" si="8"/>
        <v>20.833333333333332</v>
      </c>
      <c r="AB29" s="20">
        <f t="shared" si="8"/>
        <v>20.833333333333332</v>
      </c>
      <c r="AC29" s="20">
        <f t="shared" si="8"/>
        <v>20.833333333333332</v>
      </c>
      <c r="AD29" s="20">
        <f t="shared" si="8"/>
        <v>21.458333333333332</v>
      </c>
      <c r="AE29" s="20">
        <f t="shared" si="8"/>
        <v>21.458333333333332</v>
      </c>
      <c r="AF29" s="20">
        <f t="shared" si="8"/>
        <v>21.458333333333332</v>
      </c>
      <c r="AG29" s="20">
        <f t="shared" si="8"/>
        <v>21.458333333333332</v>
      </c>
      <c r="AH29" s="20">
        <f t="shared" si="8"/>
        <v>21.458333333333332</v>
      </c>
      <c r="AI29" s="20">
        <f t="shared" si="8"/>
        <v>21.458333333333332</v>
      </c>
      <c r="AJ29" s="20">
        <f t="shared" si="8"/>
        <v>21.458333333333332</v>
      </c>
      <c r="AK29" s="20">
        <f t="shared" si="8"/>
        <v>21.458333333333332</v>
      </c>
      <c r="AL29" s="20">
        <f t="shared" si="8"/>
        <v>21.458333333333332</v>
      </c>
      <c r="AM29" s="20">
        <f t="shared" si="8"/>
        <v>21.458333333333332</v>
      </c>
      <c r="AN29" s="20">
        <f t="shared" si="8"/>
        <v>21.458333333333332</v>
      </c>
      <c r="AO29" s="20">
        <f t="shared" si="8"/>
        <v>21.458333333333332</v>
      </c>
      <c r="AP29" s="20">
        <f t="shared" si="8"/>
        <v>22.102083333333333</v>
      </c>
      <c r="AQ29" s="20">
        <f t="shared" si="8"/>
        <v>22.102083333333333</v>
      </c>
      <c r="AR29" s="20">
        <f t="shared" si="8"/>
        <v>22.102083333333333</v>
      </c>
      <c r="AS29" s="20">
        <f t="shared" si="8"/>
        <v>22.102083333333333</v>
      </c>
      <c r="AT29" s="20">
        <f t="shared" si="8"/>
        <v>22.102083333333333</v>
      </c>
      <c r="AU29" s="20">
        <f t="shared" si="8"/>
        <v>22.102083333333333</v>
      </c>
      <c r="AV29" s="20">
        <f t="shared" si="8"/>
        <v>22.102083333333333</v>
      </c>
      <c r="AW29" s="20">
        <f t="shared" si="8"/>
        <v>22.102083333333333</v>
      </c>
      <c r="AX29" s="20">
        <f t="shared" si="8"/>
        <v>22.102083333333333</v>
      </c>
      <c r="AY29" s="20">
        <f t="shared" si="8"/>
        <v>22.102083333333333</v>
      </c>
      <c r="AZ29" s="20">
        <f t="shared" si="8"/>
        <v>22.102083333333333</v>
      </c>
      <c r="BA29" s="20">
        <f t="shared" si="8"/>
        <v>22.102083333333333</v>
      </c>
      <c r="BB29" s="20">
        <f t="shared" si="8"/>
        <v>22.765145833333332</v>
      </c>
      <c r="BC29" s="20">
        <f t="shared" si="8"/>
        <v>22.765145833333332</v>
      </c>
      <c r="BD29" s="20">
        <f t="shared" si="8"/>
        <v>22.765145833333332</v>
      </c>
      <c r="BE29" s="20">
        <f t="shared" si="8"/>
        <v>22.765145833333332</v>
      </c>
      <c r="BF29" s="20">
        <f t="shared" si="8"/>
        <v>22.765145833333332</v>
      </c>
      <c r="BG29" s="20">
        <f t="shared" si="8"/>
        <v>22.765145833333332</v>
      </c>
      <c r="BH29" s="20">
        <f t="shared" si="8"/>
        <v>22.765145833333332</v>
      </c>
      <c r="BI29" s="20">
        <f t="shared" si="8"/>
        <v>22.765145833333332</v>
      </c>
      <c r="BJ29" s="20">
        <f t="shared" si="8"/>
        <v>22.765145833333332</v>
      </c>
      <c r="BK29" s="20">
        <f t="shared" si="8"/>
        <v>22.765145833333332</v>
      </c>
      <c r="BL29" s="20">
        <f t="shared" si="8"/>
        <v>22.765145833333332</v>
      </c>
      <c r="BM29" s="20">
        <f t="shared" si="8"/>
        <v>22.765145833333332</v>
      </c>
      <c r="BN29" s="20">
        <f t="shared" si="8"/>
        <v>23.448100208333329</v>
      </c>
      <c r="BO29" s="20">
        <f t="shared" si="8"/>
        <v>23.448100208333329</v>
      </c>
      <c r="BP29" s="20">
        <f t="shared" si="8"/>
        <v>23.448100208333329</v>
      </c>
      <c r="BQ29" s="20">
        <f t="shared" si="8"/>
        <v>23.448100208333329</v>
      </c>
      <c r="BR29" s="20">
        <f t="shared" si="8"/>
        <v>23.448100208333329</v>
      </c>
      <c r="BS29" s="20">
        <f t="shared" si="8"/>
        <v>23.448100208333329</v>
      </c>
      <c r="BT29" s="20">
        <f t="shared" si="8"/>
        <v>23.448100208333329</v>
      </c>
      <c r="BU29" s="20">
        <f t="shared" si="8"/>
        <v>23.448100208333329</v>
      </c>
      <c r="BV29" s="20">
        <f t="shared" si="8"/>
        <v>23.448100208333329</v>
      </c>
      <c r="BW29" s="20">
        <f t="shared" si="8"/>
        <v>23.448100208333329</v>
      </c>
      <c r="BX29" s="20">
        <f t="shared" si="8"/>
        <v>23.448100208333329</v>
      </c>
      <c r="BY29" s="20">
        <f t="shared" si="8"/>
        <v>23.448100208333329</v>
      </c>
    </row>
    <row r="30" spans="2:77" x14ac:dyDescent="0.2">
      <c r="B30" t="s">
        <v>283</v>
      </c>
      <c r="C30" s="48">
        <f>'2021 T12'!P134</f>
        <v>38500</v>
      </c>
      <c r="D30" s="20">
        <f t="shared" si="1"/>
        <v>3208.3333333333335</v>
      </c>
      <c r="E30" s="53">
        <v>0.03</v>
      </c>
      <c r="F30" s="191">
        <f t="shared" si="4"/>
        <v>3208.3333333333335</v>
      </c>
      <c r="G30" s="191">
        <f t="shared" si="4"/>
        <v>3208.3333333333335</v>
      </c>
      <c r="H30" s="191">
        <f t="shared" si="4"/>
        <v>3208.3333333333335</v>
      </c>
      <c r="I30" s="191">
        <f t="shared" si="4"/>
        <v>3208.3333333333335</v>
      </c>
      <c r="J30" s="191">
        <f t="shared" si="4"/>
        <v>3208.3333333333335</v>
      </c>
      <c r="K30" s="191">
        <f t="shared" si="4"/>
        <v>3208.3333333333335</v>
      </c>
      <c r="L30" s="191">
        <f t="shared" si="4"/>
        <v>3208.3333333333335</v>
      </c>
      <c r="M30" s="191">
        <f t="shared" si="4"/>
        <v>3208.3333333333335</v>
      </c>
      <c r="N30" s="191">
        <f t="shared" si="4"/>
        <v>3208.3333333333335</v>
      </c>
      <c r="O30" s="191">
        <f t="shared" si="4"/>
        <v>3208.3333333333335</v>
      </c>
      <c r="P30" s="20">
        <f t="shared" si="5"/>
        <v>3208.3333333333335</v>
      </c>
      <c r="Q30" s="20">
        <f t="shared" si="6"/>
        <v>3208.3333333333335</v>
      </c>
      <c r="R30" s="20">
        <f t="shared" si="7"/>
        <v>3208.3333333333335</v>
      </c>
      <c r="S30" s="20">
        <f t="shared" si="8"/>
        <v>3208.3333333333335</v>
      </c>
      <c r="T30" s="20">
        <f t="shared" si="8"/>
        <v>3208.3333333333335</v>
      </c>
      <c r="U30" s="20">
        <f t="shared" si="8"/>
        <v>3208.3333333333335</v>
      </c>
      <c r="V30" s="20">
        <f t="shared" si="8"/>
        <v>3208.3333333333335</v>
      </c>
      <c r="W30" s="20">
        <f t="shared" si="8"/>
        <v>3208.3333333333335</v>
      </c>
      <c r="X30" s="20">
        <f t="shared" si="8"/>
        <v>3208.3333333333335</v>
      </c>
      <c r="Y30" s="20">
        <f t="shared" si="8"/>
        <v>3208.3333333333335</v>
      </c>
      <c r="Z30" s="20">
        <f t="shared" si="8"/>
        <v>3208.3333333333335</v>
      </c>
      <c r="AA30" s="20">
        <f t="shared" si="8"/>
        <v>3208.3333333333335</v>
      </c>
      <c r="AB30" s="20">
        <f t="shared" si="8"/>
        <v>3208.3333333333335</v>
      </c>
      <c r="AC30" s="20">
        <f t="shared" si="8"/>
        <v>3208.3333333333335</v>
      </c>
      <c r="AD30" s="20">
        <f t="shared" si="8"/>
        <v>3304.5833333333335</v>
      </c>
      <c r="AE30" s="20">
        <f t="shared" si="8"/>
        <v>3304.5833333333335</v>
      </c>
      <c r="AF30" s="20">
        <f t="shared" si="8"/>
        <v>3304.5833333333335</v>
      </c>
      <c r="AG30" s="20">
        <f t="shared" si="8"/>
        <v>3304.5833333333335</v>
      </c>
      <c r="AH30" s="20">
        <f t="shared" si="8"/>
        <v>3304.5833333333335</v>
      </c>
      <c r="AI30" s="20">
        <f t="shared" si="8"/>
        <v>3304.5833333333335</v>
      </c>
      <c r="AJ30" s="20">
        <f t="shared" si="8"/>
        <v>3304.5833333333335</v>
      </c>
      <c r="AK30" s="20">
        <f t="shared" si="8"/>
        <v>3304.5833333333335</v>
      </c>
      <c r="AL30" s="20">
        <f t="shared" si="8"/>
        <v>3304.5833333333335</v>
      </c>
      <c r="AM30" s="20">
        <f t="shared" si="8"/>
        <v>3304.5833333333335</v>
      </c>
      <c r="AN30" s="20">
        <f t="shared" si="8"/>
        <v>3304.5833333333335</v>
      </c>
      <c r="AO30" s="20">
        <f t="shared" si="8"/>
        <v>3304.5833333333335</v>
      </c>
      <c r="AP30" s="20">
        <f t="shared" si="8"/>
        <v>3403.7208333333333</v>
      </c>
      <c r="AQ30" s="20">
        <f t="shared" si="8"/>
        <v>3403.7208333333333</v>
      </c>
      <c r="AR30" s="20">
        <f t="shared" si="8"/>
        <v>3403.7208333333333</v>
      </c>
      <c r="AS30" s="20">
        <f t="shared" si="8"/>
        <v>3403.7208333333333</v>
      </c>
      <c r="AT30" s="20">
        <f t="shared" si="8"/>
        <v>3403.7208333333333</v>
      </c>
      <c r="AU30" s="20">
        <f t="shared" si="8"/>
        <v>3403.7208333333333</v>
      </c>
      <c r="AV30" s="20">
        <f t="shared" si="8"/>
        <v>3403.7208333333333</v>
      </c>
      <c r="AW30" s="20">
        <f t="shared" si="8"/>
        <v>3403.7208333333333</v>
      </c>
      <c r="AX30" s="20">
        <f t="shared" si="8"/>
        <v>3403.7208333333333</v>
      </c>
      <c r="AY30" s="20">
        <f t="shared" si="8"/>
        <v>3403.7208333333333</v>
      </c>
      <c r="AZ30" s="20">
        <f t="shared" si="8"/>
        <v>3403.7208333333333</v>
      </c>
      <c r="BA30" s="20">
        <f t="shared" si="8"/>
        <v>3403.7208333333333</v>
      </c>
      <c r="BB30" s="20">
        <f t="shared" si="8"/>
        <v>3505.8324583333333</v>
      </c>
      <c r="BC30" s="20">
        <f t="shared" si="8"/>
        <v>3505.8324583333333</v>
      </c>
      <c r="BD30" s="20">
        <f t="shared" si="8"/>
        <v>3505.8324583333333</v>
      </c>
      <c r="BE30" s="20">
        <f t="shared" si="8"/>
        <v>3505.8324583333333</v>
      </c>
      <c r="BF30" s="20">
        <f t="shared" si="8"/>
        <v>3505.8324583333333</v>
      </c>
      <c r="BG30" s="20">
        <f t="shared" si="8"/>
        <v>3505.8324583333333</v>
      </c>
      <c r="BH30" s="20">
        <f t="shared" si="8"/>
        <v>3505.8324583333333</v>
      </c>
      <c r="BI30" s="20">
        <f t="shared" si="8"/>
        <v>3505.8324583333333</v>
      </c>
      <c r="BJ30" s="20">
        <f t="shared" si="8"/>
        <v>3505.8324583333333</v>
      </c>
      <c r="BK30" s="20">
        <f t="shared" si="8"/>
        <v>3505.8324583333333</v>
      </c>
      <c r="BL30" s="20">
        <f t="shared" si="8"/>
        <v>3505.8324583333333</v>
      </c>
      <c r="BM30" s="20">
        <f t="shared" si="8"/>
        <v>3505.8324583333333</v>
      </c>
      <c r="BN30" s="20">
        <f t="shared" si="8"/>
        <v>3611.0074320833332</v>
      </c>
      <c r="BO30" s="20">
        <f t="shared" si="8"/>
        <v>3611.0074320833332</v>
      </c>
      <c r="BP30" s="20">
        <f t="shared" si="8"/>
        <v>3611.0074320833332</v>
      </c>
      <c r="BQ30" s="20">
        <f t="shared" si="8"/>
        <v>3611.0074320833332</v>
      </c>
      <c r="BR30" s="20">
        <f t="shared" si="8"/>
        <v>3611.0074320833332</v>
      </c>
      <c r="BS30" s="20">
        <f t="shared" si="8"/>
        <v>3611.0074320833332</v>
      </c>
      <c r="BT30" s="20">
        <f t="shared" ref="S30:BY33" si="9">IF(BT$22="","",$D30*(1+$E30)^(ROUNDUP((BT$22-12)/12,0)-1))</f>
        <v>3611.0074320833332</v>
      </c>
      <c r="BU30" s="20">
        <f t="shared" si="9"/>
        <v>3611.0074320833332</v>
      </c>
      <c r="BV30" s="20">
        <f t="shared" si="9"/>
        <v>3611.0074320833332</v>
      </c>
      <c r="BW30" s="20">
        <f t="shared" si="9"/>
        <v>3611.0074320833332</v>
      </c>
      <c r="BX30" s="20">
        <f t="shared" si="9"/>
        <v>3611.0074320833332</v>
      </c>
      <c r="BY30" s="20">
        <f t="shared" si="9"/>
        <v>3611.0074320833332</v>
      </c>
    </row>
    <row r="31" spans="2:77" x14ac:dyDescent="0.2">
      <c r="B31" t="s">
        <v>284</v>
      </c>
      <c r="C31" s="48">
        <f>'2021 T12'!P139</f>
        <v>0</v>
      </c>
      <c r="D31" s="20">
        <f t="shared" si="1"/>
        <v>0</v>
      </c>
      <c r="E31" s="53">
        <v>0.03</v>
      </c>
      <c r="F31" s="191">
        <f t="shared" si="4"/>
        <v>0</v>
      </c>
      <c r="G31" s="191">
        <f t="shared" si="4"/>
        <v>0</v>
      </c>
      <c r="H31" s="191">
        <f t="shared" si="4"/>
        <v>0</v>
      </c>
      <c r="I31" s="191">
        <f t="shared" si="4"/>
        <v>0</v>
      </c>
      <c r="J31" s="191">
        <f t="shared" si="4"/>
        <v>0</v>
      </c>
      <c r="K31" s="191">
        <f t="shared" si="4"/>
        <v>0</v>
      </c>
      <c r="L31" s="191">
        <f t="shared" si="4"/>
        <v>0</v>
      </c>
      <c r="M31" s="191">
        <f t="shared" si="4"/>
        <v>0</v>
      </c>
      <c r="N31" s="191">
        <f t="shared" si="4"/>
        <v>0</v>
      </c>
      <c r="O31" s="191">
        <f t="shared" si="4"/>
        <v>0</v>
      </c>
      <c r="P31" s="20">
        <f t="shared" si="5"/>
        <v>0</v>
      </c>
      <c r="Q31" s="20">
        <f t="shared" si="6"/>
        <v>0</v>
      </c>
      <c r="R31" s="20">
        <f t="shared" si="7"/>
        <v>0</v>
      </c>
      <c r="S31" s="20">
        <f t="shared" si="9"/>
        <v>0</v>
      </c>
      <c r="T31" s="20">
        <f t="shared" si="9"/>
        <v>0</v>
      </c>
      <c r="U31" s="20">
        <f t="shared" si="9"/>
        <v>0</v>
      </c>
      <c r="V31" s="20">
        <f t="shared" si="9"/>
        <v>0</v>
      </c>
      <c r="W31" s="20">
        <f t="shared" si="9"/>
        <v>0</v>
      </c>
      <c r="X31" s="20">
        <f t="shared" si="9"/>
        <v>0</v>
      </c>
      <c r="Y31" s="20">
        <f t="shared" si="9"/>
        <v>0</v>
      </c>
      <c r="Z31" s="20">
        <f t="shared" si="9"/>
        <v>0</v>
      </c>
      <c r="AA31" s="20">
        <f t="shared" si="9"/>
        <v>0</v>
      </c>
      <c r="AB31" s="20">
        <f t="shared" si="9"/>
        <v>0</v>
      </c>
      <c r="AC31" s="20">
        <f t="shared" si="9"/>
        <v>0</v>
      </c>
      <c r="AD31" s="20">
        <f t="shared" si="9"/>
        <v>0</v>
      </c>
      <c r="AE31" s="20">
        <f t="shared" si="9"/>
        <v>0</v>
      </c>
      <c r="AF31" s="20">
        <f t="shared" si="9"/>
        <v>0</v>
      </c>
      <c r="AG31" s="20">
        <f t="shared" si="9"/>
        <v>0</v>
      </c>
      <c r="AH31" s="20">
        <f t="shared" si="9"/>
        <v>0</v>
      </c>
      <c r="AI31" s="20">
        <f t="shared" si="9"/>
        <v>0</v>
      </c>
      <c r="AJ31" s="20">
        <f t="shared" si="9"/>
        <v>0</v>
      </c>
      <c r="AK31" s="20">
        <f t="shared" si="9"/>
        <v>0</v>
      </c>
      <c r="AL31" s="20">
        <f t="shared" si="9"/>
        <v>0</v>
      </c>
      <c r="AM31" s="20">
        <f t="shared" si="9"/>
        <v>0</v>
      </c>
      <c r="AN31" s="20">
        <f t="shared" si="9"/>
        <v>0</v>
      </c>
      <c r="AO31" s="20">
        <f t="shared" si="9"/>
        <v>0</v>
      </c>
      <c r="AP31" s="20">
        <f t="shared" si="9"/>
        <v>0</v>
      </c>
      <c r="AQ31" s="20">
        <f t="shared" si="9"/>
        <v>0</v>
      </c>
      <c r="AR31" s="20">
        <f t="shared" si="9"/>
        <v>0</v>
      </c>
      <c r="AS31" s="20">
        <f t="shared" si="9"/>
        <v>0</v>
      </c>
      <c r="AT31" s="20">
        <f t="shared" si="9"/>
        <v>0</v>
      </c>
      <c r="AU31" s="20">
        <f t="shared" si="9"/>
        <v>0</v>
      </c>
      <c r="AV31" s="20">
        <f t="shared" si="9"/>
        <v>0</v>
      </c>
      <c r="AW31" s="20">
        <f t="shared" si="9"/>
        <v>0</v>
      </c>
      <c r="AX31" s="20">
        <f t="shared" si="9"/>
        <v>0</v>
      </c>
      <c r="AY31" s="20">
        <f t="shared" si="9"/>
        <v>0</v>
      </c>
      <c r="AZ31" s="20">
        <f t="shared" si="9"/>
        <v>0</v>
      </c>
      <c r="BA31" s="20">
        <f t="shared" si="9"/>
        <v>0</v>
      </c>
      <c r="BB31" s="20">
        <f t="shared" si="9"/>
        <v>0</v>
      </c>
      <c r="BC31" s="20">
        <f t="shared" si="9"/>
        <v>0</v>
      </c>
      <c r="BD31" s="20">
        <f t="shared" si="9"/>
        <v>0</v>
      </c>
      <c r="BE31" s="20">
        <f t="shared" si="9"/>
        <v>0</v>
      </c>
      <c r="BF31" s="20">
        <f t="shared" si="9"/>
        <v>0</v>
      </c>
      <c r="BG31" s="20">
        <f t="shared" si="9"/>
        <v>0</v>
      </c>
      <c r="BH31" s="20">
        <f t="shared" si="9"/>
        <v>0</v>
      </c>
      <c r="BI31" s="20">
        <f t="shared" si="9"/>
        <v>0</v>
      </c>
      <c r="BJ31" s="20">
        <f t="shared" si="9"/>
        <v>0</v>
      </c>
      <c r="BK31" s="20">
        <f t="shared" si="9"/>
        <v>0</v>
      </c>
      <c r="BL31" s="20">
        <f t="shared" si="9"/>
        <v>0</v>
      </c>
      <c r="BM31" s="20">
        <f t="shared" si="9"/>
        <v>0</v>
      </c>
      <c r="BN31" s="20">
        <f t="shared" si="9"/>
        <v>0</v>
      </c>
      <c r="BO31" s="20">
        <f t="shared" si="9"/>
        <v>0</v>
      </c>
      <c r="BP31" s="20">
        <f t="shared" si="9"/>
        <v>0</v>
      </c>
      <c r="BQ31" s="20">
        <f t="shared" si="9"/>
        <v>0</v>
      </c>
      <c r="BR31" s="20">
        <f t="shared" si="9"/>
        <v>0</v>
      </c>
      <c r="BS31" s="20">
        <f t="shared" si="9"/>
        <v>0</v>
      </c>
      <c r="BT31" s="20">
        <f t="shared" si="9"/>
        <v>0</v>
      </c>
      <c r="BU31" s="20">
        <f t="shared" si="9"/>
        <v>0</v>
      </c>
      <c r="BV31" s="20">
        <f t="shared" si="9"/>
        <v>0</v>
      </c>
      <c r="BW31" s="20">
        <f t="shared" si="9"/>
        <v>0</v>
      </c>
      <c r="BX31" s="20">
        <f t="shared" si="9"/>
        <v>0</v>
      </c>
      <c r="BY31" s="20">
        <f t="shared" si="9"/>
        <v>0</v>
      </c>
    </row>
    <row r="32" spans="2:77" x14ac:dyDescent="0.2">
      <c r="B32" t="s">
        <v>285</v>
      </c>
      <c r="C32" s="48">
        <f t="shared" ref="C32" si="10">C15</f>
        <v>2511</v>
      </c>
      <c r="D32" s="20">
        <f t="shared" si="1"/>
        <v>209.25</v>
      </c>
      <c r="E32" s="53">
        <v>0.03</v>
      </c>
      <c r="F32" s="191">
        <f t="shared" si="4"/>
        <v>209.25</v>
      </c>
      <c r="G32" s="191">
        <f t="shared" si="4"/>
        <v>209.25</v>
      </c>
      <c r="H32" s="191">
        <f t="shared" si="4"/>
        <v>209.25</v>
      </c>
      <c r="I32" s="191">
        <f t="shared" si="4"/>
        <v>209.25</v>
      </c>
      <c r="J32" s="191">
        <f t="shared" si="4"/>
        <v>209.25</v>
      </c>
      <c r="K32" s="191">
        <f t="shared" si="4"/>
        <v>209.25</v>
      </c>
      <c r="L32" s="191">
        <f t="shared" si="4"/>
        <v>209.25</v>
      </c>
      <c r="M32" s="191">
        <f t="shared" si="4"/>
        <v>209.25</v>
      </c>
      <c r="N32" s="191">
        <f t="shared" si="4"/>
        <v>209.25</v>
      </c>
      <c r="O32" s="191">
        <f t="shared" si="4"/>
        <v>209.25</v>
      </c>
      <c r="P32" s="20">
        <f t="shared" si="5"/>
        <v>209.25</v>
      </c>
      <c r="Q32" s="20">
        <f t="shared" si="6"/>
        <v>209.25</v>
      </c>
      <c r="R32" s="20">
        <f t="shared" si="7"/>
        <v>209.25</v>
      </c>
      <c r="S32" s="20">
        <f t="shared" si="9"/>
        <v>209.25</v>
      </c>
      <c r="T32" s="20">
        <f t="shared" si="9"/>
        <v>209.25</v>
      </c>
      <c r="U32" s="20">
        <f t="shared" si="9"/>
        <v>209.25</v>
      </c>
      <c r="V32" s="20">
        <f t="shared" si="9"/>
        <v>209.25</v>
      </c>
      <c r="W32" s="20">
        <f t="shared" si="9"/>
        <v>209.25</v>
      </c>
      <c r="X32" s="20">
        <f t="shared" si="9"/>
        <v>209.25</v>
      </c>
      <c r="Y32" s="20">
        <f t="shared" si="9"/>
        <v>209.25</v>
      </c>
      <c r="Z32" s="20">
        <f t="shared" si="9"/>
        <v>209.25</v>
      </c>
      <c r="AA32" s="20">
        <f t="shared" si="9"/>
        <v>209.25</v>
      </c>
      <c r="AB32" s="20">
        <f t="shared" si="9"/>
        <v>209.25</v>
      </c>
      <c r="AC32" s="20">
        <f t="shared" si="9"/>
        <v>209.25</v>
      </c>
      <c r="AD32" s="20">
        <f t="shared" si="9"/>
        <v>215.5275</v>
      </c>
      <c r="AE32" s="20">
        <f t="shared" si="9"/>
        <v>215.5275</v>
      </c>
      <c r="AF32" s="20">
        <f t="shared" si="9"/>
        <v>215.5275</v>
      </c>
      <c r="AG32" s="20">
        <f t="shared" si="9"/>
        <v>215.5275</v>
      </c>
      <c r="AH32" s="20">
        <f t="shared" si="9"/>
        <v>215.5275</v>
      </c>
      <c r="AI32" s="20">
        <f t="shared" si="9"/>
        <v>215.5275</v>
      </c>
      <c r="AJ32" s="20">
        <f t="shared" si="9"/>
        <v>215.5275</v>
      </c>
      <c r="AK32" s="20">
        <f t="shared" si="9"/>
        <v>215.5275</v>
      </c>
      <c r="AL32" s="20">
        <f t="shared" si="9"/>
        <v>215.5275</v>
      </c>
      <c r="AM32" s="20">
        <f t="shared" si="9"/>
        <v>215.5275</v>
      </c>
      <c r="AN32" s="20">
        <f t="shared" si="9"/>
        <v>215.5275</v>
      </c>
      <c r="AO32" s="20">
        <f t="shared" si="9"/>
        <v>215.5275</v>
      </c>
      <c r="AP32" s="20">
        <f t="shared" si="9"/>
        <v>221.993325</v>
      </c>
      <c r="AQ32" s="20">
        <f t="shared" si="9"/>
        <v>221.993325</v>
      </c>
      <c r="AR32" s="20">
        <f t="shared" si="9"/>
        <v>221.993325</v>
      </c>
      <c r="AS32" s="20">
        <f t="shared" si="9"/>
        <v>221.993325</v>
      </c>
      <c r="AT32" s="20">
        <f t="shared" si="9"/>
        <v>221.993325</v>
      </c>
      <c r="AU32" s="20">
        <f t="shared" si="9"/>
        <v>221.993325</v>
      </c>
      <c r="AV32" s="20">
        <f t="shared" si="9"/>
        <v>221.993325</v>
      </c>
      <c r="AW32" s="20">
        <f t="shared" si="9"/>
        <v>221.993325</v>
      </c>
      <c r="AX32" s="20">
        <f t="shared" si="9"/>
        <v>221.993325</v>
      </c>
      <c r="AY32" s="20">
        <f t="shared" si="9"/>
        <v>221.993325</v>
      </c>
      <c r="AZ32" s="20">
        <f t="shared" si="9"/>
        <v>221.993325</v>
      </c>
      <c r="BA32" s="20">
        <f t="shared" si="9"/>
        <v>221.993325</v>
      </c>
      <c r="BB32" s="20">
        <f t="shared" si="9"/>
        <v>228.65312474999999</v>
      </c>
      <c r="BC32" s="20">
        <f t="shared" si="9"/>
        <v>228.65312474999999</v>
      </c>
      <c r="BD32" s="20">
        <f t="shared" si="9"/>
        <v>228.65312474999999</v>
      </c>
      <c r="BE32" s="20">
        <f t="shared" si="9"/>
        <v>228.65312474999999</v>
      </c>
      <c r="BF32" s="20">
        <f t="shared" si="9"/>
        <v>228.65312474999999</v>
      </c>
      <c r="BG32" s="20">
        <f t="shared" si="9"/>
        <v>228.65312474999999</v>
      </c>
      <c r="BH32" s="20">
        <f t="shared" si="9"/>
        <v>228.65312474999999</v>
      </c>
      <c r="BI32" s="20">
        <f t="shared" si="9"/>
        <v>228.65312474999999</v>
      </c>
      <c r="BJ32" s="20">
        <f t="shared" si="9"/>
        <v>228.65312474999999</v>
      </c>
      <c r="BK32" s="20">
        <f t="shared" si="9"/>
        <v>228.65312474999999</v>
      </c>
      <c r="BL32" s="20">
        <f t="shared" si="9"/>
        <v>228.65312474999999</v>
      </c>
      <c r="BM32" s="20">
        <f t="shared" si="9"/>
        <v>228.65312474999999</v>
      </c>
      <c r="BN32" s="20">
        <f t="shared" si="9"/>
        <v>235.51271849249997</v>
      </c>
      <c r="BO32" s="20">
        <f t="shared" si="9"/>
        <v>235.51271849249997</v>
      </c>
      <c r="BP32" s="20">
        <f t="shared" si="9"/>
        <v>235.51271849249997</v>
      </c>
      <c r="BQ32" s="20">
        <f t="shared" si="9"/>
        <v>235.51271849249997</v>
      </c>
      <c r="BR32" s="20">
        <f t="shared" si="9"/>
        <v>235.51271849249997</v>
      </c>
      <c r="BS32" s="20">
        <f t="shared" si="9"/>
        <v>235.51271849249997</v>
      </c>
      <c r="BT32" s="20">
        <f t="shared" si="9"/>
        <v>235.51271849249997</v>
      </c>
      <c r="BU32" s="20">
        <f t="shared" si="9"/>
        <v>235.51271849249997</v>
      </c>
      <c r="BV32" s="20">
        <f t="shared" si="9"/>
        <v>235.51271849249997</v>
      </c>
      <c r="BW32" s="20">
        <f t="shared" si="9"/>
        <v>235.51271849249997</v>
      </c>
      <c r="BX32" s="20">
        <f t="shared" si="9"/>
        <v>235.51271849249997</v>
      </c>
      <c r="BY32" s="20">
        <f t="shared" si="9"/>
        <v>235.51271849249997</v>
      </c>
    </row>
    <row r="33" spans="2:77" x14ac:dyDescent="0.2">
      <c r="B33" t="s">
        <v>286</v>
      </c>
      <c r="C33" s="48">
        <f>SUM(C23:C32)</f>
        <v>1314348.9952000002</v>
      </c>
      <c r="D33" s="20">
        <f>SUM(D23:D32)</f>
        <v>109529.08293333332</v>
      </c>
      <c r="E33" s="53"/>
      <c r="F33" s="191">
        <f t="shared" ref="F33:O33" si="11">SUM(F23:F32)</f>
        <v>108195.87292296477</v>
      </c>
      <c r="G33" s="191">
        <f t="shared" si="11"/>
        <v>108195.87292296477</v>
      </c>
      <c r="H33" s="191">
        <f t="shared" si="11"/>
        <v>108195.87292296477</v>
      </c>
      <c r="I33" s="191">
        <f t="shared" si="11"/>
        <v>108195.87292296477</v>
      </c>
      <c r="J33" s="191">
        <f t="shared" si="11"/>
        <v>108195.87292296477</v>
      </c>
      <c r="K33" s="191">
        <f t="shared" si="11"/>
        <v>108195.87292296477</v>
      </c>
      <c r="L33" s="191">
        <f t="shared" si="11"/>
        <v>108195.87292296477</v>
      </c>
      <c r="M33" s="191">
        <f t="shared" si="11"/>
        <v>108195.87292296477</v>
      </c>
      <c r="N33" s="191">
        <f t="shared" si="11"/>
        <v>108195.87292296477</v>
      </c>
      <c r="O33" s="191">
        <f t="shared" si="11"/>
        <v>108195.87292296477</v>
      </c>
      <c r="P33" s="20">
        <f t="shared" si="5"/>
        <v>109529.08293333332</v>
      </c>
      <c r="Q33" s="20">
        <f t="shared" si="6"/>
        <v>109529.08293333332</v>
      </c>
      <c r="R33" s="20">
        <f t="shared" si="7"/>
        <v>109529.08293333332</v>
      </c>
      <c r="S33" s="20">
        <f t="shared" si="9"/>
        <v>109529.08293333332</v>
      </c>
      <c r="T33" s="20">
        <f t="shared" si="9"/>
        <v>109529.08293333332</v>
      </c>
      <c r="U33" s="20">
        <f t="shared" si="9"/>
        <v>109529.08293333332</v>
      </c>
      <c r="V33" s="20">
        <f t="shared" si="9"/>
        <v>109529.08293333332</v>
      </c>
      <c r="W33" s="20">
        <f t="shared" si="9"/>
        <v>109529.08293333332</v>
      </c>
      <c r="X33" s="20">
        <f t="shared" si="9"/>
        <v>109529.08293333332</v>
      </c>
      <c r="Y33" s="20">
        <f t="shared" si="9"/>
        <v>109529.08293333332</v>
      </c>
      <c r="Z33" s="20">
        <f t="shared" si="9"/>
        <v>109529.08293333332</v>
      </c>
      <c r="AA33" s="20">
        <f t="shared" si="9"/>
        <v>109529.08293333332</v>
      </c>
      <c r="AB33" s="20">
        <f t="shared" si="9"/>
        <v>109529.08293333332</v>
      </c>
      <c r="AC33" s="20">
        <f t="shared" si="9"/>
        <v>109529.08293333332</v>
      </c>
      <c r="AD33" s="20">
        <f t="shared" si="9"/>
        <v>109529.08293333332</v>
      </c>
      <c r="AE33" s="20">
        <f t="shared" si="9"/>
        <v>109529.08293333332</v>
      </c>
      <c r="AF33" s="20">
        <f t="shared" si="9"/>
        <v>109529.08293333332</v>
      </c>
      <c r="AG33" s="20">
        <f t="shared" si="9"/>
        <v>109529.08293333332</v>
      </c>
      <c r="AH33" s="20">
        <f t="shared" si="9"/>
        <v>109529.08293333332</v>
      </c>
      <c r="AI33" s="20">
        <f t="shared" si="9"/>
        <v>109529.08293333332</v>
      </c>
      <c r="AJ33" s="20">
        <f t="shared" si="9"/>
        <v>109529.08293333332</v>
      </c>
      <c r="AK33" s="20">
        <f t="shared" si="9"/>
        <v>109529.08293333332</v>
      </c>
      <c r="AL33" s="20">
        <f t="shared" si="9"/>
        <v>109529.08293333332</v>
      </c>
      <c r="AM33" s="20">
        <f t="shared" si="9"/>
        <v>109529.08293333332</v>
      </c>
      <c r="AN33" s="20">
        <f t="shared" si="9"/>
        <v>109529.08293333332</v>
      </c>
      <c r="AO33" s="20">
        <f t="shared" si="9"/>
        <v>109529.08293333332</v>
      </c>
      <c r="AP33" s="20">
        <f t="shared" si="9"/>
        <v>109529.08293333332</v>
      </c>
      <c r="AQ33" s="20">
        <f t="shared" si="9"/>
        <v>109529.08293333332</v>
      </c>
      <c r="AR33" s="20">
        <f t="shared" si="9"/>
        <v>109529.08293333332</v>
      </c>
      <c r="AS33" s="20">
        <f t="shared" si="9"/>
        <v>109529.08293333332</v>
      </c>
      <c r="AT33" s="20">
        <f t="shared" si="9"/>
        <v>109529.08293333332</v>
      </c>
      <c r="AU33" s="20">
        <f t="shared" si="9"/>
        <v>109529.08293333332</v>
      </c>
      <c r="AV33" s="20">
        <f t="shared" si="9"/>
        <v>109529.08293333332</v>
      </c>
      <c r="AW33" s="20">
        <f t="shared" si="9"/>
        <v>109529.08293333332</v>
      </c>
      <c r="AX33" s="20">
        <f t="shared" si="9"/>
        <v>109529.08293333332</v>
      </c>
      <c r="AY33" s="20">
        <f t="shared" si="9"/>
        <v>109529.08293333332</v>
      </c>
      <c r="AZ33" s="20">
        <f t="shared" si="9"/>
        <v>109529.08293333332</v>
      </c>
      <c r="BA33" s="20">
        <f t="shared" si="9"/>
        <v>109529.08293333332</v>
      </c>
      <c r="BB33" s="20">
        <f t="shared" si="9"/>
        <v>109529.08293333332</v>
      </c>
      <c r="BC33" s="20">
        <f t="shared" si="9"/>
        <v>109529.08293333332</v>
      </c>
      <c r="BD33" s="20">
        <f t="shared" si="9"/>
        <v>109529.08293333332</v>
      </c>
      <c r="BE33" s="20">
        <f t="shared" si="9"/>
        <v>109529.08293333332</v>
      </c>
      <c r="BF33" s="20">
        <f t="shared" si="9"/>
        <v>109529.08293333332</v>
      </c>
      <c r="BG33" s="20">
        <f t="shared" si="9"/>
        <v>109529.08293333332</v>
      </c>
      <c r="BH33" s="20">
        <f t="shared" si="9"/>
        <v>109529.08293333332</v>
      </c>
      <c r="BI33" s="20">
        <f t="shared" si="9"/>
        <v>109529.08293333332</v>
      </c>
      <c r="BJ33" s="20">
        <f t="shared" si="9"/>
        <v>109529.08293333332</v>
      </c>
      <c r="BK33" s="20">
        <f t="shared" si="9"/>
        <v>109529.08293333332</v>
      </c>
      <c r="BL33" s="20">
        <f t="shared" si="9"/>
        <v>109529.08293333332</v>
      </c>
      <c r="BM33" s="20">
        <f t="shared" si="9"/>
        <v>109529.08293333332</v>
      </c>
      <c r="BN33" s="20">
        <f t="shared" si="9"/>
        <v>109529.08293333332</v>
      </c>
      <c r="BO33" s="20">
        <f t="shared" si="9"/>
        <v>109529.08293333332</v>
      </c>
      <c r="BP33" s="20">
        <f t="shared" si="9"/>
        <v>109529.08293333332</v>
      </c>
      <c r="BQ33" s="20">
        <f t="shared" si="9"/>
        <v>109529.08293333332</v>
      </c>
      <c r="BR33" s="20">
        <f t="shared" si="9"/>
        <v>109529.08293333332</v>
      </c>
      <c r="BS33" s="20">
        <f t="shared" si="9"/>
        <v>109529.08293333332</v>
      </c>
      <c r="BT33" s="20">
        <f t="shared" si="9"/>
        <v>109529.08293333332</v>
      </c>
      <c r="BU33" s="20">
        <f t="shared" si="9"/>
        <v>109529.08293333332</v>
      </c>
      <c r="BV33" s="20">
        <f t="shared" si="9"/>
        <v>109529.08293333332</v>
      </c>
      <c r="BW33" s="20">
        <f t="shared" si="9"/>
        <v>109529.08293333332</v>
      </c>
      <c r="BX33" s="20">
        <f t="shared" si="9"/>
        <v>109529.08293333332</v>
      </c>
      <c r="BY33" s="20">
        <f t="shared" si="9"/>
        <v>109529.08293333332</v>
      </c>
    </row>
    <row r="34" spans="2:77" x14ac:dyDescent="0.2">
      <c r="B34" s="1"/>
      <c r="C34" s="36"/>
      <c r="D34" s="36"/>
      <c r="E34" s="1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9A3A-58CA-E74D-8BC7-459F7022F99F}">
  <dimension ref="B2:P239"/>
  <sheetViews>
    <sheetView workbookViewId="0">
      <selection activeCell="C46" sqref="C46"/>
    </sheetView>
  </sheetViews>
  <sheetFormatPr baseColWidth="10" defaultRowHeight="16" x14ac:dyDescent="0.2"/>
  <cols>
    <col min="2" max="2" width="39.5" customWidth="1"/>
    <col min="3" max="14" width="10.83203125" customWidth="1"/>
    <col min="15" max="15" width="11.6640625" customWidth="1"/>
  </cols>
  <sheetData>
    <row r="2" spans="2:15" x14ac:dyDescent="0.2">
      <c r="B2" s="22">
        <v>43769</v>
      </c>
      <c r="C2" s="4">
        <f t="shared" ref="C2:O2" si="0">EOMONTH(B2,1)</f>
        <v>43799</v>
      </c>
      <c r="D2" s="4">
        <f t="shared" si="0"/>
        <v>43830</v>
      </c>
      <c r="E2" s="4">
        <f t="shared" si="0"/>
        <v>43861</v>
      </c>
      <c r="F2" s="4">
        <f t="shared" si="0"/>
        <v>43890</v>
      </c>
      <c r="G2" s="4">
        <f t="shared" si="0"/>
        <v>43921</v>
      </c>
      <c r="H2" s="4">
        <f t="shared" si="0"/>
        <v>43951</v>
      </c>
      <c r="I2" s="4">
        <f t="shared" si="0"/>
        <v>43982</v>
      </c>
      <c r="J2" s="4">
        <f t="shared" si="0"/>
        <v>44012</v>
      </c>
      <c r="K2" s="4">
        <f t="shared" si="0"/>
        <v>44043</v>
      </c>
      <c r="L2" s="4">
        <f t="shared" si="0"/>
        <v>44074</v>
      </c>
      <c r="M2" s="4">
        <f t="shared" si="0"/>
        <v>44104</v>
      </c>
      <c r="N2" s="4">
        <f t="shared" si="0"/>
        <v>44135</v>
      </c>
      <c r="O2" s="4">
        <f t="shared" si="0"/>
        <v>44165</v>
      </c>
    </row>
    <row r="3" spans="2:15" x14ac:dyDescent="0.2">
      <c r="B3" s="17" t="s">
        <v>19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5" x14ac:dyDescent="0.2">
      <c r="B4" s="1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2:15" x14ac:dyDescent="0.2">
      <c r="B5" s="19" t="s">
        <v>20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2:15" x14ac:dyDescent="0.2">
      <c r="B6" s="18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x14ac:dyDescent="0.2">
      <c r="B7" s="19" t="s">
        <v>21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2:15" x14ac:dyDescent="0.2">
      <c r="B8" s="18" t="s">
        <v>22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2:15" x14ac:dyDescent="0.2">
      <c r="B9" s="18" t="s">
        <v>23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2:15" x14ac:dyDescent="0.2">
      <c r="B10" s="18" t="s">
        <v>24</v>
      </c>
      <c r="C10" s="9">
        <v>157903.81</v>
      </c>
      <c r="D10" s="9">
        <v>157903.81</v>
      </c>
      <c r="E10" s="9">
        <v>153172.75</v>
      </c>
      <c r="F10" s="9">
        <v>153535.96</v>
      </c>
      <c r="G10" s="9">
        <v>153987.07</v>
      </c>
      <c r="H10" s="9">
        <v>153987.07</v>
      </c>
      <c r="I10" s="9">
        <v>159507.56</v>
      </c>
      <c r="J10" s="9">
        <v>146712.82999999999</v>
      </c>
      <c r="K10" s="9">
        <v>146712.82999999999</v>
      </c>
      <c r="L10" s="9">
        <v>147725.92000000001</v>
      </c>
      <c r="M10" s="9">
        <v>147915.35999999999</v>
      </c>
      <c r="N10" s="9">
        <v>148234.85</v>
      </c>
      <c r="O10" s="9">
        <v>155673.9</v>
      </c>
    </row>
    <row r="11" spans="2:15" x14ac:dyDescent="0.2">
      <c r="B11" s="18" t="s">
        <v>25</v>
      </c>
      <c r="C11" s="9">
        <v>-64287.75</v>
      </c>
      <c r="D11" s="9">
        <v>-17901.830000000002</v>
      </c>
      <c r="E11" s="9">
        <v>-5951.75</v>
      </c>
      <c r="F11" s="9">
        <v>0</v>
      </c>
      <c r="G11" s="9">
        <v>-15488.34</v>
      </c>
      <c r="H11" s="9">
        <v>0</v>
      </c>
      <c r="I11" s="9">
        <v>0</v>
      </c>
      <c r="J11" s="9">
        <v>0</v>
      </c>
      <c r="K11" s="9">
        <v>0</v>
      </c>
      <c r="L11" s="9">
        <v>-11247.18</v>
      </c>
      <c r="M11" s="9">
        <v>0</v>
      </c>
      <c r="N11" s="9">
        <v>0</v>
      </c>
      <c r="O11" s="9">
        <v>-33858.75</v>
      </c>
    </row>
    <row r="12" spans="2:15" x14ac:dyDescent="0.2">
      <c r="B12" s="18" t="s">
        <v>26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</row>
    <row r="13" spans="2:15" x14ac:dyDescent="0.2">
      <c r="B13" s="18" t="s">
        <v>27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</row>
    <row r="14" spans="2:15" x14ac:dyDescent="0.2">
      <c r="B14" s="18" t="s">
        <v>28</v>
      </c>
      <c r="C14" s="10">
        <v>93616.06</v>
      </c>
      <c r="D14" s="10">
        <v>140001.98000000001</v>
      </c>
      <c r="E14" s="10">
        <v>147221</v>
      </c>
      <c r="F14" s="10">
        <v>153535.96</v>
      </c>
      <c r="G14" s="10">
        <v>138498.73000000001</v>
      </c>
      <c r="H14" s="10">
        <v>153987.07</v>
      </c>
      <c r="I14" s="10">
        <v>159507.56</v>
      </c>
      <c r="J14" s="10">
        <v>146712.82999999999</v>
      </c>
      <c r="K14" s="10">
        <v>146712.82999999999</v>
      </c>
      <c r="L14" s="10">
        <v>136478.74</v>
      </c>
      <c r="M14" s="10">
        <v>147915.35999999999</v>
      </c>
      <c r="N14" s="10">
        <v>148234.85</v>
      </c>
      <c r="O14" s="10">
        <v>121815.15</v>
      </c>
    </row>
    <row r="15" spans="2:15" x14ac:dyDescent="0.2">
      <c r="B15" s="18" t="s">
        <v>29</v>
      </c>
      <c r="C15" s="10">
        <v>93616.06</v>
      </c>
      <c r="D15" s="10">
        <v>140001.98000000001</v>
      </c>
      <c r="E15" s="10">
        <v>169411.32</v>
      </c>
      <c r="F15" s="10">
        <v>131345.64000000001</v>
      </c>
      <c r="G15" s="10">
        <v>138498.73000000001</v>
      </c>
      <c r="H15" s="10">
        <v>153987.07</v>
      </c>
      <c r="I15" s="10">
        <v>159507.56</v>
      </c>
      <c r="J15" s="10">
        <v>146712.82999999999</v>
      </c>
      <c r="K15" s="10">
        <v>146712.82999999999</v>
      </c>
      <c r="L15" s="10">
        <v>136478.74</v>
      </c>
      <c r="M15" s="10">
        <v>147915.35999999999</v>
      </c>
      <c r="N15" s="10">
        <v>148234.85</v>
      </c>
      <c r="O15" s="10">
        <v>121815.15</v>
      </c>
    </row>
    <row r="16" spans="2:15" x14ac:dyDescent="0.2">
      <c r="B16" s="18" t="s">
        <v>30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2:16" x14ac:dyDescent="0.2">
      <c r="B17" s="18" t="s">
        <v>31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2:16" x14ac:dyDescent="0.2">
      <c r="B18" s="18" t="s">
        <v>32</v>
      </c>
      <c r="C18" s="9">
        <v>96492.75</v>
      </c>
      <c r="D18" s="9">
        <v>106034.71</v>
      </c>
      <c r="E18" s="9">
        <v>101403</v>
      </c>
      <c r="F18" s="9">
        <v>101403</v>
      </c>
      <c r="G18" s="9">
        <v>101403</v>
      </c>
      <c r="H18" s="9">
        <v>101403</v>
      </c>
      <c r="I18" s="9">
        <v>110094</v>
      </c>
      <c r="J18" s="9">
        <v>94673</v>
      </c>
      <c r="K18" s="9">
        <v>94673</v>
      </c>
      <c r="L18" s="9">
        <v>102586.31</v>
      </c>
      <c r="M18" s="9">
        <v>77217.73</v>
      </c>
      <c r="N18" s="9">
        <v>102586.31</v>
      </c>
      <c r="O18" s="9">
        <v>94673</v>
      </c>
    </row>
    <row r="19" spans="2:16" x14ac:dyDescent="0.2">
      <c r="B19" s="18" t="s">
        <v>33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17455.27</v>
      </c>
      <c r="N19" s="9">
        <v>-7913.31</v>
      </c>
      <c r="O19" s="9">
        <v>0</v>
      </c>
    </row>
    <row r="20" spans="2:16" x14ac:dyDescent="0.2">
      <c r="B20" s="18" t="s">
        <v>34</v>
      </c>
      <c r="C20" s="9">
        <v>-17082</v>
      </c>
      <c r="D20" s="9">
        <v>-7062</v>
      </c>
      <c r="E20" s="9">
        <v>-3672</v>
      </c>
      <c r="F20" s="9">
        <v>0</v>
      </c>
      <c r="G20" s="9">
        <v>-8827</v>
      </c>
      <c r="H20" s="9">
        <v>-12443.25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</row>
    <row r="21" spans="2:16" x14ac:dyDescent="0.2">
      <c r="B21" s="18" t="s">
        <v>35</v>
      </c>
      <c r="C21" s="10">
        <v>79410.75</v>
      </c>
      <c r="D21" s="10">
        <v>98972.71</v>
      </c>
      <c r="E21" s="10">
        <v>97731</v>
      </c>
      <c r="F21" s="10">
        <v>101403</v>
      </c>
      <c r="G21" s="10">
        <v>92576</v>
      </c>
      <c r="H21" s="10">
        <v>88959.75</v>
      </c>
      <c r="I21" s="10">
        <v>110094</v>
      </c>
      <c r="J21" s="10">
        <v>94673</v>
      </c>
      <c r="K21" s="10">
        <v>94673</v>
      </c>
      <c r="L21" s="10">
        <v>102586.31</v>
      </c>
      <c r="M21" s="10">
        <v>94673</v>
      </c>
      <c r="N21" s="10">
        <v>94673</v>
      </c>
      <c r="O21" s="10">
        <v>94673</v>
      </c>
      <c r="P21">
        <f>SUM(F21:O21)/10</f>
        <v>96898.406000000003</v>
      </c>
    </row>
    <row r="22" spans="2:16" x14ac:dyDescent="0.2">
      <c r="B22" s="18" t="s">
        <v>36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2:16" x14ac:dyDescent="0.2">
      <c r="B23" s="18" t="s">
        <v>37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2:16" x14ac:dyDescent="0.2">
      <c r="B24" s="18" t="s">
        <v>38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</row>
    <row r="25" spans="2:16" x14ac:dyDescent="0.2">
      <c r="B25" s="18" t="s">
        <v>39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</row>
    <row r="26" spans="2:16" x14ac:dyDescent="0.2">
      <c r="B26" s="18" t="s">
        <v>40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</row>
    <row r="27" spans="2:16" x14ac:dyDescent="0.2">
      <c r="B27" s="18" t="s">
        <v>41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</row>
    <row r="28" spans="2:16" x14ac:dyDescent="0.2">
      <c r="B28" s="18" t="s">
        <v>42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</row>
    <row r="29" spans="2:16" x14ac:dyDescent="0.2">
      <c r="B29" s="18" t="s">
        <v>43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2:16" x14ac:dyDescent="0.2">
      <c r="B30" s="18" t="s">
        <v>44</v>
      </c>
      <c r="C30" s="9">
        <v>60</v>
      </c>
      <c r="D30" s="9">
        <v>4500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</row>
    <row r="31" spans="2:16" x14ac:dyDescent="0.2">
      <c r="B31" s="18" t="s">
        <v>45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</row>
    <row r="32" spans="2:16" x14ac:dyDescent="0.2">
      <c r="B32" s="18" t="s">
        <v>46</v>
      </c>
      <c r="C32" s="10">
        <v>60</v>
      </c>
      <c r="D32" s="10">
        <v>4500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</row>
    <row r="33" spans="2:15" x14ac:dyDescent="0.2">
      <c r="B33" s="18" t="s">
        <v>47</v>
      </c>
      <c r="C33" s="12">
        <v>60</v>
      </c>
      <c r="D33" s="12">
        <v>4500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</row>
    <row r="34" spans="2:15" x14ac:dyDescent="0.2">
      <c r="B34" s="18" t="s">
        <v>48</v>
      </c>
      <c r="C34" s="10">
        <v>79470.75</v>
      </c>
      <c r="D34" s="10">
        <v>103472.71</v>
      </c>
      <c r="E34" s="10">
        <v>97731</v>
      </c>
      <c r="F34" s="10">
        <v>101403</v>
      </c>
      <c r="G34" s="10">
        <v>92576</v>
      </c>
      <c r="H34" s="10">
        <v>88959.75</v>
      </c>
      <c r="I34" s="10">
        <v>110094</v>
      </c>
      <c r="J34" s="10">
        <v>94673</v>
      </c>
      <c r="K34" s="10">
        <v>94673</v>
      </c>
      <c r="L34" s="10">
        <v>102586.31</v>
      </c>
      <c r="M34" s="10">
        <v>94673</v>
      </c>
      <c r="N34" s="10">
        <v>94673</v>
      </c>
      <c r="O34" s="10">
        <v>94673</v>
      </c>
    </row>
    <row r="35" spans="2:15" x14ac:dyDescent="0.2">
      <c r="B35" s="18" t="s">
        <v>49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2:15" x14ac:dyDescent="0.2">
      <c r="B36" s="18" t="s">
        <v>50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2:15" x14ac:dyDescent="0.2">
      <c r="B37" s="18" t="s">
        <v>51</v>
      </c>
      <c r="C37" s="9">
        <v>13000</v>
      </c>
      <c r="D37" s="9">
        <v>13000</v>
      </c>
      <c r="E37" s="9">
        <v>13000</v>
      </c>
      <c r="F37" s="9">
        <v>4464.8</v>
      </c>
      <c r="G37" s="9">
        <v>2232.4</v>
      </c>
      <c r="H37" s="9">
        <v>2232.4</v>
      </c>
      <c r="I37" s="9">
        <v>-2232.4</v>
      </c>
      <c r="J37" s="9">
        <v>0</v>
      </c>
      <c r="K37" s="9">
        <v>0</v>
      </c>
      <c r="L37" s="9">
        <v>14624.52</v>
      </c>
      <c r="M37" s="9">
        <v>18473.580000000002</v>
      </c>
      <c r="N37" s="9">
        <v>12212.16</v>
      </c>
      <c r="O37" s="9">
        <v>-12552.54</v>
      </c>
    </row>
    <row r="38" spans="2:15" x14ac:dyDescent="0.2">
      <c r="B38" s="18" t="s">
        <v>52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</row>
    <row r="39" spans="2:15" x14ac:dyDescent="0.2">
      <c r="B39" s="18" t="s">
        <v>53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</row>
    <row r="40" spans="2:15" x14ac:dyDescent="0.2">
      <c r="B40" s="18" t="s">
        <v>54</v>
      </c>
      <c r="C40" s="9">
        <v>0</v>
      </c>
      <c r="D40" s="9">
        <v>15486.72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</row>
    <row r="41" spans="2:15" x14ac:dyDescent="0.2">
      <c r="B41" s="18" t="s">
        <v>55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2:15" x14ac:dyDescent="0.2">
      <c r="B42" s="18" t="s">
        <v>56</v>
      </c>
      <c r="C42" s="9">
        <v>5069</v>
      </c>
      <c r="D42" s="9">
        <v>5294</v>
      </c>
      <c r="E42" s="9">
        <v>69</v>
      </c>
      <c r="F42" s="9">
        <v>69</v>
      </c>
      <c r="G42" s="9">
        <v>69</v>
      </c>
      <c r="H42" s="9">
        <v>69</v>
      </c>
      <c r="I42" s="9">
        <v>69</v>
      </c>
      <c r="J42" s="9">
        <v>69</v>
      </c>
      <c r="K42" s="9">
        <v>69</v>
      </c>
      <c r="L42" s="9">
        <v>69</v>
      </c>
      <c r="M42" s="9">
        <v>69</v>
      </c>
      <c r="N42" s="9">
        <v>69</v>
      </c>
      <c r="O42" s="9">
        <v>69</v>
      </c>
    </row>
    <row r="43" spans="2:15" x14ac:dyDescent="0.2">
      <c r="B43" s="18" t="s">
        <v>57</v>
      </c>
      <c r="C43" s="10">
        <v>18069</v>
      </c>
      <c r="D43" s="10">
        <v>33780.720000000001</v>
      </c>
      <c r="E43" s="10">
        <v>13069</v>
      </c>
      <c r="F43" s="10">
        <v>4533.8</v>
      </c>
      <c r="G43" s="10">
        <v>2301.4</v>
      </c>
      <c r="H43" s="10">
        <v>2301.4</v>
      </c>
      <c r="I43" s="10">
        <v>-2163.4</v>
      </c>
      <c r="J43" s="10">
        <v>69</v>
      </c>
      <c r="K43" s="10">
        <v>69</v>
      </c>
      <c r="L43" s="10">
        <v>14693.52</v>
      </c>
      <c r="M43" s="10">
        <v>18542.580000000002</v>
      </c>
      <c r="N43" s="10">
        <v>12281.16</v>
      </c>
      <c r="O43" s="10">
        <v>-12483.54</v>
      </c>
    </row>
    <row r="44" spans="2:15" x14ac:dyDescent="0.2">
      <c r="B44" s="18" t="s">
        <v>58</v>
      </c>
      <c r="C44" s="10">
        <v>18069</v>
      </c>
      <c r="D44" s="10">
        <v>33780.720000000001</v>
      </c>
      <c r="E44" s="10">
        <v>13069</v>
      </c>
      <c r="F44" s="10">
        <v>4533.8</v>
      </c>
      <c r="G44" s="10">
        <v>2301.4</v>
      </c>
      <c r="H44" s="10">
        <v>2301.4</v>
      </c>
      <c r="I44" s="10">
        <v>-2163.4</v>
      </c>
      <c r="J44" s="10">
        <v>69</v>
      </c>
      <c r="K44" s="10">
        <v>69</v>
      </c>
      <c r="L44" s="10">
        <v>14693.52</v>
      </c>
      <c r="M44" s="10">
        <v>18542.580000000002</v>
      </c>
      <c r="N44" s="10">
        <v>12281.16</v>
      </c>
      <c r="O44" s="10">
        <v>-12483.54</v>
      </c>
    </row>
    <row r="45" spans="2:15" x14ac:dyDescent="0.2">
      <c r="B45" s="18" t="s">
        <v>59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</row>
    <row r="46" spans="2:15" x14ac:dyDescent="0.2">
      <c r="B46" s="19" t="s">
        <v>60</v>
      </c>
      <c r="C46" s="13">
        <v>191155.81</v>
      </c>
      <c r="D46" s="13">
        <v>277255.40999999997</v>
      </c>
      <c r="E46" s="13">
        <v>280211.32</v>
      </c>
      <c r="F46" s="13">
        <v>237282.44</v>
      </c>
      <c r="G46" s="13">
        <v>233376.13</v>
      </c>
      <c r="H46" s="13">
        <v>245248.22</v>
      </c>
      <c r="I46" s="13">
        <v>267438.15999999997</v>
      </c>
      <c r="J46" s="13">
        <v>241454.83</v>
      </c>
      <c r="K46" s="13">
        <v>241454.83</v>
      </c>
      <c r="L46" s="13">
        <v>253758.57</v>
      </c>
      <c r="M46" s="13">
        <v>261130.94</v>
      </c>
      <c r="N46" s="13">
        <v>255189.01</v>
      </c>
      <c r="O46" s="13">
        <v>204004.61</v>
      </c>
    </row>
    <row r="47" spans="2:15" x14ac:dyDescent="0.2">
      <c r="B47" s="18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x14ac:dyDescent="0.2">
      <c r="B48" s="19" t="s">
        <v>61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2:16" x14ac:dyDescent="0.2">
      <c r="B49" s="18" t="s">
        <v>62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2:16" x14ac:dyDescent="0.2">
      <c r="B50" s="18" t="s">
        <v>63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2:16" x14ac:dyDescent="0.2">
      <c r="B51" s="18" t="s">
        <v>64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2:16" x14ac:dyDescent="0.2">
      <c r="B52" s="18" t="s">
        <v>65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</row>
    <row r="53" spans="2:16" x14ac:dyDescent="0.2">
      <c r="B53" s="18" t="s">
        <v>66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</row>
    <row r="54" spans="2:16" x14ac:dyDescent="0.2">
      <c r="B54" s="18" t="s">
        <v>67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11410</v>
      </c>
      <c r="L54" s="9">
        <v>0</v>
      </c>
      <c r="M54" s="9">
        <v>0</v>
      </c>
      <c r="N54" s="9">
        <v>0</v>
      </c>
      <c r="O54" s="9">
        <v>0</v>
      </c>
    </row>
    <row r="55" spans="2:16" x14ac:dyDescent="0.2">
      <c r="B55" s="18" t="s">
        <v>68</v>
      </c>
      <c r="C55" s="9">
        <v>1515</v>
      </c>
      <c r="D55" s="9">
        <v>0</v>
      </c>
      <c r="E55" s="9">
        <v>1692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</row>
    <row r="56" spans="2:16" x14ac:dyDescent="0.2">
      <c r="B56" s="18" t="s">
        <v>69</v>
      </c>
      <c r="C56" s="9">
        <v>1280</v>
      </c>
      <c r="D56" s="9">
        <v>0</v>
      </c>
      <c r="E56" s="9">
        <v>0</v>
      </c>
      <c r="F56" s="9">
        <v>0</v>
      </c>
      <c r="G56" s="9">
        <v>1500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</row>
    <row r="57" spans="2:16" x14ac:dyDescent="0.2">
      <c r="B57" s="18" t="s">
        <v>70</v>
      </c>
      <c r="C57" s="9">
        <v>4154.5</v>
      </c>
      <c r="D57" s="9">
        <v>421</v>
      </c>
      <c r="E57" s="9">
        <v>0</v>
      </c>
      <c r="F57" s="9">
        <v>0</v>
      </c>
      <c r="G57" s="9">
        <v>645</v>
      </c>
      <c r="H57" s="9">
        <v>825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</row>
    <row r="58" spans="2:16" x14ac:dyDescent="0.2">
      <c r="B58" s="18" t="s">
        <v>71</v>
      </c>
      <c r="C58" s="9">
        <v>0</v>
      </c>
      <c r="D58" s="9">
        <v>0</v>
      </c>
      <c r="E58" s="9">
        <v>1000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</row>
    <row r="59" spans="2:16" x14ac:dyDescent="0.2">
      <c r="B59" s="18" t="s">
        <v>72</v>
      </c>
      <c r="C59" s="9">
        <v>5605</v>
      </c>
      <c r="D59" s="9">
        <v>1100</v>
      </c>
      <c r="E59" s="9">
        <v>4955</v>
      </c>
      <c r="F59" s="9">
        <v>0</v>
      </c>
      <c r="G59" s="9">
        <v>0</v>
      </c>
      <c r="H59" s="9">
        <v>1445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</row>
    <row r="60" spans="2:16" x14ac:dyDescent="0.2">
      <c r="B60" s="18" t="s">
        <v>73</v>
      </c>
      <c r="C60" s="9">
        <v>445.65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213.82</v>
      </c>
      <c r="N60" s="9">
        <v>0</v>
      </c>
      <c r="O60" s="9">
        <v>0</v>
      </c>
    </row>
    <row r="61" spans="2:16" x14ac:dyDescent="0.2">
      <c r="B61" s="18" t="s">
        <v>74</v>
      </c>
      <c r="C61" s="9">
        <v>409</v>
      </c>
      <c r="D61" s="9">
        <v>39</v>
      </c>
      <c r="E61" s="9">
        <v>1887.65</v>
      </c>
      <c r="F61" s="9">
        <v>0</v>
      </c>
      <c r="G61" s="9">
        <v>78</v>
      </c>
      <c r="H61" s="9">
        <v>109.34</v>
      </c>
      <c r="I61" s="9">
        <v>39</v>
      </c>
      <c r="J61" s="9">
        <v>39</v>
      </c>
      <c r="K61" s="9">
        <v>315.58</v>
      </c>
      <c r="L61" s="9">
        <v>78</v>
      </c>
      <c r="M61" s="9">
        <v>0</v>
      </c>
      <c r="N61" s="9">
        <v>0</v>
      </c>
      <c r="O61" s="9">
        <v>0</v>
      </c>
    </row>
    <row r="62" spans="2:16" x14ac:dyDescent="0.2">
      <c r="B62" s="18" t="s">
        <v>75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200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</row>
    <row r="63" spans="2:16" x14ac:dyDescent="0.2">
      <c r="B63" s="18" t="s">
        <v>76</v>
      </c>
      <c r="C63" s="10">
        <v>13409.15</v>
      </c>
      <c r="D63" s="10">
        <v>1560</v>
      </c>
      <c r="E63" s="10">
        <v>9534.65</v>
      </c>
      <c r="F63" s="10">
        <v>0</v>
      </c>
      <c r="G63" s="10">
        <v>2223</v>
      </c>
      <c r="H63" s="10">
        <v>2379.34</v>
      </c>
      <c r="I63" s="10">
        <v>39</v>
      </c>
      <c r="J63" s="10">
        <v>239</v>
      </c>
      <c r="K63" s="10">
        <v>11725.58</v>
      </c>
      <c r="L63" s="10">
        <v>78</v>
      </c>
      <c r="M63" s="10">
        <v>213.82</v>
      </c>
      <c r="N63" s="10">
        <v>0</v>
      </c>
      <c r="O63" s="10">
        <v>0</v>
      </c>
      <c r="P63" s="20"/>
    </row>
    <row r="64" spans="2:16" x14ac:dyDescent="0.2">
      <c r="B64" s="18" t="s">
        <v>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2:16" x14ac:dyDescent="0.2">
      <c r="B65" s="18" t="s">
        <v>78</v>
      </c>
      <c r="C65" s="9">
        <v>2601.46</v>
      </c>
      <c r="D65" s="9">
        <v>839.15</v>
      </c>
      <c r="E65" s="9">
        <v>260.02999999999997</v>
      </c>
      <c r="F65" s="9">
        <v>0</v>
      </c>
      <c r="G65" s="9">
        <v>0</v>
      </c>
      <c r="H65" s="9">
        <v>181.5</v>
      </c>
      <c r="I65" s="9">
        <v>67.95</v>
      </c>
      <c r="J65" s="9">
        <v>0</v>
      </c>
      <c r="K65" s="9">
        <v>181.5</v>
      </c>
      <c r="L65" s="9">
        <v>285.63</v>
      </c>
      <c r="M65" s="9">
        <v>0</v>
      </c>
      <c r="N65" s="9">
        <v>67.95</v>
      </c>
      <c r="O65" s="9">
        <v>127.85</v>
      </c>
    </row>
    <row r="66" spans="2:16" x14ac:dyDescent="0.2">
      <c r="B66" s="18" t="s">
        <v>79</v>
      </c>
      <c r="C66" s="9">
        <v>0</v>
      </c>
      <c r="D66" s="9">
        <v>0</v>
      </c>
      <c r="E66" s="9">
        <v>3500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</row>
    <row r="67" spans="2:16" x14ac:dyDescent="0.2">
      <c r="B67" s="18" t="s">
        <v>80</v>
      </c>
      <c r="C67" s="9">
        <v>16381.91</v>
      </c>
      <c r="D67" s="9">
        <v>16921.91</v>
      </c>
      <c r="E67" s="9">
        <v>16074.11</v>
      </c>
      <c r="F67" s="9">
        <v>18177</v>
      </c>
      <c r="G67" s="9">
        <v>19556.7</v>
      </c>
      <c r="H67" s="9">
        <v>18571.21</v>
      </c>
      <c r="I67" s="9">
        <v>18401.48</v>
      </c>
      <c r="J67" s="9">
        <v>3942</v>
      </c>
      <c r="K67" s="9">
        <v>0</v>
      </c>
      <c r="L67" s="9">
        <v>43202.76</v>
      </c>
      <c r="M67" s="9">
        <v>20882.189999999999</v>
      </c>
      <c r="N67" s="9">
        <v>1433.92</v>
      </c>
      <c r="O67" s="9">
        <v>2107.88</v>
      </c>
    </row>
    <row r="68" spans="2:16" x14ac:dyDescent="0.2">
      <c r="B68" s="18" t="s">
        <v>81</v>
      </c>
      <c r="C68" s="10">
        <v>18983.37</v>
      </c>
      <c r="D68" s="10">
        <v>17761.060000000001</v>
      </c>
      <c r="E68" s="10">
        <v>19834.14</v>
      </c>
      <c r="F68" s="10">
        <v>18177</v>
      </c>
      <c r="G68" s="10">
        <v>19556.7</v>
      </c>
      <c r="H68" s="10">
        <v>18752.71</v>
      </c>
      <c r="I68" s="10">
        <v>18469.43</v>
      </c>
      <c r="J68" s="10">
        <v>3942</v>
      </c>
      <c r="K68" s="10">
        <v>181.5</v>
      </c>
      <c r="L68" s="10">
        <v>43488.39</v>
      </c>
      <c r="M68" s="10">
        <v>20882.189999999999</v>
      </c>
      <c r="N68" s="10">
        <v>1501.87</v>
      </c>
      <c r="O68" s="10">
        <v>2235.73</v>
      </c>
      <c r="P68" s="20">
        <f>SUM(C68:O68)</f>
        <v>203766.09</v>
      </c>
    </row>
    <row r="69" spans="2:16" x14ac:dyDescent="0.2">
      <c r="B69" s="18" t="s">
        <v>82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2:16" x14ac:dyDescent="0.2">
      <c r="B70" s="18" t="s">
        <v>83</v>
      </c>
      <c r="C70" s="9">
        <v>945</v>
      </c>
      <c r="D70" s="9">
        <v>945</v>
      </c>
      <c r="E70" s="9">
        <v>995</v>
      </c>
      <c r="F70" s="9">
        <v>0</v>
      </c>
      <c r="G70" s="9">
        <v>995</v>
      </c>
      <c r="H70" s="9">
        <v>930</v>
      </c>
      <c r="I70" s="9">
        <v>1600</v>
      </c>
      <c r="J70" s="9">
        <v>0</v>
      </c>
      <c r="K70" s="9">
        <v>0</v>
      </c>
      <c r="L70" s="9">
        <v>0</v>
      </c>
      <c r="M70" s="9">
        <v>2400</v>
      </c>
      <c r="N70" s="9">
        <v>0</v>
      </c>
      <c r="O70" s="9">
        <v>0</v>
      </c>
    </row>
    <row r="71" spans="2:16" x14ac:dyDescent="0.2">
      <c r="B71" s="18" t="s">
        <v>84</v>
      </c>
      <c r="C71" s="9">
        <v>0</v>
      </c>
      <c r="D71" s="9">
        <v>220</v>
      </c>
      <c r="E71" s="9">
        <v>268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</row>
    <row r="72" spans="2:16" x14ac:dyDescent="0.2">
      <c r="B72" s="18" t="s">
        <v>85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</row>
    <row r="73" spans="2:16" x14ac:dyDescent="0.2">
      <c r="B73" s="18" t="s">
        <v>86</v>
      </c>
      <c r="C73" s="9">
        <v>130</v>
      </c>
      <c r="D73" s="9">
        <v>130</v>
      </c>
      <c r="E73" s="9">
        <v>130</v>
      </c>
      <c r="F73" s="9">
        <v>0</v>
      </c>
      <c r="G73" s="9">
        <v>0</v>
      </c>
      <c r="H73" s="9">
        <v>130</v>
      </c>
      <c r="I73" s="9">
        <v>260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</row>
    <row r="74" spans="2:16" x14ac:dyDescent="0.2">
      <c r="B74" s="18" t="s">
        <v>87</v>
      </c>
      <c r="C74" s="10">
        <v>1075</v>
      </c>
      <c r="D74" s="10">
        <v>1295</v>
      </c>
      <c r="E74" s="10">
        <v>1393</v>
      </c>
      <c r="F74" s="10">
        <v>0</v>
      </c>
      <c r="G74" s="10">
        <v>995</v>
      </c>
      <c r="H74" s="10">
        <v>1060</v>
      </c>
      <c r="I74" s="10">
        <v>1860</v>
      </c>
      <c r="J74" s="10">
        <v>0</v>
      </c>
      <c r="K74" s="10">
        <v>0</v>
      </c>
      <c r="L74" s="10">
        <v>0</v>
      </c>
      <c r="M74" s="10">
        <v>2400</v>
      </c>
      <c r="N74" s="10">
        <v>0</v>
      </c>
      <c r="O74" s="10">
        <v>0</v>
      </c>
      <c r="P74" s="37">
        <f>SUM(C74:O74)</f>
        <v>10078</v>
      </c>
    </row>
    <row r="75" spans="2:16" x14ac:dyDescent="0.2">
      <c r="B75" s="18" t="s">
        <v>88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2:16" x14ac:dyDescent="0.2">
      <c r="B76" s="18" t="s">
        <v>89</v>
      </c>
      <c r="C76" s="9">
        <v>600</v>
      </c>
      <c r="D76" s="9">
        <v>600</v>
      </c>
      <c r="E76" s="9">
        <v>600</v>
      </c>
      <c r="F76" s="9">
        <v>-600</v>
      </c>
      <c r="G76" s="9">
        <v>0</v>
      </c>
      <c r="H76" s="9">
        <v>3768</v>
      </c>
      <c r="I76" s="9">
        <v>1400</v>
      </c>
      <c r="J76" s="9">
        <v>0</v>
      </c>
      <c r="K76" s="9">
        <v>700</v>
      </c>
      <c r="L76" s="9">
        <v>0</v>
      </c>
      <c r="M76" s="9">
        <v>700</v>
      </c>
      <c r="N76" s="9">
        <v>0</v>
      </c>
      <c r="O76" s="9">
        <v>700</v>
      </c>
    </row>
    <row r="77" spans="2:16" x14ac:dyDescent="0.2">
      <c r="B77" s="18" t="s">
        <v>90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</row>
    <row r="78" spans="2:16" x14ac:dyDescent="0.2">
      <c r="B78" s="18" t="s">
        <v>91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</row>
    <row r="79" spans="2:16" x14ac:dyDescent="0.2">
      <c r="B79" s="18" t="s">
        <v>92</v>
      </c>
      <c r="C79" s="10">
        <v>600</v>
      </c>
      <c r="D79" s="10">
        <v>600</v>
      </c>
      <c r="E79" s="10">
        <v>600</v>
      </c>
      <c r="F79" s="10">
        <v>-600</v>
      </c>
      <c r="G79" s="10">
        <v>0</v>
      </c>
      <c r="H79" s="10">
        <v>3768</v>
      </c>
      <c r="I79" s="10">
        <v>1400</v>
      </c>
      <c r="J79" s="10">
        <v>0</v>
      </c>
      <c r="K79" s="10">
        <v>700</v>
      </c>
      <c r="L79" s="10">
        <v>0</v>
      </c>
      <c r="M79" s="10">
        <v>700</v>
      </c>
      <c r="N79" s="10">
        <v>0</v>
      </c>
      <c r="O79" s="10">
        <v>700</v>
      </c>
      <c r="P79" s="37">
        <f>SUM(C79:O79)</f>
        <v>8468</v>
      </c>
    </row>
    <row r="80" spans="2:16" x14ac:dyDescent="0.2">
      <c r="B80" s="18" t="s">
        <v>93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2:16" x14ac:dyDescent="0.2">
      <c r="B81" s="18" t="s">
        <v>94</v>
      </c>
      <c r="C81" s="9">
        <v>0</v>
      </c>
      <c r="D81" s="9">
        <v>1980.56</v>
      </c>
      <c r="E81" s="9">
        <v>455.41</v>
      </c>
      <c r="F81" s="9">
        <v>0</v>
      </c>
      <c r="G81" s="9">
        <v>0</v>
      </c>
      <c r="H81" s="9">
        <v>242</v>
      </c>
      <c r="I81" s="9">
        <v>0</v>
      </c>
      <c r="J81" s="9">
        <v>450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</row>
    <row r="82" spans="2:16" x14ac:dyDescent="0.2">
      <c r="B82" s="18" t="s">
        <v>95</v>
      </c>
      <c r="C82" s="9">
        <v>7796.32</v>
      </c>
      <c r="D82" s="9">
        <v>4550</v>
      </c>
      <c r="E82" s="9">
        <v>12521.96</v>
      </c>
      <c r="F82" s="9">
        <v>6309</v>
      </c>
      <c r="G82" s="9">
        <v>0</v>
      </c>
      <c r="H82" s="9">
        <v>6300</v>
      </c>
      <c r="I82" s="9">
        <v>6300</v>
      </c>
      <c r="J82" s="9">
        <v>6300</v>
      </c>
      <c r="K82" s="9">
        <v>6300</v>
      </c>
      <c r="L82" s="9">
        <v>0</v>
      </c>
      <c r="M82" s="9">
        <v>12600</v>
      </c>
      <c r="N82" s="9">
        <v>6300</v>
      </c>
      <c r="O82" s="9">
        <v>0</v>
      </c>
    </row>
    <row r="83" spans="2:16" x14ac:dyDescent="0.2">
      <c r="B83" s="18" t="s">
        <v>96</v>
      </c>
      <c r="C83" s="9">
        <v>0</v>
      </c>
      <c r="D83" s="9">
        <v>0</v>
      </c>
      <c r="E83" s="9">
        <v>150</v>
      </c>
      <c r="F83" s="9">
        <v>0</v>
      </c>
      <c r="G83" s="9">
        <v>0</v>
      </c>
      <c r="H83" s="9">
        <v>0</v>
      </c>
      <c r="I83" s="9">
        <v>0</v>
      </c>
      <c r="J83" s="9">
        <v>220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</row>
    <row r="84" spans="2:16" x14ac:dyDescent="0.2">
      <c r="B84" s="18" t="s">
        <v>97</v>
      </c>
      <c r="C84" s="9">
        <v>1220</v>
      </c>
      <c r="D84" s="9">
        <v>-134</v>
      </c>
      <c r="E84" s="9">
        <v>2266</v>
      </c>
      <c r="F84" s="9">
        <v>-1133</v>
      </c>
      <c r="G84" s="9">
        <v>0</v>
      </c>
      <c r="H84" s="9">
        <v>2033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</row>
    <row r="85" spans="2:16" x14ac:dyDescent="0.2">
      <c r="B85" s="18" t="s">
        <v>98</v>
      </c>
      <c r="C85" s="9">
        <v>200</v>
      </c>
      <c r="D85" s="9">
        <v>1600</v>
      </c>
      <c r="E85" s="9">
        <v>3100</v>
      </c>
      <c r="F85" s="9">
        <v>1200</v>
      </c>
      <c r="G85" s="9">
        <v>0</v>
      </c>
      <c r="H85" s="9">
        <v>400</v>
      </c>
      <c r="I85" s="9">
        <v>6219</v>
      </c>
      <c r="J85" s="9">
        <v>0</v>
      </c>
      <c r="K85" s="9">
        <v>0</v>
      </c>
      <c r="L85" s="9">
        <v>383</v>
      </c>
      <c r="M85" s="9">
        <v>766</v>
      </c>
      <c r="N85" s="9">
        <v>483</v>
      </c>
      <c r="O85" s="9">
        <v>693</v>
      </c>
    </row>
    <row r="86" spans="2:16" x14ac:dyDescent="0.2">
      <c r="B86" s="18" t="s">
        <v>99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743</v>
      </c>
      <c r="I86" s="9">
        <v>0</v>
      </c>
      <c r="J86" s="9">
        <v>435</v>
      </c>
      <c r="K86" s="9">
        <v>255</v>
      </c>
      <c r="L86" s="9">
        <v>0</v>
      </c>
      <c r="M86" s="9">
        <v>1460.26</v>
      </c>
      <c r="N86" s="9">
        <v>635</v>
      </c>
      <c r="O86" s="9">
        <v>655</v>
      </c>
    </row>
    <row r="87" spans="2:16" x14ac:dyDescent="0.2">
      <c r="B87" s="18" t="s">
        <v>100</v>
      </c>
      <c r="C87" s="35">
        <v>9216.32</v>
      </c>
      <c r="D87" s="35">
        <v>7996.56</v>
      </c>
      <c r="E87" s="35">
        <v>18493.37</v>
      </c>
      <c r="F87" s="35">
        <v>6376</v>
      </c>
      <c r="G87" s="35">
        <v>0</v>
      </c>
      <c r="H87" s="35">
        <v>9718</v>
      </c>
      <c r="I87" s="35">
        <v>12519</v>
      </c>
      <c r="J87" s="35">
        <v>7405</v>
      </c>
      <c r="K87" s="35">
        <v>6555</v>
      </c>
      <c r="L87" s="35">
        <v>383</v>
      </c>
      <c r="M87" s="35">
        <v>14826.26</v>
      </c>
      <c r="N87" s="35">
        <v>7418</v>
      </c>
      <c r="O87" s="35">
        <v>1348</v>
      </c>
      <c r="P87" s="21">
        <f>SUM(C87:O87)</f>
        <v>102254.51</v>
      </c>
    </row>
    <row r="88" spans="2:16" x14ac:dyDescent="0.2">
      <c r="B88" s="56" t="s">
        <v>101</v>
      </c>
      <c r="C88" s="57">
        <v>43283.839999999997</v>
      </c>
      <c r="D88" s="57">
        <v>29212.62</v>
      </c>
      <c r="E88" s="57">
        <v>49855.16</v>
      </c>
      <c r="F88" s="57">
        <v>23953</v>
      </c>
      <c r="G88" s="57">
        <v>22774.7</v>
      </c>
      <c r="H88" s="57">
        <v>35678.050000000003</v>
      </c>
      <c r="I88" s="57">
        <v>34287.43</v>
      </c>
      <c r="J88" s="57">
        <v>11586</v>
      </c>
      <c r="K88" s="57">
        <v>19162.080000000002</v>
      </c>
      <c r="L88" s="57">
        <v>43949.39</v>
      </c>
      <c r="M88" s="57">
        <v>39022.269999999997</v>
      </c>
      <c r="N88" s="57">
        <v>8919.8700000000008</v>
      </c>
      <c r="O88" s="57">
        <v>4283.7299999999996</v>
      </c>
      <c r="P88" s="58">
        <f>SUM(C88:O88)</f>
        <v>365968.14</v>
      </c>
    </row>
    <row r="89" spans="2:16" x14ac:dyDescent="0.2">
      <c r="B89" s="18" t="s">
        <v>102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2:16" x14ac:dyDescent="0.2">
      <c r="B90" s="18" t="s">
        <v>103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2:16" x14ac:dyDescent="0.2">
      <c r="B91" s="18" t="s">
        <v>104</v>
      </c>
      <c r="C91" s="9">
        <v>17919.060000000001</v>
      </c>
      <c r="D91" s="9">
        <v>15783.76</v>
      </c>
      <c r="E91" s="9">
        <v>15687.07</v>
      </c>
      <c r="F91" s="9">
        <v>17274.080000000002</v>
      </c>
      <c r="G91" s="9">
        <v>17574.79</v>
      </c>
      <c r="H91" s="9">
        <v>8016.54</v>
      </c>
      <c r="I91" s="9">
        <v>12307.57</v>
      </c>
      <c r="J91" s="9">
        <v>16504.330000000002</v>
      </c>
      <c r="K91" s="9">
        <v>26559.16</v>
      </c>
      <c r="L91" s="9">
        <v>21636.240000000002</v>
      </c>
      <c r="M91" s="9">
        <v>27040.400000000001</v>
      </c>
      <c r="N91" s="9">
        <v>21418.82</v>
      </c>
      <c r="O91" s="9">
        <v>4210.8100000000004</v>
      </c>
    </row>
    <row r="92" spans="2:16" x14ac:dyDescent="0.2">
      <c r="B92" s="18" t="s">
        <v>105</v>
      </c>
      <c r="C92" s="9">
        <v>19871.669999999998</v>
      </c>
      <c r="D92" s="9">
        <v>11062.01</v>
      </c>
      <c r="E92" s="9">
        <v>7405.43</v>
      </c>
      <c r="F92" s="9">
        <v>12122.01</v>
      </c>
      <c r="G92" s="9">
        <v>9483.98</v>
      </c>
      <c r="H92" s="9">
        <v>6683.87</v>
      </c>
      <c r="I92" s="9">
        <v>4459.55</v>
      </c>
      <c r="J92" s="9">
        <v>2480.44</v>
      </c>
      <c r="K92" s="9">
        <v>10250.790000000001</v>
      </c>
      <c r="L92" s="9">
        <v>6919.36</v>
      </c>
      <c r="M92" s="9">
        <v>9608.2900000000009</v>
      </c>
      <c r="N92" s="9">
        <v>7622.38</v>
      </c>
      <c r="O92" s="9">
        <v>358.32</v>
      </c>
    </row>
    <row r="93" spans="2:16" x14ac:dyDescent="0.2">
      <c r="B93" s="18" t="s">
        <v>106</v>
      </c>
      <c r="C93" s="9">
        <v>9414.2199999999993</v>
      </c>
      <c r="D93" s="9">
        <v>10320.41</v>
      </c>
      <c r="E93" s="9">
        <v>12076.64</v>
      </c>
      <c r="F93" s="9">
        <v>11552.79</v>
      </c>
      <c r="G93" s="9">
        <v>10299.209999999999</v>
      </c>
      <c r="H93" s="9">
        <v>-563.24</v>
      </c>
      <c r="I93" s="9">
        <v>3902.2</v>
      </c>
      <c r="J93" s="9">
        <v>9694.15</v>
      </c>
      <c r="K93" s="9">
        <v>10984.06</v>
      </c>
      <c r="L93" s="9">
        <v>8987.2199999999993</v>
      </c>
      <c r="M93" s="9">
        <v>10325.620000000001</v>
      </c>
      <c r="N93" s="9">
        <v>10554.6</v>
      </c>
      <c r="O93" s="9">
        <v>5597.36</v>
      </c>
    </row>
    <row r="94" spans="2:16" x14ac:dyDescent="0.2">
      <c r="B94" s="18" t="s">
        <v>107</v>
      </c>
      <c r="C94" s="11">
        <v>17.100000000000001</v>
      </c>
      <c r="D94" s="11">
        <v>15.1</v>
      </c>
      <c r="E94" s="11">
        <v>15</v>
      </c>
      <c r="F94" s="11">
        <v>1.71</v>
      </c>
      <c r="G94" s="11">
        <v>16.97</v>
      </c>
      <c r="H94" s="11">
        <v>18.02</v>
      </c>
      <c r="I94" s="11">
        <v>16.39</v>
      </c>
      <c r="J94" s="11">
        <v>17.440000000000001</v>
      </c>
      <c r="K94" s="11">
        <v>17.649999999999999</v>
      </c>
      <c r="L94" s="11">
        <v>16.739999999999998</v>
      </c>
      <c r="M94" s="11">
        <v>17.46</v>
      </c>
      <c r="N94" s="11">
        <v>18.63</v>
      </c>
      <c r="O94" s="11">
        <v>3.99</v>
      </c>
    </row>
    <row r="95" spans="2:16" x14ac:dyDescent="0.2">
      <c r="B95" s="18" t="s">
        <v>108</v>
      </c>
      <c r="C95" s="12">
        <v>47222.05</v>
      </c>
      <c r="D95" s="12">
        <v>37181.279999999999</v>
      </c>
      <c r="E95" s="12">
        <v>35184.14</v>
      </c>
      <c r="F95" s="12">
        <v>40950.589999999997</v>
      </c>
      <c r="G95" s="12">
        <v>37374.949999999997</v>
      </c>
      <c r="H95" s="12">
        <v>14155.19</v>
      </c>
      <c r="I95" s="12">
        <v>20685.71</v>
      </c>
      <c r="J95" s="12">
        <v>28696.36</v>
      </c>
      <c r="K95" s="12">
        <v>47811.66</v>
      </c>
      <c r="L95" s="12">
        <v>37559.56</v>
      </c>
      <c r="M95" s="12">
        <v>46991.77</v>
      </c>
      <c r="N95" s="12">
        <v>39614.43</v>
      </c>
      <c r="O95" s="12">
        <v>10170.48</v>
      </c>
      <c r="P95" s="20">
        <f>SUM(C95:O95)</f>
        <v>443598.17000000004</v>
      </c>
    </row>
    <row r="96" spans="2:16" x14ac:dyDescent="0.2">
      <c r="B96" s="59" t="s">
        <v>109</v>
      </c>
      <c r="C96" s="60">
        <v>47222.05</v>
      </c>
      <c r="D96" s="60">
        <v>37181.279999999999</v>
      </c>
      <c r="E96" s="60">
        <v>35184.14</v>
      </c>
      <c r="F96" s="60">
        <v>40950.589999999997</v>
      </c>
      <c r="G96" s="60">
        <v>37374.949999999997</v>
      </c>
      <c r="H96" s="60">
        <v>14155.19</v>
      </c>
      <c r="I96" s="60">
        <v>20685.71</v>
      </c>
      <c r="J96" s="60">
        <v>28696.36</v>
      </c>
      <c r="K96" s="60">
        <v>47811.66</v>
      </c>
      <c r="L96" s="60">
        <v>37559.56</v>
      </c>
      <c r="M96" s="60">
        <v>46991.77</v>
      </c>
      <c r="N96" s="60">
        <v>39614.43</v>
      </c>
      <c r="O96" s="60">
        <v>10170.48</v>
      </c>
      <c r="P96" s="58">
        <f>SUM(C96:O96)</f>
        <v>443598.17000000004</v>
      </c>
    </row>
    <row r="97" spans="2:16" x14ac:dyDescent="0.2">
      <c r="B97" s="18" t="s">
        <v>110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2:16" x14ac:dyDescent="0.2">
      <c r="B98" s="18" t="s">
        <v>111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2:16" x14ac:dyDescent="0.2">
      <c r="B99" s="18" t="s">
        <v>112</v>
      </c>
      <c r="C99" s="9">
        <v>31650.87</v>
      </c>
      <c r="D99" s="9">
        <v>31200.76</v>
      </c>
      <c r="E99" s="9">
        <v>31200.75</v>
      </c>
      <c r="F99" s="9">
        <v>31200.75</v>
      </c>
      <c r="G99" s="9">
        <v>30863.13</v>
      </c>
      <c r="H99" s="9">
        <v>31763.42</v>
      </c>
      <c r="I99" s="9">
        <v>31088.21</v>
      </c>
      <c r="J99" s="9">
        <v>31088.23</v>
      </c>
      <c r="K99" s="9">
        <v>31088.21</v>
      </c>
      <c r="L99" s="9">
        <v>31088.21</v>
      </c>
      <c r="M99" s="9">
        <v>31088.21</v>
      </c>
      <c r="N99" s="9">
        <v>36743.410000000003</v>
      </c>
      <c r="O99" s="9">
        <v>0</v>
      </c>
    </row>
    <row r="100" spans="2:16" x14ac:dyDescent="0.2">
      <c r="B100" s="18" t="s">
        <v>113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</row>
    <row r="101" spans="2:16" x14ac:dyDescent="0.2">
      <c r="B101" s="18" t="s">
        <v>114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</row>
    <row r="102" spans="2:16" x14ac:dyDescent="0.2">
      <c r="B102" s="18" t="s">
        <v>115</v>
      </c>
      <c r="C102" s="10">
        <v>31650.87</v>
      </c>
      <c r="D102" s="10">
        <v>31200.76</v>
      </c>
      <c r="E102" s="10">
        <v>31200.75</v>
      </c>
      <c r="F102" s="10">
        <v>31200.75</v>
      </c>
      <c r="G102" s="10">
        <v>30863.13</v>
      </c>
      <c r="H102" s="10">
        <v>31763.42</v>
      </c>
      <c r="I102" s="10">
        <v>31088.21</v>
      </c>
      <c r="J102" s="10">
        <v>31088.23</v>
      </c>
      <c r="K102" s="10">
        <v>31088.21</v>
      </c>
      <c r="L102" s="10">
        <v>31088.21</v>
      </c>
      <c r="M102" s="10">
        <v>31088.21</v>
      </c>
      <c r="N102" s="10">
        <v>36743.410000000003</v>
      </c>
      <c r="O102" s="10">
        <v>0</v>
      </c>
      <c r="P102" s="37">
        <f>SUM(C102:O102)</f>
        <v>380064.16000000003</v>
      </c>
    </row>
    <row r="103" spans="2:16" x14ac:dyDescent="0.2">
      <c r="B103" s="18" t="s">
        <v>116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2:16" x14ac:dyDescent="0.2">
      <c r="B104" s="18" t="s">
        <v>117</v>
      </c>
      <c r="C104" s="9">
        <v>0</v>
      </c>
      <c r="D104" s="9">
        <v>0</v>
      </c>
      <c r="E104" s="9">
        <v>0</v>
      </c>
      <c r="F104" s="9">
        <v>734.95</v>
      </c>
      <c r="G104" s="9">
        <v>6800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</row>
    <row r="105" spans="2:16" x14ac:dyDescent="0.2">
      <c r="B105" s="18" t="s">
        <v>118</v>
      </c>
      <c r="C105" s="9">
        <v>0</v>
      </c>
      <c r="D105" s="9">
        <v>0</v>
      </c>
      <c r="E105" s="9">
        <v>3767.01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</row>
    <row r="106" spans="2:16" x14ac:dyDescent="0.2">
      <c r="B106" s="18" t="s">
        <v>119</v>
      </c>
      <c r="C106" s="9">
        <v>0</v>
      </c>
      <c r="D106" s="9">
        <v>0</v>
      </c>
      <c r="E106" s="9">
        <v>0</v>
      </c>
      <c r="F106" s="9">
        <v>62.56</v>
      </c>
      <c r="G106" s="9">
        <v>0</v>
      </c>
      <c r="H106" s="9">
        <v>460</v>
      </c>
      <c r="I106" s="9">
        <v>0</v>
      </c>
      <c r="J106" s="9">
        <v>2000</v>
      </c>
      <c r="K106" s="9">
        <v>0</v>
      </c>
      <c r="L106" s="9">
        <v>180</v>
      </c>
      <c r="M106" s="9">
        <v>0</v>
      </c>
      <c r="N106" s="9">
        <v>0</v>
      </c>
      <c r="O106" s="9">
        <v>0</v>
      </c>
    </row>
    <row r="107" spans="2:16" x14ac:dyDescent="0.2">
      <c r="B107" s="18" t="s">
        <v>120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</row>
    <row r="108" spans="2:16" x14ac:dyDescent="0.2">
      <c r="B108" s="18" t="s">
        <v>121</v>
      </c>
      <c r="C108" s="12">
        <v>0</v>
      </c>
      <c r="D108" s="12">
        <v>0</v>
      </c>
      <c r="E108" s="12">
        <v>3767.01</v>
      </c>
      <c r="F108" s="12">
        <v>797.51</v>
      </c>
      <c r="G108" s="12">
        <v>6800</v>
      </c>
      <c r="H108" s="12">
        <v>460</v>
      </c>
      <c r="I108" s="12">
        <v>0</v>
      </c>
      <c r="J108" s="12">
        <v>2000</v>
      </c>
      <c r="K108" s="12">
        <v>0</v>
      </c>
      <c r="L108" s="12">
        <v>180</v>
      </c>
      <c r="M108" s="12">
        <v>0</v>
      </c>
      <c r="N108" s="12">
        <v>0</v>
      </c>
      <c r="O108" s="12">
        <v>0</v>
      </c>
      <c r="P108" s="21">
        <f>SUM(C108:O108)</f>
        <v>14004.52</v>
      </c>
    </row>
    <row r="109" spans="2:16" x14ac:dyDescent="0.2">
      <c r="B109" s="59" t="s">
        <v>122</v>
      </c>
      <c r="C109" s="60">
        <v>31650.87</v>
      </c>
      <c r="D109" s="60">
        <v>31200.76</v>
      </c>
      <c r="E109" s="60">
        <v>34967.760000000002</v>
      </c>
      <c r="F109" s="60">
        <v>31998.26</v>
      </c>
      <c r="G109" s="60">
        <v>37663.129999999997</v>
      </c>
      <c r="H109" s="60">
        <v>32223.42</v>
      </c>
      <c r="I109" s="60">
        <v>31088.21</v>
      </c>
      <c r="J109" s="60">
        <v>33088.230000000003</v>
      </c>
      <c r="K109" s="60">
        <v>31088.21</v>
      </c>
      <c r="L109" s="60">
        <v>31268.21</v>
      </c>
      <c r="M109" s="60">
        <v>31088.21</v>
      </c>
      <c r="N109" s="60">
        <v>36743.410000000003</v>
      </c>
      <c r="O109" s="60">
        <v>0</v>
      </c>
      <c r="P109" s="61">
        <f>SUM(C109:O109)</f>
        <v>394068.68000000005</v>
      </c>
    </row>
    <row r="110" spans="2:16" x14ac:dyDescent="0.2">
      <c r="B110" s="18" t="s">
        <v>123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2:16" x14ac:dyDescent="0.2">
      <c r="B111" s="18" t="s">
        <v>124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2:16" x14ac:dyDescent="0.2">
      <c r="B112" s="18" t="s">
        <v>125</v>
      </c>
      <c r="C112" s="9">
        <v>2223.75</v>
      </c>
      <c r="D112" s="9">
        <v>2223.75</v>
      </c>
      <c r="E112" s="9">
        <v>2223.75</v>
      </c>
      <c r="F112" s="9">
        <v>2223.7600000000002</v>
      </c>
      <c r="G112" s="9">
        <v>2223.75</v>
      </c>
      <c r="H112" s="9">
        <v>2223.75</v>
      </c>
      <c r="I112" s="9">
        <v>2223.7600000000002</v>
      </c>
      <c r="J112" s="9">
        <v>2223.75</v>
      </c>
      <c r="K112" s="9">
        <v>2223.75</v>
      </c>
      <c r="L112" s="9">
        <v>11773.76</v>
      </c>
      <c r="M112" s="9">
        <v>4775</v>
      </c>
      <c r="N112" s="9">
        <v>11088</v>
      </c>
      <c r="O112" s="9">
        <v>0</v>
      </c>
    </row>
    <row r="113" spans="2:16" x14ac:dyDescent="0.2">
      <c r="B113" s="18" t="s">
        <v>126</v>
      </c>
      <c r="C113" s="9">
        <v>143.63</v>
      </c>
      <c r="D113" s="9">
        <v>143.63</v>
      </c>
      <c r="E113" s="9">
        <v>-3.67</v>
      </c>
      <c r="F113" s="9">
        <v>128.9</v>
      </c>
      <c r="G113" s="9">
        <v>129.1</v>
      </c>
      <c r="H113" s="9">
        <v>128.9</v>
      </c>
      <c r="I113" s="9">
        <v>128.9</v>
      </c>
      <c r="J113" s="9">
        <v>128.9</v>
      </c>
      <c r="K113" s="9">
        <v>128.9</v>
      </c>
      <c r="L113" s="9">
        <v>128.9</v>
      </c>
      <c r="M113" s="9">
        <v>128.9</v>
      </c>
      <c r="N113" s="9">
        <v>128.9</v>
      </c>
      <c r="O113" s="9">
        <v>0</v>
      </c>
    </row>
    <row r="114" spans="2:16" x14ac:dyDescent="0.2">
      <c r="B114" s="18" t="s">
        <v>127</v>
      </c>
      <c r="C114" s="9">
        <v>2255.36</v>
      </c>
      <c r="D114" s="9">
        <v>2255.36</v>
      </c>
      <c r="E114" s="9">
        <v>2255.36</v>
      </c>
      <c r="F114" s="9">
        <v>2255.36</v>
      </c>
      <c r="G114" s="9">
        <v>2255.36</v>
      </c>
      <c r="H114" s="9">
        <v>2255.36</v>
      </c>
      <c r="I114" s="9">
        <v>2255.36</v>
      </c>
      <c r="J114" s="9">
        <v>2255.36</v>
      </c>
      <c r="K114" s="9">
        <v>287</v>
      </c>
      <c r="L114" s="9">
        <v>4362.66</v>
      </c>
      <c r="M114" s="9">
        <v>2324.83</v>
      </c>
      <c r="N114" s="9">
        <v>2324.83</v>
      </c>
      <c r="O114" s="9">
        <v>0</v>
      </c>
    </row>
    <row r="115" spans="2:16" x14ac:dyDescent="0.2">
      <c r="B115" s="18" t="s">
        <v>128</v>
      </c>
      <c r="C115" s="11">
        <v>3329.08</v>
      </c>
      <c r="D115" s="11">
        <v>3329.08</v>
      </c>
      <c r="E115" s="11">
        <v>3329.08</v>
      </c>
      <c r="F115" s="11">
        <v>3329.08</v>
      </c>
      <c r="G115" s="11">
        <v>3329.08</v>
      </c>
      <c r="H115" s="11">
        <v>3329.08</v>
      </c>
      <c r="I115" s="11">
        <v>3329.08</v>
      </c>
      <c r="J115" s="11">
        <v>3329.08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</row>
    <row r="116" spans="2:16" x14ac:dyDescent="0.2">
      <c r="B116" s="18" t="s">
        <v>129</v>
      </c>
      <c r="C116" s="12">
        <v>7951.82</v>
      </c>
      <c r="D116" s="12">
        <v>7951.82</v>
      </c>
      <c r="E116" s="12">
        <v>7804.52</v>
      </c>
      <c r="F116" s="12">
        <v>7937.1</v>
      </c>
      <c r="G116" s="12">
        <v>7937.29</v>
      </c>
      <c r="H116" s="12">
        <v>7937.09</v>
      </c>
      <c r="I116" s="12">
        <v>7937.1</v>
      </c>
      <c r="J116" s="12">
        <v>7937.09</v>
      </c>
      <c r="K116" s="12">
        <v>2639.65</v>
      </c>
      <c r="L116" s="12">
        <v>16265.32</v>
      </c>
      <c r="M116" s="12">
        <v>7228.73</v>
      </c>
      <c r="N116" s="12">
        <v>13541.73</v>
      </c>
      <c r="O116" s="12">
        <v>0</v>
      </c>
      <c r="P116" s="21">
        <f>SUM(C116:O116)</f>
        <v>103069.25999999998</v>
      </c>
    </row>
    <row r="117" spans="2:16" x14ac:dyDescent="0.2">
      <c r="B117" s="18" t="s">
        <v>130</v>
      </c>
      <c r="C117" s="10">
        <v>7951.82</v>
      </c>
      <c r="D117" s="10">
        <v>7951.82</v>
      </c>
      <c r="E117" s="10">
        <v>7804.52</v>
      </c>
      <c r="F117" s="10">
        <v>7937.1</v>
      </c>
      <c r="G117" s="10">
        <v>7937.29</v>
      </c>
      <c r="H117" s="10">
        <v>7937.09</v>
      </c>
      <c r="I117" s="10">
        <v>7937.1</v>
      </c>
      <c r="J117" s="10">
        <v>7937.09</v>
      </c>
      <c r="K117" s="10">
        <v>2639.65</v>
      </c>
      <c r="L117" s="10">
        <v>16265.32</v>
      </c>
      <c r="M117" s="10">
        <v>7228.73</v>
      </c>
      <c r="N117" s="10">
        <v>13541.73</v>
      </c>
      <c r="O117" s="10">
        <v>0</v>
      </c>
      <c r="P117" s="21">
        <f>SUM(C117:O117)</f>
        <v>103069.25999999998</v>
      </c>
    </row>
    <row r="118" spans="2:16" x14ac:dyDescent="0.2">
      <c r="B118" s="18" t="s">
        <v>131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2:16" x14ac:dyDescent="0.2">
      <c r="B119" s="18" t="s">
        <v>132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2:16" x14ac:dyDescent="0.2">
      <c r="B120" s="18" t="s">
        <v>133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</row>
    <row r="121" spans="2:16" x14ac:dyDescent="0.2">
      <c r="B121" s="18" t="s">
        <v>134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</row>
    <row r="122" spans="2:16" x14ac:dyDescent="0.2">
      <c r="B122" s="18" t="s">
        <v>135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21">
        <f>SUM(C122:O122)</f>
        <v>0</v>
      </c>
    </row>
    <row r="123" spans="2:16" x14ac:dyDescent="0.2">
      <c r="B123" s="18" t="s">
        <v>136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2:16" x14ac:dyDescent="0.2">
      <c r="B124" s="18" t="s">
        <v>137</v>
      </c>
      <c r="C124" s="11">
        <v>7933.91</v>
      </c>
      <c r="D124" s="11">
        <v>7105.12</v>
      </c>
      <c r="E124" s="11">
        <v>7250.34</v>
      </c>
      <c r="F124" s="11">
        <v>14418.63</v>
      </c>
      <c r="G124" s="11">
        <v>6786.7</v>
      </c>
      <c r="H124" s="11">
        <v>5000</v>
      </c>
      <c r="I124" s="11">
        <v>6344.2</v>
      </c>
      <c r="J124" s="11">
        <v>5000</v>
      </c>
      <c r="K124" s="11">
        <v>5000</v>
      </c>
      <c r="L124" s="11">
        <v>5000</v>
      </c>
      <c r="M124" s="11">
        <v>6879.1</v>
      </c>
      <c r="N124" s="11">
        <v>5920.12</v>
      </c>
      <c r="O124" s="11">
        <v>-5920.12</v>
      </c>
    </row>
    <row r="125" spans="2:16" x14ac:dyDescent="0.2">
      <c r="B125" s="18" t="s">
        <v>138</v>
      </c>
      <c r="C125" s="12">
        <v>7933.91</v>
      </c>
      <c r="D125" s="12">
        <v>7105.12</v>
      </c>
      <c r="E125" s="12">
        <v>7250.34</v>
      </c>
      <c r="F125" s="12">
        <v>14418.63</v>
      </c>
      <c r="G125" s="12">
        <v>6786.7</v>
      </c>
      <c r="H125" s="12">
        <v>5000</v>
      </c>
      <c r="I125" s="12">
        <v>6344.2</v>
      </c>
      <c r="J125" s="12">
        <v>5000</v>
      </c>
      <c r="K125" s="12">
        <v>5000</v>
      </c>
      <c r="L125" s="12">
        <v>5000</v>
      </c>
      <c r="M125" s="12">
        <v>6879.1</v>
      </c>
      <c r="N125" s="12">
        <v>5920.12</v>
      </c>
      <c r="O125" s="12">
        <v>-5920.12</v>
      </c>
      <c r="P125" s="21">
        <f>SUM(C125:O125)</f>
        <v>76718</v>
      </c>
    </row>
    <row r="126" spans="2:16" x14ac:dyDescent="0.2">
      <c r="B126" s="56" t="s">
        <v>139</v>
      </c>
      <c r="C126" s="64">
        <v>7933.91</v>
      </c>
      <c r="D126" s="64">
        <v>7105.12</v>
      </c>
      <c r="E126" s="64">
        <v>7250.34</v>
      </c>
      <c r="F126" s="64">
        <v>14418.63</v>
      </c>
      <c r="G126" s="64">
        <v>6786.7</v>
      </c>
      <c r="H126" s="64">
        <v>5000</v>
      </c>
      <c r="I126" s="64">
        <v>6344.2</v>
      </c>
      <c r="J126" s="64">
        <v>5000</v>
      </c>
      <c r="K126" s="64">
        <v>5000</v>
      </c>
      <c r="L126" s="64">
        <v>5000</v>
      </c>
      <c r="M126" s="64">
        <v>6879.1</v>
      </c>
      <c r="N126" s="64">
        <v>5920.12</v>
      </c>
      <c r="O126" s="64">
        <v>-5920.12</v>
      </c>
      <c r="P126" s="63">
        <f>SUM(C126:O126)</f>
        <v>76718</v>
      </c>
    </row>
    <row r="127" spans="2:16" x14ac:dyDescent="0.2">
      <c r="B127" s="18" t="s">
        <v>140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2:16" x14ac:dyDescent="0.2">
      <c r="B128" s="18" t="s">
        <v>141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2:16" x14ac:dyDescent="0.2">
      <c r="B129" s="18" t="s">
        <v>142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492.75</v>
      </c>
      <c r="L129" s="9">
        <v>0</v>
      </c>
      <c r="M129" s="9">
        <v>0</v>
      </c>
      <c r="N129" s="9">
        <v>0</v>
      </c>
      <c r="O129" s="9">
        <v>0</v>
      </c>
    </row>
    <row r="130" spans="2:16" x14ac:dyDescent="0.2">
      <c r="B130" s="18" t="s">
        <v>143</v>
      </c>
      <c r="C130" s="9">
        <v>93.43</v>
      </c>
      <c r="D130" s="9">
        <v>397.71</v>
      </c>
      <c r="E130" s="9">
        <v>174.41</v>
      </c>
      <c r="F130" s="9">
        <v>15.5</v>
      </c>
      <c r="G130" s="9">
        <v>220.72</v>
      </c>
      <c r="H130" s="9">
        <v>0</v>
      </c>
      <c r="I130" s="9">
        <v>138</v>
      </c>
      <c r="J130" s="9">
        <v>16</v>
      </c>
      <c r="K130" s="9">
        <v>52</v>
      </c>
      <c r="L130" s="9">
        <v>18</v>
      </c>
      <c r="M130" s="9">
        <v>74</v>
      </c>
      <c r="N130" s="9">
        <v>26</v>
      </c>
      <c r="O130" s="9">
        <v>0</v>
      </c>
    </row>
    <row r="131" spans="2:16" x14ac:dyDescent="0.2">
      <c r="B131" s="18" t="s">
        <v>144</v>
      </c>
      <c r="C131" s="9">
        <v>1320.6</v>
      </c>
      <c r="D131" s="9">
        <v>1323.74</v>
      </c>
      <c r="E131" s="9">
        <v>1236.04</v>
      </c>
      <c r="F131" s="9">
        <v>1300</v>
      </c>
      <c r="G131" s="9">
        <v>5528.82</v>
      </c>
      <c r="H131" s="9">
        <v>-2957.77</v>
      </c>
      <c r="I131" s="9">
        <v>1518.09</v>
      </c>
      <c r="J131" s="9">
        <v>1274.96</v>
      </c>
      <c r="K131" s="9">
        <v>1297.27</v>
      </c>
      <c r="L131" s="9">
        <v>1353.75</v>
      </c>
      <c r="M131" s="9">
        <v>1246.08</v>
      </c>
      <c r="N131" s="9">
        <v>1328.58</v>
      </c>
      <c r="O131" s="9">
        <v>1238.8599999999999</v>
      </c>
    </row>
    <row r="132" spans="2:16" x14ac:dyDescent="0.2">
      <c r="B132" s="18" t="s">
        <v>145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83.43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</row>
    <row r="133" spans="2:16" x14ac:dyDescent="0.2">
      <c r="B133" s="18" t="s">
        <v>146</v>
      </c>
      <c r="C133" s="10">
        <v>1414.03</v>
      </c>
      <c r="D133" s="10">
        <v>1721.45</v>
      </c>
      <c r="E133" s="10">
        <v>1410.45</v>
      </c>
      <c r="F133" s="10">
        <v>1315.5</v>
      </c>
      <c r="G133" s="10">
        <v>5749.54</v>
      </c>
      <c r="H133" s="10">
        <v>-2874.34</v>
      </c>
      <c r="I133" s="10">
        <v>1656.09</v>
      </c>
      <c r="J133" s="10">
        <v>1290.96</v>
      </c>
      <c r="K133" s="10">
        <v>1842.02</v>
      </c>
      <c r="L133" s="10">
        <v>1371.75</v>
      </c>
      <c r="M133" s="10">
        <v>1320.08</v>
      </c>
      <c r="N133" s="10">
        <v>1354.58</v>
      </c>
      <c r="O133" s="10">
        <v>1238.8599999999999</v>
      </c>
      <c r="P133" s="21">
        <f>SUM(C133:O133)</f>
        <v>18810.97</v>
      </c>
    </row>
    <row r="134" spans="2:16" x14ac:dyDescent="0.2">
      <c r="B134" s="18" t="s">
        <v>147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2:16" x14ac:dyDescent="0.2">
      <c r="B135" s="18" t="s">
        <v>148</v>
      </c>
      <c r="C135" s="9">
        <v>0</v>
      </c>
      <c r="D135" s="9">
        <v>0</v>
      </c>
      <c r="E135" s="9">
        <v>10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29.57</v>
      </c>
      <c r="L135" s="9">
        <v>0</v>
      </c>
      <c r="M135" s="9">
        <v>0</v>
      </c>
      <c r="N135" s="9">
        <v>0</v>
      </c>
      <c r="O135" s="9">
        <v>0</v>
      </c>
    </row>
    <row r="136" spans="2:16" x14ac:dyDescent="0.2">
      <c r="B136" s="18" t="s">
        <v>149</v>
      </c>
      <c r="C136" s="11">
        <v>0</v>
      </c>
      <c r="D136" s="11">
        <v>304.02</v>
      </c>
      <c r="E136" s="11">
        <v>65.7</v>
      </c>
      <c r="F136" s="11">
        <v>0</v>
      </c>
      <c r="G136" s="11">
        <v>83.18</v>
      </c>
      <c r="H136" s="11">
        <v>0</v>
      </c>
      <c r="I136" s="11">
        <v>0</v>
      </c>
      <c r="J136" s="11">
        <v>0</v>
      </c>
      <c r="K136" s="11">
        <v>114.32</v>
      </c>
      <c r="L136" s="11">
        <v>0</v>
      </c>
      <c r="M136" s="11">
        <v>0</v>
      </c>
      <c r="N136" s="11">
        <v>0</v>
      </c>
      <c r="O136" s="11">
        <v>0</v>
      </c>
    </row>
    <row r="137" spans="2:16" x14ac:dyDescent="0.2">
      <c r="B137" s="18" t="s">
        <v>150</v>
      </c>
      <c r="C137" s="10">
        <v>0</v>
      </c>
      <c r="D137" s="10">
        <v>304.02</v>
      </c>
      <c r="E137" s="10">
        <v>75.7</v>
      </c>
      <c r="F137" s="10">
        <v>0</v>
      </c>
      <c r="G137" s="10">
        <v>83.18</v>
      </c>
      <c r="H137" s="10">
        <v>0</v>
      </c>
      <c r="I137" s="10">
        <v>0</v>
      </c>
      <c r="J137" s="10">
        <v>0</v>
      </c>
      <c r="K137" s="10">
        <v>143.88999999999999</v>
      </c>
      <c r="L137" s="10">
        <v>0</v>
      </c>
      <c r="M137" s="10">
        <v>0</v>
      </c>
      <c r="N137" s="10">
        <v>0</v>
      </c>
      <c r="O137" s="10">
        <v>0</v>
      </c>
      <c r="P137" s="21">
        <f>SUM(C137:O137)</f>
        <v>606.79</v>
      </c>
    </row>
    <row r="138" spans="2:16" x14ac:dyDescent="0.2">
      <c r="B138" s="18" t="s">
        <v>151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2:16" x14ac:dyDescent="0.2">
      <c r="B139" s="18" t="s">
        <v>152</v>
      </c>
      <c r="C139" s="11">
        <v>0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</row>
    <row r="140" spans="2:16" x14ac:dyDescent="0.2">
      <c r="B140" s="18" t="s">
        <v>153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21">
        <f>SUM(C140:O140)</f>
        <v>0</v>
      </c>
    </row>
    <row r="141" spans="2:16" x14ac:dyDescent="0.2">
      <c r="B141" s="56" t="s">
        <v>154</v>
      </c>
      <c r="C141" s="60">
        <v>1414.03</v>
      </c>
      <c r="D141" s="60">
        <f>D133+D137+D140</f>
        <v>2025.47</v>
      </c>
      <c r="E141" s="60">
        <v>1486.15</v>
      </c>
      <c r="F141" s="60">
        <v>1315.5</v>
      </c>
      <c r="G141" s="60">
        <v>5832.72</v>
      </c>
      <c r="H141" s="60">
        <v>-2874.34</v>
      </c>
      <c r="I141" s="60">
        <v>1656.09</v>
      </c>
      <c r="J141" s="60">
        <v>1290.96</v>
      </c>
      <c r="K141" s="60">
        <v>1985.91</v>
      </c>
      <c r="L141" s="60">
        <v>1371.75</v>
      </c>
      <c r="M141" s="60">
        <f>M133+M137+M140</f>
        <v>1320.08</v>
      </c>
      <c r="N141" s="60">
        <v>1354.58</v>
      </c>
      <c r="O141" s="60">
        <v>1238.8599999999999</v>
      </c>
      <c r="P141" s="63">
        <f>SUM(C141:O141)</f>
        <v>19417.760000000002</v>
      </c>
    </row>
    <row r="142" spans="2:16" x14ac:dyDescent="0.2">
      <c r="B142" s="18" t="s">
        <v>155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2:16" x14ac:dyDescent="0.2">
      <c r="B143" s="18" t="s">
        <v>156</v>
      </c>
      <c r="C143" s="9">
        <v>51.25</v>
      </c>
      <c r="D143" s="9">
        <v>51.25</v>
      </c>
      <c r="E143" s="9">
        <v>51.25</v>
      </c>
      <c r="F143" s="9">
        <v>584.13</v>
      </c>
      <c r="G143" s="9">
        <v>51.25</v>
      </c>
      <c r="H143" s="9">
        <v>291.25</v>
      </c>
      <c r="I143" s="9">
        <v>716.25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310</v>
      </c>
    </row>
    <row r="144" spans="2:16" x14ac:dyDescent="0.2">
      <c r="B144" s="18" t="s">
        <v>157</v>
      </c>
      <c r="C144" s="11">
        <v>-7737.09</v>
      </c>
      <c r="D144" s="11">
        <v>1000</v>
      </c>
      <c r="E144" s="11">
        <v>254.26</v>
      </c>
      <c r="F144" s="11">
        <v>0</v>
      </c>
      <c r="G144" s="11">
        <v>0</v>
      </c>
      <c r="H144" s="11">
        <v>250</v>
      </c>
      <c r="I144" s="11">
        <v>0</v>
      </c>
      <c r="J144" s="11">
        <v>8645.7800000000007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</row>
    <row r="145" spans="2:16" x14ac:dyDescent="0.2">
      <c r="B145" s="18" t="s">
        <v>158</v>
      </c>
      <c r="C145" s="12">
        <v>-7685.84</v>
      </c>
      <c r="D145" s="12">
        <v>1051.25</v>
      </c>
      <c r="E145" s="12">
        <v>305.51</v>
      </c>
      <c r="F145" s="12">
        <v>584.13</v>
      </c>
      <c r="G145" s="12">
        <v>51.25</v>
      </c>
      <c r="H145" s="12">
        <v>541.25</v>
      </c>
      <c r="I145" s="12">
        <v>716.25</v>
      </c>
      <c r="J145" s="12">
        <v>8645.7800000000007</v>
      </c>
      <c r="K145" s="12">
        <v>0</v>
      </c>
      <c r="L145" s="12">
        <v>0</v>
      </c>
      <c r="M145" s="12">
        <v>0</v>
      </c>
      <c r="N145" s="12">
        <v>0</v>
      </c>
      <c r="O145" s="12">
        <v>310</v>
      </c>
      <c r="P145" s="21">
        <f>SUM(C145:O145)</f>
        <v>4519.5800000000008</v>
      </c>
    </row>
    <row r="146" spans="2:16" x14ac:dyDescent="0.2">
      <c r="B146" s="59" t="s">
        <v>159</v>
      </c>
      <c r="C146" s="60">
        <v>-7685.84</v>
      </c>
      <c r="D146" s="60">
        <v>1051.25</v>
      </c>
      <c r="E146" s="60">
        <v>305.51</v>
      </c>
      <c r="F146" s="60">
        <v>584.13</v>
      </c>
      <c r="G146" s="60">
        <v>51.25</v>
      </c>
      <c r="H146" s="60">
        <v>541.25</v>
      </c>
      <c r="I146" s="60">
        <v>716.25</v>
      </c>
      <c r="J146" s="60">
        <v>8645.7800000000007</v>
      </c>
      <c r="K146" s="60">
        <v>0</v>
      </c>
      <c r="L146" s="60">
        <v>0</v>
      </c>
      <c r="M146" s="60">
        <v>0</v>
      </c>
      <c r="N146" s="60">
        <v>0</v>
      </c>
      <c r="O146" s="60">
        <v>310</v>
      </c>
      <c r="P146" s="62">
        <f>SUM(C146:O146)</f>
        <v>4519.5800000000008</v>
      </c>
    </row>
    <row r="147" spans="2:16" x14ac:dyDescent="0.2">
      <c r="B147" s="18" t="s">
        <v>160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2:16" x14ac:dyDescent="0.2">
      <c r="B148" s="18" t="s">
        <v>161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2:16" x14ac:dyDescent="0.2">
      <c r="B149" s="18" t="s">
        <v>162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</row>
    <row r="150" spans="2:16" x14ac:dyDescent="0.2">
      <c r="B150" s="18" t="s">
        <v>163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</row>
    <row r="151" spans="2:16" x14ac:dyDescent="0.2">
      <c r="B151" s="18" t="s">
        <v>164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</row>
    <row r="152" spans="2:16" x14ac:dyDescent="0.2">
      <c r="B152" s="18" t="s">
        <v>165</v>
      </c>
      <c r="C152" s="9">
        <v>2848.4</v>
      </c>
      <c r="D152" s="9">
        <v>3021.24</v>
      </c>
      <c r="E152" s="9">
        <v>5478.25</v>
      </c>
      <c r="F152" s="9">
        <v>217.4</v>
      </c>
      <c r="G152" s="9">
        <v>853.6</v>
      </c>
      <c r="H152" s="9">
        <v>332.65</v>
      </c>
      <c r="I152" s="9">
        <v>0</v>
      </c>
      <c r="J152" s="9">
        <v>259.14999999999998</v>
      </c>
      <c r="K152" s="9">
        <v>150</v>
      </c>
      <c r="L152" s="9">
        <v>0</v>
      </c>
      <c r="M152" s="9">
        <v>0</v>
      </c>
      <c r="N152" s="9">
        <v>0</v>
      </c>
      <c r="O152" s="9">
        <v>0</v>
      </c>
    </row>
    <row r="153" spans="2:16" x14ac:dyDescent="0.2">
      <c r="B153" s="18" t="s">
        <v>166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</row>
    <row r="154" spans="2:16" x14ac:dyDescent="0.2">
      <c r="B154" s="18" t="s">
        <v>167</v>
      </c>
      <c r="C154" s="11">
        <v>2603</v>
      </c>
      <c r="D154" s="11">
        <v>4509.45</v>
      </c>
      <c r="E154" s="11">
        <v>14310</v>
      </c>
      <c r="F154" s="11">
        <v>0</v>
      </c>
      <c r="G154" s="11">
        <v>0</v>
      </c>
      <c r="H154" s="11">
        <v>1001.25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</row>
    <row r="155" spans="2:16" x14ac:dyDescent="0.2">
      <c r="B155" s="59" t="s">
        <v>168</v>
      </c>
      <c r="C155" s="60">
        <v>5451.4</v>
      </c>
      <c r="D155" s="60">
        <v>7530.69</v>
      </c>
      <c r="E155" s="60">
        <v>19788.25</v>
      </c>
      <c r="F155" s="60">
        <v>217.4</v>
      </c>
      <c r="G155" s="60">
        <v>853.6</v>
      </c>
      <c r="H155" s="60">
        <v>1333.9</v>
      </c>
      <c r="I155" s="60">
        <v>0</v>
      </c>
      <c r="J155" s="60">
        <v>259.14999999999998</v>
      </c>
      <c r="K155" s="60">
        <v>150</v>
      </c>
      <c r="L155" s="60">
        <v>0</v>
      </c>
      <c r="M155" s="60">
        <v>0</v>
      </c>
      <c r="N155" s="60">
        <v>0</v>
      </c>
      <c r="O155" s="60">
        <v>0</v>
      </c>
      <c r="P155" s="61">
        <f>SUM(C155:O155)</f>
        <v>35584.39</v>
      </c>
    </row>
    <row r="156" spans="2:16" x14ac:dyDescent="0.2">
      <c r="B156" s="18" t="s">
        <v>169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spans="2:16" x14ac:dyDescent="0.2">
      <c r="B157" s="18" t="s">
        <v>170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</row>
    <row r="158" spans="2:16" x14ac:dyDescent="0.2">
      <c r="B158" s="18" t="s">
        <v>171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</row>
    <row r="159" spans="2:16" x14ac:dyDescent="0.2">
      <c r="B159" s="18" t="s">
        <v>172</v>
      </c>
      <c r="C159" s="11">
        <v>0</v>
      </c>
      <c r="D159" s="11">
        <v>0</v>
      </c>
      <c r="E159" s="11">
        <v>0</v>
      </c>
      <c r="F159" s="11">
        <v>0</v>
      </c>
      <c r="G159" s="11">
        <v>0</v>
      </c>
      <c r="H159" s="11">
        <v>2700</v>
      </c>
      <c r="I159" s="11">
        <v>3916</v>
      </c>
      <c r="J159" s="11">
        <v>1986</v>
      </c>
      <c r="K159" s="11">
        <v>1916</v>
      </c>
      <c r="L159" s="11">
        <v>1932</v>
      </c>
      <c r="M159" s="11">
        <v>1950</v>
      </c>
      <c r="N159" s="11">
        <v>1950</v>
      </c>
      <c r="O159" s="11">
        <v>0</v>
      </c>
      <c r="P159" s="38"/>
    </row>
    <row r="160" spans="2:16" x14ac:dyDescent="0.2">
      <c r="B160" s="59" t="s">
        <v>173</v>
      </c>
      <c r="C160" s="60">
        <v>0</v>
      </c>
      <c r="D160" s="60">
        <v>0</v>
      </c>
      <c r="E160" s="60">
        <v>0</v>
      </c>
      <c r="F160" s="60">
        <v>0</v>
      </c>
      <c r="G160" s="60">
        <v>0</v>
      </c>
      <c r="H160" s="60">
        <v>2700</v>
      </c>
      <c r="I160" s="60">
        <v>3916</v>
      </c>
      <c r="J160" s="60">
        <v>1986</v>
      </c>
      <c r="K160" s="60">
        <v>1916</v>
      </c>
      <c r="L160" s="60">
        <v>1932</v>
      </c>
      <c r="M160" s="60">
        <v>1950</v>
      </c>
      <c r="N160" s="60">
        <v>1950</v>
      </c>
      <c r="O160" s="60">
        <v>0</v>
      </c>
      <c r="P160" s="61">
        <f>SUM(C160:O160)</f>
        <v>16350</v>
      </c>
    </row>
    <row r="161" spans="2:16" x14ac:dyDescent="0.2">
      <c r="B161" s="18" t="s">
        <v>174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2:16" x14ac:dyDescent="0.2">
      <c r="B162" s="18" t="s">
        <v>175</v>
      </c>
      <c r="C162" s="11">
        <v>-400</v>
      </c>
      <c r="D162" s="11">
        <v>4950</v>
      </c>
      <c r="E162" s="11">
        <v>0</v>
      </c>
      <c r="F162" s="11">
        <v>7500</v>
      </c>
      <c r="G162" s="11">
        <v>0</v>
      </c>
      <c r="H162" s="11">
        <v>2271.2800000000002</v>
      </c>
      <c r="I162" s="11">
        <v>4294.5</v>
      </c>
      <c r="J162" s="11">
        <v>5000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</row>
    <row r="163" spans="2:16" x14ac:dyDescent="0.2">
      <c r="B163" s="18" t="s">
        <v>176</v>
      </c>
      <c r="C163" s="12">
        <v>-400</v>
      </c>
      <c r="D163" s="12">
        <v>4950</v>
      </c>
      <c r="E163" s="12">
        <v>0</v>
      </c>
      <c r="F163" s="12">
        <v>7500</v>
      </c>
      <c r="G163" s="12">
        <v>0</v>
      </c>
      <c r="H163" s="12">
        <v>2271.2800000000002</v>
      </c>
      <c r="I163" s="12">
        <v>4294.5</v>
      </c>
      <c r="J163" s="12">
        <v>5000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38"/>
    </row>
    <row r="164" spans="2:16" x14ac:dyDescent="0.2">
      <c r="B164" s="59" t="s">
        <v>177</v>
      </c>
      <c r="C164" s="60">
        <v>5051.3999999999996</v>
      </c>
      <c r="D164" s="60">
        <v>12480.69</v>
      </c>
      <c r="E164" s="60">
        <v>19788.25</v>
      </c>
      <c r="F164" s="60">
        <v>7717.4</v>
      </c>
      <c r="G164" s="60">
        <v>853.6</v>
      </c>
      <c r="H164" s="60">
        <v>6305.18</v>
      </c>
      <c r="I164" s="60">
        <v>8210.5</v>
      </c>
      <c r="J164" s="60">
        <v>7245.15</v>
      </c>
      <c r="K164" s="60">
        <v>2066</v>
      </c>
      <c r="L164" s="60">
        <v>1932</v>
      </c>
      <c r="M164" s="60">
        <v>1950</v>
      </c>
      <c r="N164" s="60">
        <v>1950</v>
      </c>
      <c r="O164" s="60">
        <v>0</v>
      </c>
      <c r="P164" s="61">
        <f>SUM(C164:O164)</f>
        <v>75550.17</v>
      </c>
    </row>
    <row r="165" spans="2:16" x14ac:dyDescent="0.2">
      <c r="B165" s="18" t="s">
        <v>178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2:16" x14ac:dyDescent="0.2">
      <c r="B166" s="18" t="s">
        <v>179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spans="2:16" x14ac:dyDescent="0.2">
      <c r="B167" s="18" t="s">
        <v>180</v>
      </c>
      <c r="C167" s="11">
        <v>0</v>
      </c>
      <c r="D167" s="11">
        <v>0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</row>
    <row r="168" spans="2:16" x14ac:dyDescent="0.2">
      <c r="B168" s="18" t="s">
        <v>181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</row>
    <row r="169" spans="2:16" x14ac:dyDescent="0.2">
      <c r="B169" s="18" t="s">
        <v>182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 spans="2:16" x14ac:dyDescent="0.2">
      <c r="B170" s="18" t="s">
        <v>183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spans="2:16" x14ac:dyDescent="0.2">
      <c r="B171" s="18" t="s">
        <v>184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2:16" x14ac:dyDescent="0.2">
      <c r="B172" s="18" t="s">
        <v>185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</row>
    <row r="173" spans="2:16" x14ac:dyDescent="0.2">
      <c r="B173" s="18" t="s">
        <v>186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 spans="2:16" x14ac:dyDescent="0.2">
      <c r="B174" s="18" t="s">
        <v>187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spans="2:16" x14ac:dyDescent="0.2">
      <c r="B175" s="18" t="s">
        <v>188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113.55</v>
      </c>
      <c r="L175" s="9">
        <v>0</v>
      </c>
      <c r="M175" s="9">
        <v>0</v>
      </c>
      <c r="N175" s="9">
        <v>0</v>
      </c>
      <c r="O175" s="9">
        <v>0</v>
      </c>
    </row>
    <row r="176" spans="2:16" x14ac:dyDescent="0.2">
      <c r="B176" s="18" t="s">
        <v>189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113.55</v>
      </c>
      <c r="L176" s="10">
        <v>0</v>
      </c>
      <c r="M176" s="10">
        <v>0</v>
      </c>
      <c r="N176" s="10">
        <v>0</v>
      </c>
      <c r="O176" s="10">
        <v>0</v>
      </c>
    </row>
    <row r="177" spans="2:15" x14ac:dyDescent="0.2">
      <c r="B177" s="18" t="s">
        <v>190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2:15" x14ac:dyDescent="0.2">
      <c r="B178" s="18" t="s">
        <v>191</v>
      </c>
      <c r="C178" s="11">
        <v>0</v>
      </c>
      <c r="D178" s="11">
        <v>0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</row>
    <row r="179" spans="2:15" x14ac:dyDescent="0.2">
      <c r="B179" s="18" t="s">
        <v>192</v>
      </c>
      <c r="C179" s="12">
        <v>0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</row>
    <row r="180" spans="2:15" x14ac:dyDescent="0.2">
      <c r="B180" s="18" t="s">
        <v>193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</row>
    <row r="181" spans="2:15" x14ac:dyDescent="0.2">
      <c r="B181" s="18" t="s">
        <v>194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2:15" x14ac:dyDescent="0.2">
      <c r="B182" s="18" t="s">
        <v>195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spans="2:15" x14ac:dyDescent="0.2">
      <c r="B183" s="18" t="s">
        <v>196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</row>
    <row r="184" spans="2:15" x14ac:dyDescent="0.2">
      <c r="B184" s="18" t="s">
        <v>197</v>
      </c>
      <c r="C184" s="9">
        <v>675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</row>
    <row r="185" spans="2:15" x14ac:dyDescent="0.2">
      <c r="B185" s="18" t="s">
        <v>198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</row>
    <row r="186" spans="2:15" x14ac:dyDescent="0.2">
      <c r="B186" s="18" t="s">
        <v>199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</row>
    <row r="187" spans="2:15" x14ac:dyDescent="0.2">
      <c r="B187" s="18" t="s">
        <v>200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</row>
    <row r="188" spans="2:15" x14ac:dyDescent="0.2">
      <c r="B188" s="18" t="s">
        <v>201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</row>
    <row r="189" spans="2:15" x14ac:dyDescent="0.2">
      <c r="B189" s="18" t="s">
        <v>202</v>
      </c>
      <c r="C189" s="11">
        <v>750</v>
      </c>
      <c r="D189" s="11">
        <v>0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</row>
    <row r="190" spans="2:15" x14ac:dyDescent="0.2">
      <c r="B190" s="18" t="s">
        <v>203</v>
      </c>
      <c r="C190" s="10">
        <v>1425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</row>
    <row r="191" spans="2:15" x14ac:dyDescent="0.2">
      <c r="B191" s="18" t="s">
        <v>204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2:15" x14ac:dyDescent="0.2">
      <c r="B192" s="18" t="s">
        <v>205</v>
      </c>
      <c r="C192" s="11">
        <v>1086</v>
      </c>
      <c r="D192" s="11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</row>
    <row r="193" spans="2:15" x14ac:dyDescent="0.2">
      <c r="B193" s="18" t="s">
        <v>206</v>
      </c>
      <c r="C193" s="10">
        <v>1086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 spans="2:15" x14ac:dyDescent="0.2">
      <c r="B194" s="18" t="s">
        <v>207</v>
      </c>
      <c r="C194" s="12">
        <v>2511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</row>
    <row r="195" spans="2:15" x14ac:dyDescent="0.2">
      <c r="B195" s="18" t="s">
        <v>208</v>
      </c>
      <c r="C195" s="10">
        <v>139333.07999999999</v>
      </c>
      <c r="D195" s="10">
        <v>145335.88</v>
      </c>
      <c r="E195" s="10">
        <v>168341.83</v>
      </c>
      <c r="F195" s="10">
        <v>132774.60999999999</v>
      </c>
      <c r="G195" s="10">
        <v>123174.34</v>
      </c>
      <c r="H195" s="10">
        <v>102865.84</v>
      </c>
      <c r="I195" s="10">
        <v>112875.49</v>
      </c>
      <c r="J195" s="10">
        <v>103489.57</v>
      </c>
      <c r="K195" s="10">
        <v>109867.06</v>
      </c>
      <c r="L195" s="10">
        <v>139296.23000000001</v>
      </c>
      <c r="M195" s="10">
        <v>625505.16</v>
      </c>
      <c r="N195" s="10">
        <v>108044.14</v>
      </c>
      <c r="O195" s="10">
        <v>13982.95</v>
      </c>
    </row>
    <row r="196" spans="2:15" x14ac:dyDescent="0.2">
      <c r="B196" s="19" t="s">
        <v>209</v>
      </c>
      <c r="C196" s="14">
        <v>139333.07999999999</v>
      </c>
      <c r="D196" s="14">
        <v>145335.88</v>
      </c>
      <c r="E196" s="14">
        <v>168341.83</v>
      </c>
      <c r="F196" s="14">
        <v>132774.60999999999</v>
      </c>
      <c r="G196" s="14">
        <v>123174.34</v>
      </c>
      <c r="H196" s="14">
        <v>102865.84</v>
      </c>
      <c r="I196" s="14">
        <v>112875.49</v>
      </c>
      <c r="J196" s="14">
        <v>103489.57</v>
      </c>
      <c r="K196" s="14">
        <v>109867.06</v>
      </c>
      <c r="L196" s="14">
        <v>139296.23000000001</v>
      </c>
      <c r="M196" s="14">
        <v>625505.16</v>
      </c>
      <c r="N196" s="14">
        <v>108044.14</v>
      </c>
      <c r="O196" s="14">
        <v>13982.95</v>
      </c>
    </row>
    <row r="197" spans="2:15" x14ac:dyDescent="0.2">
      <c r="B197" s="19" t="s">
        <v>20</v>
      </c>
      <c r="C197" s="13">
        <v>51822.73</v>
      </c>
      <c r="D197" s="13">
        <v>131919.53</v>
      </c>
      <c r="E197" s="13">
        <v>111869.49</v>
      </c>
      <c r="F197" s="13">
        <v>104507.83</v>
      </c>
      <c r="G197" s="13">
        <v>110201.79</v>
      </c>
      <c r="H197" s="13">
        <v>142382.38</v>
      </c>
      <c r="I197" s="13">
        <v>154562.67000000001</v>
      </c>
      <c r="J197" s="13">
        <v>137965.26</v>
      </c>
      <c r="K197" s="13">
        <v>131587.76999999999</v>
      </c>
      <c r="L197" s="13">
        <v>114462.34</v>
      </c>
      <c r="M197" s="13">
        <v>-364374.22</v>
      </c>
      <c r="N197" s="13">
        <v>147144.87</v>
      </c>
      <c r="O197" s="13">
        <v>190021.66</v>
      </c>
    </row>
    <row r="198" spans="2:15" x14ac:dyDescent="0.2">
      <c r="B198" s="18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2:15" x14ac:dyDescent="0.2">
      <c r="B199" s="19" t="s">
        <v>210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2:15" x14ac:dyDescent="0.2">
      <c r="B200" s="19" t="s">
        <v>211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2:15" x14ac:dyDescent="0.2">
      <c r="B201" s="18" t="s">
        <v>212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2:15" x14ac:dyDescent="0.2">
      <c r="B202" s="18" t="s">
        <v>213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spans="2:15" x14ac:dyDescent="0.2">
      <c r="B203" s="18" t="s">
        <v>214</v>
      </c>
      <c r="C203" s="11">
        <v>0</v>
      </c>
      <c r="D203" s="11">
        <v>0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</row>
    <row r="204" spans="2:15" x14ac:dyDescent="0.2">
      <c r="B204" s="18" t="s">
        <v>215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</row>
    <row r="205" spans="2:15" x14ac:dyDescent="0.2">
      <c r="B205" s="18" t="s">
        <v>216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 spans="2:15" x14ac:dyDescent="0.2">
      <c r="B206" s="19" t="s">
        <v>217</v>
      </c>
      <c r="C206" s="13">
        <v>0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 spans="2:15" x14ac:dyDescent="0.2">
      <c r="B207" s="18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2:15" x14ac:dyDescent="0.2">
      <c r="B208" s="19" t="s">
        <v>218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2:15" x14ac:dyDescent="0.2">
      <c r="B209" s="18" t="s">
        <v>219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2:15" x14ac:dyDescent="0.2">
      <c r="B210" s="18" t="s">
        <v>220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spans="2:15" x14ac:dyDescent="0.2">
      <c r="B211" s="18" t="s">
        <v>221</v>
      </c>
      <c r="C211" s="9">
        <v>130120.9</v>
      </c>
      <c r="D211" s="9">
        <v>131680.51</v>
      </c>
      <c r="E211" s="9">
        <v>131192.51999999999</v>
      </c>
      <c r="F211" s="9">
        <v>121622.35</v>
      </c>
      <c r="G211" s="9">
        <v>129672.27</v>
      </c>
      <c r="H211" s="9">
        <v>108161.63</v>
      </c>
      <c r="I211" s="9">
        <v>113812.8</v>
      </c>
      <c r="J211" s="9">
        <v>104438.18</v>
      </c>
      <c r="K211" s="9">
        <v>107919.46</v>
      </c>
      <c r="L211" s="9">
        <v>107919.46</v>
      </c>
      <c r="M211" s="9">
        <v>104438.18</v>
      </c>
      <c r="N211" s="9">
        <v>107919.46</v>
      </c>
      <c r="O211" s="9">
        <v>0</v>
      </c>
    </row>
    <row r="212" spans="2:15" x14ac:dyDescent="0.2">
      <c r="B212" s="18" t="s">
        <v>222</v>
      </c>
      <c r="C212" s="10">
        <v>130120.9</v>
      </c>
      <c r="D212" s="10">
        <v>131680.51</v>
      </c>
      <c r="E212" s="10">
        <v>131192.51999999999</v>
      </c>
      <c r="F212" s="10">
        <v>121622.35</v>
      </c>
      <c r="G212" s="10">
        <v>129672.27</v>
      </c>
      <c r="H212" s="10">
        <v>108161.63</v>
      </c>
      <c r="I212" s="10">
        <v>113812.8</v>
      </c>
      <c r="J212" s="10">
        <v>104438.18</v>
      </c>
      <c r="K212" s="10">
        <v>107919.46</v>
      </c>
      <c r="L212" s="10">
        <v>107919.46</v>
      </c>
      <c r="M212" s="10">
        <v>104438.18</v>
      </c>
      <c r="N212" s="10">
        <v>107919.46</v>
      </c>
      <c r="O212" s="10">
        <v>0</v>
      </c>
    </row>
    <row r="213" spans="2:15" x14ac:dyDescent="0.2">
      <c r="B213" s="18" t="s">
        <v>223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spans="2:15" x14ac:dyDescent="0.2">
      <c r="B214" s="18" t="s">
        <v>224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3360</v>
      </c>
      <c r="I214" s="9">
        <v>18987.5</v>
      </c>
      <c r="J214" s="9">
        <v>112979</v>
      </c>
      <c r="K214" s="9">
        <v>-108979</v>
      </c>
      <c r="L214" s="9">
        <v>65800</v>
      </c>
      <c r="M214" s="9">
        <v>0</v>
      </c>
      <c r="N214" s="9">
        <v>0</v>
      </c>
      <c r="O214" s="9">
        <v>0</v>
      </c>
    </row>
    <row r="215" spans="2:15" x14ac:dyDescent="0.2">
      <c r="B215" s="18" t="s">
        <v>225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3360</v>
      </c>
      <c r="I215" s="10">
        <v>18987.5</v>
      </c>
      <c r="J215" s="10">
        <v>112979</v>
      </c>
      <c r="K215" s="10">
        <v>-108979</v>
      </c>
      <c r="L215" s="10">
        <v>65800</v>
      </c>
      <c r="M215" s="10">
        <v>0</v>
      </c>
      <c r="N215" s="10">
        <v>0</v>
      </c>
      <c r="O215" s="10">
        <v>0</v>
      </c>
    </row>
    <row r="216" spans="2:15" x14ac:dyDescent="0.2">
      <c r="B216" s="18" t="s">
        <v>226</v>
      </c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spans="2:15" x14ac:dyDescent="0.2">
      <c r="B217" s="18" t="s">
        <v>227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</row>
    <row r="218" spans="2:15" x14ac:dyDescent="0.2">
      <c r="B218" s="18" t="s">
        <v>228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</row>
    <row r="219" spans="2:15" x14ac:dyDescent="0.2">
      <c r="B219" s="18" t="s">
        <v>229</v>
      </c>
      <c r="C219" s="10">
        <v>130120.9</v>
      </c>
      <c r="D219" s="10">
        <v>131680.51</v>
      </c>
      <c r="E219" s="10">
        <v>131192.51999999999</v>
      </c>
      <c r="F219" s="10">
        <v>121622.35</v>
      </c>
      <c r="G219" s="10">
        <v>129672.27</v>
      </c>
      <c r="H219" s="10">
        <v>111521.63</v>
      </c>
      <c r="I219" s="10">
        <v>132800.29999999999</v>
      </c>
      <c r="J219" s="10">
        <v>217417.18</v>
      </c>
      <c r="K219" s="10">
        <v>-1059.54</v>
      </c>
      <c r="L219" s="10">
        <v>173719.46</v>
      </c>
      <c r="M219" s="10">
        <v>104438.18</v>
      </c>
      <c r="N219" s="10">
        <v>107919.46</v>
      </c>
      <c r="O219" s="10">
        <v>0</v>
      </c>
    </row>
    <row r="220" spans="2:15" x14ac:dyDescent="0.2">
      <c r="B220" s="18" t="s">
        <v>230</v>
      </c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spans="2:15" x14ac:dyDescent="0.2">
      <c r="B221" s="18" t="s">
        <v>231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spans="2:15" x14ac:dyDescent="0.2">
      <c r="B222" s="18" t="s">
        <v>232</v>
      </c>
      <c r="C222" s="9">
        <v>0</v>
      </c>
      <c r="D222" s="9">
        <v>7.0000000000000007E-2</v>
      </c>
      <c r="E222" s="9">
        <v>-0.05</v>
      </c>
      <c r="F222" s="9">
        <v>0.05</v>
      </c>
      <c r="G222" s="9">
        <v>-0.9</v>
      </c>
      <c r="H222" s="9">
        <v>0.9</v>
      </c>
      <c r="I222" s="9">
        <v>0</v>
      </c>
      <c r="J222" s="9">
        <v>5734.8</v>
      </c>
      <c r="K222" s="9">
        <v>1226.6099999999999</v>
      </c>
      <c r="L222" s="9">
        <v>27.05</v>
      </c>
      <c r="M222" s="9">
        <v>8</v>
      </c>
      <c r="N222" s="9">
        <v>2.71</v>
      </c>
      <c r="O222" s="9">
        <v>0</v>
      </c>
    </row>
    <row r="223" spans="2:15" x14ac:dyDescent="0.2">
      <c r="B223" s="18" t="s">
        <v>233</v>
      </c>
      <c r="C223" s="11">
        <v>0</v>
      </c>
      <c r="D223" s="11">
        <v>0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</row>
    <row r="224" spans="2:15" x14ac:dyDescent="0.2">
      <c r="B224" s="18" t="s">
        <v>234</v>
      </c>
      <c r="C224" s="12">
        <v>0</v>
      </c>
      <c r="D224" s="12">
        <v>7.0000000000000007E-2</v>
      </c>
      <c r="E224" s="12">
        <v>-0.05</v>
      </c>
      <c r="F224" s="12">
        <v>0.05</v>
      </c>
      <c r="G224" s="12">
        <v>-0.9</v>
      </c>
      <c r="H224" s="12">
        <v>0.9</v>
      </c>
      <c r="I224" s="12">
        <v>0</v>
      </c>
      <c r="J224" s="12">
        <v>5734.8</v>
      </c>
      <c r="K224" s="12">
        <v>1226.6099999999999</v>
      </c>
      <c r="L224" s="12">
        <v>27.05</v>
      </c>
      <c r="M224" s="12">
        <v>8</v>
      </c>
      <c r="N224" s="12">
        <v>2.71</v>
      </c>
      <c r="O224" s="12">
        <v>0</v>
      </c>
    </row>
    <row r="225" spans="2:15" x14ac:dyDescent="0.2">
      <c r="B225" s="18" t="s">
        <v>235</v>
      </c>
      <c r="C225" s="10">
        <v>0</v>
      </c>
      <c r="D225" s="10">
        <v>7.0000000000000007E-2</v>
      </c>
      <c r="E225" s="10">
        <v>-0.05</v>
      </c>
      <c r="F225" s="10">
        <v>0.05</v>
      </c>
      <c r="G225" s="10">
        <v>-0.9</v>
      </c>
      <c r="H225" s="10">
        <v>0.9</v>
      </c>
      <c r="I225" s="10">
        <v>0</v>
      </c>
      <c r="J225" s="10">
        <v>5734.8</v>
      </c>
      <c r="K225" s="10">
        <v>1226.6099999999999</v>
      </c>
      <c r="L225" s="10">
        <v>27.05</v>
      </c>
      <c r="M225" s="10">
        <v>8</v>
      </c>
      <c r="N225" s="10">
        <v>2.71</v>
      </c>
      <c r="O225" s="10">
        <v>0</v>
      </c>
    </row>
    <row r="226" spans="2:15" x14ac:dyDescent="0.2">
      <c r="B226" s="18" t="s">
        <v>236</v>
      </c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spans="2:15" x14ac:dyDescent="0.2">
      <c r="B227" s="18" t="s">
        <v>237</v>
      </c>
      <c r="C227" s="9">
        <v>0</v>
      </c>
      <c r="D227" s="9">
        <v>-1627930.06</v>
      </c>
      <c r="E227" s="9">
        <v>0</v>
      </c>
      <c r="F227" s="9">
        <v>0</v>
      </c>
      <c r="G227" s="9">
        <v>1385414.39</v>
      </c>
      <c r="H227" s="9">
        <v>0</v>
      </c>
      <c r="I227" s="9">
        <v>0</v>
      </c>
      <c r="J227" s="9">
        <v>-139686.82</v>
      </c>
      <c r="K227" s="9">
        <v>0</v>
      </c>
      <c r="L227" s="9">
        <v>0</v>
      </c>
      <c r="M227" s="9">
        <v>1995500</v>
      </c>
      <c r="N227" s="9">
        <v>0</v>
      </c>
      <c r="O227" s="9">
        <v>0</v>
      </c>
    </row>
    <row r="228" spans="2:15" x14ac:dyDescent="0.2">
      <c r="B228" s="18" t="s">
        <v>238</v>
      </c>
      <c r="C228" s="11">
        <v>0</v>
      </c>
      <c r="D228" s="11">
        <v>0</v>
      </c>
      <c r="E228" s="11">
        <v>0</v>
      </c>
      <c r="F228" s="11">
        <v>0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</row>
    <row r="229" spans="2:15" x14ac:dyDescent="0.2">
      <c r="B229" s="18" t="s">
        <v>239</v>
      </c>
      <c r="C229" s="10">
        <v>0</v>
      </c>
      <c r="D229" s="10">
        <v>-1627930.06</v>
      </c>
      <c r="E229" s="10">
        <v>0</v>
      </c>
      <c r="F229" s="10">
        <v>0</v>
      </c>
      <c r="G229" s="10">
        <v>1385414.39</v>
      </c>
      <c r="H229" s="10">
        <v>0</v>
      </c>
      <c r="I229" s="10">
        <v>0</v>
      </c>
      <c r="J229" s="10">
        <v>-139686.82</v>
      </c>
      <c r="K229" s="10">
        <v>0</v>
      </c>
      <c r="L229" s="10">
        <v>0</v>
      </c>
      <c r="M229" s="10">
        <v>1995500</v>
      </c>
      <c r="N229" s="10">
        <v>0</v>
      </c>
      <c r="O229" s="10">
        <v>0</v>
      </c>
    </row>
    <row r="230" spans="2:15" x14ac:dyDescent="0.2">
      <c r="B230" s="18" t="s">
        <v>240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spans="2:15" x14ac:dyDescent="0.2">
      <c r="B231" s="18" t="s">
        <v>241</v>
      </c>
      <c r="C231" s="11">
        <v>0</v>
      </c>
      <c r="D231" s="11">
        <v>0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</row>
    <row r="232" spans="2:15" x14ac:dyDescent="0.2">
      <c r="B232" s="18" t="s">
        <v>242</v>
      </c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</row>
    <row r="233" spans="2:15" x14ac:dyDescent="0.2">
      <c r="B233" s="18" t="s">
        <v>243</v>
      </c>
      <c r="C233" s="10">
        <v>0</v>
      </c>
      <c r="D233" s="10">
        <v>-1627930.06</v>
      </c>
      <c r="E233" s="10">
        <v>0</v>
      </c>
      <c r="F233" s="10">
        <v>0</v>
      </c>
      <c r="G233" s="10">
        <v>1385414.39</v>
      </c>
      <c r="H233" s="10">
        <v>0</v>
      </c>
      <c r="I233" s="10">
        <v>0</v>
      </c>
      <c r="J233" s="10">
        <v>-139686.82</v>
      </c>
      <c r="K233" s="10">
        <v>0</v>
      </c>
      <c r="L233" s="10">
        <v>0</v>
      </c>
      <c r="M233" s="10">
        <v>1995500</v>
      </c>
      <c r="N233" s="10">
        <v>0</v>
      </c>
      <c r="O233" s="10">
        <v>0</v>
      </c>
    </row>
    <row r="234" spans="2:15" x14ac:dyDescent="0.2">
      <c r="B234" s="19" t="s">
        <v>244</v>
      </c>
      <c r="C234" s="13">
        <v>130120.9</v>
      </c>
      <c r="D234" s="13">
        <v>-1496249.48</v>
      </c>
      <c r="E234" s="13">
        <v>131192.47</v>
      </c>
      <c r="F234" s="13">
        <v>121622.39999999999</v>
      </c>
      <c r="G234" s="13">
        <v>1515085.76</v>
      </c>
      <c r="H234" s="13">
        <v>111522.53</v>
      </c>
      <c r="I234" s="13">
        <v>132800.29999999999</v>
      </c>
      <c r="J234" s="13">
        <v>83465.16</v>
      </c>
      <c r="K234" s="13">
        <v>167.07</v>
      </c>
      <c r="L234" s="13">
        <v>173746.51</v>
      </c>
      <c r="M234" s="13">
        <v>2099946.1800000002</v>
      </c>
      <c r="N234" s="13">
        <v>107922.17</v>
      </c>
      <c r="O234" s="13">
        <v>0</v>
      </c>
    </row>
    <row r="235" spans="2:15" x14ac:dyDescent="0.2">
      <c r="B235" s="18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2:15" x14ac:dyDescent="0.2">
      <c r="B236" s="18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2:15" x14ac:dyDescent="0.2">
      <c r="B237" s="19" t="s">
        <v>245</v>
      </c>
      <c r="C237" s="15">
        <v>-130120.9</v>
      </c>
      <c r="D237" s="15">
        <v>1496249.48</v>
      </c>
      <c r="E237" s="15">
        <v>-131192.47</v>
      </c>
      <c r="F237" s="15">
        <v>-121622.39999999999</v>
      </c>
      <c r="G237" s="15">
        <v>-1515085.76</v>
      </c>
      <c r="H237" s="15">
        <v>-111522.53</v>
      </c>
      <c r="I237" s="15">
        <v>-132800.29999999999</v>
      </c>
      <c r="J237" s="15">
        <v>-83465.16</v>
      </c>
      <c r="K237" s="15">
        <v>-167.07</v>
      </c>
      <c r="L237" s="15">
        <v>-173746.51</v>
      </c>
      <c r="M237" s="15">
        <v>-2099946.1800000002</v>
      </c>
      <c r="N237" s="15">
        <v>-107922.17</v>
      </c>
      <c r="O237" s="15">
        <v>0</v>
      </c>
    </row>
    <row r="238" spans="2:15" ht="17" thickBot="1" x14ac:dyDescent="0.25">
      <c r="B238" s="19" t="s">
        <v>246</v>
      </c>
      <c r="C238" s="16">
        <v>-78298.17</v>
      </c>
      <c r="D238" s="16">
        <v>1628169.01</v>
      </c>
      <c r="E238" s="16">
        <v>-19322.98</v>
      </c>
      <c r="F238" s="16">
        <v>-17114.57</v>
      </c>
      <c r="G238" s="16">
        <v>-1404883.97</v>
      </c>
      <c r="H238" s="16">
        <v>30859.85</v>
      </c>
      <c r="I238" s="16">
        <v>21762.37</v>
      </c>
      <c r="J238" s="16">
        <v>54500.1</v>
      </c>
      <c r="K238" s="16">
        <v>131420.70000000001</v>
      </c>
      <c r="L238" s="16">
        <v>-59284.17</v>
      </c>
      <c r="M238" s="16">
        <v>-2464320.4</v>
      </c>
      <c r="N238" s="16">
        <v>39222.699999999997</v>
      </c>
      <c r="O238" s="16">
        <v>190021.66</v>
      </c>
    </row>
    <row r="239" spans="2:15" ht="17" thickTop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D0C0-30B2-284F-B368-29F04781CBEA}">
  <dimension ref="B1:DR183"/>
  <sheetViews>
    <sheetView workbookViewId="0">
      <selection activeCell="A3" sqref="A3"/>
    </sheetView>
  </sheetViews>
  <sheetFormatPr baseColWidth="10" defaultRowHeight="16" x14ac:dyDescent="0.2"/>
  <cols>
    <col min="1" max="1" width="4" customWidth="1"/>
    <col min="2" max="2" width="29.1640625" customWidth="1"/>
  </cols>
  <sheetData>
    <row r="1" spans="2:122" x14ac:dyDescent="0.2"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</row>
    <row r="2" spans="2:122" x14ac:dyDescent="0.2">
      <c r="B2" t="s">
        <v>353</v>
      </c>
      <c r="C2" s="39">
        <v>44286</v>
      </c>
      <c r="D2" s="39">
        <v>44316</v>
      </c>
      <c r="E2" s="39">
        <v>44347</v>
      </c>
      <c r="F2" s="39">
        <v>44377</v>
      </c>
      <c r="G2" s="39">
        <v>44408</v>
      </c>
      <c r="H2" s="39">
        <v>44439</v>
      </c>
      <c r="I2" s="39">
        <v>44469</v>
      </c>
      <c r="J2" s="39">
        <v>44500</v>
      </c>
      <c r="K2" s="39">
        <v>44530</v>
      </c>
      <c r="L2" s="39">
        <v>44561</v>
      </c>
      <c r="M2" s="39">
        <v>44592</v>
      </c>
      <c r="N2" s="39">
        <v>44620</v>
      </c>
      <c r="O2" s="39">
        <v>44651</v>
      </c>
      <c r="P2" s="39">
        <v>44681</v>
      </c>
      <c r="Q2" s="39">
        <v>44712</v>
      </c>
      <c r="R2" s="39">
        <v>44742</v>
      </c>
      <c r="S2" s="39">
        <v>44773</v>
      </c>
      <c r="T2" s="39">
        <v>44804</v>
      </c>
      <c r="U2" s="39">
        <v>44834</v>
      </c>
      <c r="V2" s="39">
        <v>44865</v>
      </c>
      <c r="W2" s="39">
        <v>44895</v>
      </c>
      <c r="X2" s="39">
        <v>44926</v>
      </c>
      <c r="Y2" s="39">
        <v>44957</v>
      </c>
      <c r="Z2" s="39">
        <v>44985</v>
      </c>
      <c r="AA2" s="39">
        <v>45016</v>
      </c>
      <c r="AB2" s="39">
        <v>45046</v>
      </c>
      <c r="AC2" s="39">
        <v>45077</v>
      </c>
      <c r="AD2" s="39">
        <v>45107</v>
      </c>
      <c r="AE2" s="39">
        <v>45138</v>
      </c>
      <c r="AF2" s="39">
        <v>45169</v>
      </c>
      <c r="AG2" s="39">
        <v>45199</v>
      </c>
      <c r="AH2" s="39">
        <v>45230</v>
      </c>
      <c r="AI2" s="39">
        <v>45260</v>
      </c>
      <c r="AJ2" s="39">
        <v>45291</v>
      </c>
      <c r="AK2" s="39">
        <v>45322</v>
      </c>
      <c r="AL2" s="39">
        <v>45351</v>
      </c>
      <c r="AM2" s="39">
        <v>45382</v>
      </c>
      <c r="AN2" s="39">
        <v>45412</v>
      </c>
      <c r="AO2" s="39">
        <v>45443</v>
      </c>
      <c r="AP2" s="39">
        <v>45473</v>
      </c>
      <c r="AQ2" s="39">
        <v>45504</v>
      </c>
      <c r="AR2" s="39">
        <v>45535</v>
      </c>
      <c r="AS2" s="39">
        <v>45565</v>
      </c>
      <c r="AT2" s="39">
        <v>45596</v>
      </c>
      <c r="AU2" s="39">
        <v>45626</v>
      </c>
      <c r="AV2" s="39">
        <v>45657</v>
      </c>
      <c r="AW2" s="39">
        <v>45688</v>
      </c>
      <c r="AX2" s="39">
        <v>45716</v>
      </c>
      <c r="AY2" s="39">
        <v>45747</v>
      </c>
      <c r="AZ2" s="39">
        <v>45777</v>
      </c>
      <c r="BA2" s="39">
        <v>45808</v>
      </c>
      <c r="BB2" s="39">
        <v>45838</v>
      </c>
      <c r="BC2" s="39">
        <v>45869</v>
      </c>
      <c r="BD2" s="39">
        <v>45900</v>
      </c>
      <c r="BE2" s="39">
        <v>45930</v>
      </c>
      <c r="BF2" s="39">
        <v>45961</v>
      </c>
      <c r="BG2" s="39">
        <v>45991</v>
      </c>
      <c r="BH2" s="39">
        <v>46022</v>
      </c>
      <c r="BI2" s="39">
        <v>46053</v>
      </c>
      <c r="BJ2" s="39">
        <v>46081</v>
      </c>
      <c r="BK2" s="39">
        <v>46112</v>
      </c>
      <c r="BL2" s="39">
        <v>46142</v>
      </c>
      <c r="BM2" s="39">
        <v>46173</v>
      </c>
      <c r="BN2" s="39">
        <v>46203</v>
      </c>
      <c r="BO2" s="39">
        <v>46234</v>
      </c>
      <c r="BP2" s="39">
        <v>46265</v>
      </c>
      <c r="BQ2" s="39">
        <v>46295</v>
      </c>
      <c r="BR2" s="39">
        <v>46326</v>
      </c>
      <c r="BS2" s="39">
        <v>46356</v>
      </c>
      <c r="BT2" s="39">
        <v>46387</v>
      </c>
      <c r="BU2" s="39">
        <v>46418</v>
      </c>
      <c r="BV2" s="39">
        <v>46446</v>
      </c>
      <c r="BW2" s="39">
        <v>46477</v>
      </c>
      <c r="BX2" s="39">
        <v>46507</v>
      </c>
      <c r="BY2" s="39">
        <v>46538</v>
      </c>
      <c r="BZ2" s="39">
        <v>46568</v>
      </c>
      <c r="CA2" s="39">
        <v>46599</v>
      </c>
      <c r="CB2" s="39">
        <v>46630</v>
      </c>
      <c r="CC2" s="39">
        <v>46660</v>
      </c>
      <c r="CD2" s="39">
        <v>46691</v>
      </c>
      <c r="CE2" s="39">
        <v>46721</v>
      </c>
      <c r="CF2" s="39">
        <v>46752</v>
      </c>
      <c r="CG2" s="39">
        <v>46783</v>
      </c>
      <c r="CH2" s="39">
        <v>46812</v>
      </c>
      <c r="CI2" s="39">
        <v>46843</v>
      </c>
      <c r="CJ2" s="39">
        <v>46873</v>
      </c>
      <c r="CK2" s="39">
        <v>46904</v>
      </c>
      <c r="CL2" s="39">
        <v>46934</v>
      </c>
      <c r="CM2" s="39">
        <v>46965</v>
      </c>
      <c r="CN2" s="39">
        <v>46996</v>
      </c>
      <c r="CO2" s="39">
        <v>47026</v>
      </c>
      <c r="CP2" s="39">
        <v>47057</v>
      </c>
      <c r="CQ2" s="39">
        <v>47087</v>
      </c>
      <c r="CR2" s="39">
        <v>47118</v>
      </c>
      <c r="CS2" s="39">
        <v>47149</v>
      </c>
      <c r="CT2" s="39">
        <v>47177</v>
      </c>
      <c r="CU2" s="39">
        <v>47208</v>
      </c>
      <c r="CV2" s="39">
        <v>47238</v>
      </c>
      <c r="CW2" s="39">
        <v>47269</v>
      </c>
      <c r="CX2" s="39">
        <v>47299</v>
      </c>
      <c r="CY2" s="39">
        <v>47330</v>
      </c>
      <c r="CZ2" s="39">
        <v>47361</v>
      </c>
      <c r="DA2" s="39">
        <v>47391</v>
      </c>
      <c r="DB2" s="39">
        <v>47422</v>
      </c>
      <c r="DC2" s="39">
        <v>47452</v>
      </c>
      <c r="DD2" t="s">
        <v>354</v>
      </c>
    </row>
    <row r="3" spans="2:122" x14ac:dyDescent="0.2">
      <c r="B3" t="s">
        <v>352</v>
      </c>
      <c r="C3" s="85">
        <v>1.7000000000000001E-4</v>
      </c>
      <c r="D3" s="85">
        <v>1.6339999999999999E-4</v>
      </c>
      <c r="E3" s="85">
        <v>2.5510000000000002E-4</v>
      </c>
      <c r="F3" s="85">
        <v>3.4249999999999998E-4</v>
      </c>
      <c r="G3" s="85">
        <v>4.1990000000000001E-4</v>
      </c>
      <c r="H3" s="85">
        <v>4.3889999999999999E-4</v>
      </c>
      <c r="I3" s="85">
        <v>4.3799999999999997E-4</v>
      </c>
      <c r="J3" s="85">
        <v>3.1589999999999998E-4</v>
      </c>
      <c r="K3" s="85">
        <v>5.2190000000000005E-4</v>
      </c>
      <c r="L3" s="85">
        <v>7.6880000000000004E-4</v>
      </c>
      <c r="M3" s="85">
        <v>6.6089999999999996E-4</v>
      </c>
      <c r="N3" s="85">
        <v>7.316E-4</v>
      </c>
      <c r="O3" s="85">
        <v>1.2141000000000001E-3</v>
      </c>
      <c r="P3" s="85">
        <v>1.2141000000000001E-3</v>
      </c>
      <c r="Q3" s="85">
        <v>1.2141000000000001E-3</v>
      </c>
      <c r="R3" s="85">
        <v>1.2141000000000001E-3</v>
      </c>
      <c r="S3" s="85">
        <v>1.2141000000000001E-3</v>
      </c>
      <c r="T3" s="85">
        <v>1.3043E-3</v>
      </c>
      <c r="U3" s="85">
        <v>2.5673000000000002E-3</v>
      </c>
      <c r="V3" s="85">
        <v>2.5672E-3</v>
      </c>
      <c r="W3" s="85">
        <v>2.5672E-3</v>
      </c>
      <c r="X3" s="85">
        <v>2.5672E-3</v>
      </c>
      <c r="Y3" s="85">
        <v>2.5672E-3</v>
      </c>
      <c r="Z3" s="85">
        <v>2.8512999999999998E-3</v>
      </c>
      <c r="AA3" s="85">
        <v>6.9703000000000005E-3</v>
      </c>
      <c r="AB3" s="85">
        <v>6.9701999999999993E-3</v>
      </c>
      <c r="AC3" s="85">
        <v>6.9701999999999993E-3</v>
      </c>
      <c r="AD3" s="85">
        <v>6.9703000000000005E-3</v>
      </c>
      <c r="AE3" s="85">
        <v>6.9701999999999993E-3</v>
      </c>
      <c r="AF3" s="85">
        <v>6.9701999999999993E-3</v>
      </c>
      <c r="AG3" s="85">
        <v>6.9701999999999993E-3</v>
      </c>
      <c r="AH3" s="85">
        <v>6.9701999999999993E-3</v>
      </c>
      <c r="AI3" s="85">
        <v>6.9703999999999999E-3</v>
      </c>
      <c r="AJ3" s="85">
        <v>6.9701999999999993E-3</v>
      </c>
      <c r="AK3" s="85">
        <v>6.9700999999999999E-3</v>
      </c>
      <c r="AL3" s="85">
        <v>7.7800999999999999E-3</v>
      </c>
      <c r="AM3" s="85">
        <v>1.36516E-2</v>
      </c>
      <c r="AN3" s="85">
        <v>1.36519E-2</v>
      </c>
      <c r="AO3" s="85">
        <v>1.36521E-2</v>
      </c>
      <c r="AP3" s="85">
        <v>1.36519E-2</v>
      </c>
      <c r="AQ3" s="85">
        <v>1.36519E-2</v>
      </c>
      <c r="AR3" s="85">
        <v>1.36519E-2</v>
      </c>
      <c r="AS3" s="85">
        <v>1.36519E-2</v>
      </c>
      <c r="AT3" s="85">
        <v>1.36516E-2</v>
      </c>
      <c r="AU3" s="85">
        <v>1.36519E-2</v>
      </c>
      <c r="AV3" s="85">
        <v>1.36519E-2</v>
      </c>
      <c r="AW3" s="85">
        <v>1.3651100000000001E-2</v>
      </c>
      <c r="AX3" s="85">
        <v>1.4096200000000001E-2</v>
      </c>
      <c r="AY3" s="85">
        <v>1.8388399999999999E-2</v>
      </c>
      <c r="AZ3" s="85">
        <v>1.83889E-2</v>
      </c>
      <c r="BA3" s="85">
        <v>1.83889E-2</v>
      </c>
      <c r="BB3" s="85">
        <v>1.83889E-2</v>
      </c>
      <c r="BC3" s="85">
        <v>1.8389800000000001E-2</v>
      </c>
      <c r="BD3" s="85">
        <v>1.8388399999999999E-2</v>
      </c>
      <c r="BE3" s="85">
        <v>1.83889E-2</v>
      </c>
      <c r="BF3" s="85">
        <v>1.8389300000000001E-2</v>
      </c>
      <c r="BG3" s="85">
        <v>1.83889E-2</v>
      </c>
      <c r="BH3" s="85">
        <v>1.83889E-2</v>
      </c>
      <c r="BI3" s="85">
        <v>1.8387500000000001E-2</v>
      </c>
      <c r="BJ3" s="85">
        <v>1.83889E-2</v>
      </c>
      <c r="BK3" s="85">
        <v>2.1188600000000002E-2</v>
      </c>
      <c r="BL3" s="85">
        <v>2.1190400000000002E-2</v>
      </c>
      <c r="BM3" s="85">
        <v>2.1188600000000002E-2</v>
      </c>
      <c r="BN3" s="85">
        <v>2.1189200000000002E-2</v>
      </c>
      <c r="BO3" s="85">
        <v>2.1190400000000002E-2</v>
      </c>
      <c r="BP3" s="85">
        <v>2.1188600000000002E-2</v>
      </c>
      <c r="BQ3" s="85">
        <v>2.1189200000000002E-2</v>
      </c>
      <c r="BR3" s="85">
        <v>2.1189200000000002E-2</v>
      </c>
      <c r="BS3" s="85">
        <v>2.1189200000000002E-2</v>
      </c>
      <c r="BT3" s="85">
        <v>2.1190400000000002E-2</v>
      </c>
      <c r="BU3" s="85">
        <v>2.1187299999999999E-2</v>
      </c>
      <c r="BV3" s="85">
        <v>2.12655E-2</v>
      </c>
      <c r="BW3" s="85">
        <v>2.2371699999999998E-2</v>
      </c>
      <c r="BX3" s="85">
        <v>2.23731E-2</v>
      </c>
      <c r="BY3" s="85">
        <v>2.2371699999999998E-2</v>
      </c>
      <c r="BZ3" s="85">
        <v>2.2373799999999999E-2</v>
      </c>
      <c r="CA3" s="85">
        <v>2.23731E-2</v>
      </c>
      <c r="CB3" s="85">
        <v>2.2371699999999998E-2</v>
      </c>
      <c r="CC3" s="85">
        <v>2.2373799999999999E-2</v>
      </c>
      <c r="CD3" s="85">
        <v>2.2371699999999998E-2</v>
      </c>
      <c r="CE3" s="85">
        <v>2.2372400000000001E-2</v>
      </c>
      <c r="CF3" s="85">
        <v>2.23731E-2</v>
      </c>
      <c r="CG3" s="85">
        <v>2.2370999999999999E-2</v>
      </c>
      <c r="CH3" s="85">
        <v>2.2409500000000002E-2</v>
      </c>
      <c r="CI3" s="85">
        <v>2.2947700000000001E-2</v>
      </c>
      <c r="CJ3" s="85">
        <v>2.2947000000000002E-2</v>
      </c>
      <c r="CK3" s="85">
        <v>2.29462E-2</v>
      </c>
      <c r="CL3" s="85">
        <v>2.2947700000000001E-2</v>
      </c>
      <c r="CM3" s="85">
        <v>2.2947000000000002E-2</v>
      </c>
      <c r="CN3" s="85">
        <v>2.29462E-2</v>
      </c>
      <c r="CO3" s="85">
        <v>2.2947000000000002E-2</v>
      </c>
      <c r="CP3" s="85">
        <v>2.29462E-2</v>
      </c>
      <c r="CQ3" s="85">
        <v>2.2948400000000001E-2</v>
      </c>
      <c r="CR3" s="85">
        <v>2.2947000000000002E-2</v>
      </c>
      <c r="CS3" s="85">
        <v>2.2944800000000001E-2</v>
      </c>
      <c r="CT3" s="85">
        <v>2.2986900000000001E-2</v>
      </c>
      <c r="CU3" s="85">
        <v>2.3565900000000001E-2</v>
      </c>
      <c r="CV3" s="85">
        <v>2.3565900000000001E-2</v>
      </c>
      <c r="CW3" s="85">
        <v>2.3565100000000002E-2</v>
      </c>
      <c r="CX3" s="85">
        <v>2.3565900000000001E-2</v>
      </c>
      <c r="CY3" s="85">
        <v>2.3565900000000001E-2</v>
      </c>
      <c r="CZ3" s="85">
        <v>2.3567399999999999E-2</v>
      </c>
      <c r="DA3" s="85">
        <v>2.3565900000000001E-2</v>
      </c>
      <c r="DB3" s="85">
        <v>2.3565100000000002E-2</v>
      </c>
      <c r="DC3" s="85">
        <v>2.3566699999999999E-2</v>
      </c>
    </row>
    <row r="4" spans="2:122" x14ac:dyDescent="0.2">
      <c r="B4" s="39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</row>
    <row r="5" spans="2:122" x14ac:dyDescent="0.2">
      <c r="B5" s="39"/>
    </row>
    <row r="6" spans="2:122" x14ac:dyDescent="0.2">
      <c r="B6" s="39"/>
    </row>
    <row r="7" spans="2:122" x14ac:dyDescent="0.2">
      <c r="B7" s="39"/>
    </row>
    <row r="8" spans="2:122" x14ac:dyDescent="0.2">
      <c r="B8" s="39"/>
    </row>
    <row r="9" spans="2:122" x14ac:dyDescent="0.2">
      <c r="B9" s="39"/>
    </row>
    <row r="10" spans="2:122" x14ac:dyDescent="0.2">
      <c r="B10" s="39"/>
    </row>
    <row r="11" spans="2:122" x14ac:dyDescent="0.2">
      <c r="B11" s="39"/>
    </row>
    <row r="12" spans="2:122" x14ac:dyDescent="0.2">
      <c r="B12" s="39"/>
    </row>
    <row r="13" spans="2:122" x14ac:dyDescent="0.2">
      <c r="B13" s="39"/>
    </row>
    <row r="14" spans="2:122" x14ac:dyDescent="0.2">
      <c r="B14" s="39"/>
    </row>
    <row r="15" spans="2:122" x14ac:dyDescent="0.2">
      <c r="B15" s="39"/>
    </row>
    <row r="16" spans="2:122" x14ac:dyDescent="0.2">
      <c r="B16" s="39"/>
    </row>
    <row r="17" spans="2:2" x14ac:dyDescent="0.2">
      <c r="B17" s="39"/>
    </row>
    <row r="18" spans="2:2" x14ac:dyDescent="0.2">
      <c r="B18" s="39"/>
    </row>
    <row r="19" spans="2:2" x14ac:dyDescent="0.2">
      <c r="B19" s="39"/>
    </row>
    <row r="20" spans="2:2" x14ac:dyDescent="0.2">
      <c r="B20" s="39"/>
    </row>
    <row r="21" spans="2:2" x14ac:dyDescent="0.2">
      <c r="B21" s="39"/>
    </row>
    <row r="22" spans="2:2" x14ac:dyDescent="0.2">
      <c r="B22" s="39"/>
    </row>
    <row r="23" spans="2:2" x14ac:dyDescent="0.2">
      <c r="B23" s="39"/>
    </row>
    <row r="24" spans="2:2" x14ac:dyDescent="0.2">
      <c r="B24" s="39"/>
    </row>
    <row r="25" spans="2:2" x14ac:dyDescent="0.2">
      <c r="B25" s="39"/>
    </row>
    <row r="26" spans="2:2" x14ac:dyDescent="0.2">
      <c r="B26" s="39"/>
    </row>
    <row r="27" spans="2:2" x14ac:dyDescent="0.2">
      <c r="B27" s="39"/>
    </row>
    <row r="28" spans="2:2" x14ac:dyDescent="0.2">
      <c r="B28" s="39"/>
    </row>
    <row r="29" spans="2:2" x14ac:dyDescent="0.2">
      <c r="B29" s="39"/>
    </row>
    <row r="30" spans="2:2" x14ac:dyDescent="0.2">
      <c r="B30" s="39"/>
    </row>
    <row r="31" spans="2:2" x14ac:dyDescent="0.2">
      <c r="B31" s="39"/>
    </row>
    <row r="32" spans="2:2" x14ac:dyDescent="0.2">
      <c r="B32" s="39"/>
    </row>
    <row r="33" spans="2:2" x14ac:dyDescent="0.2">
      <c r="B33" s="39"/>
    </row>
    <row r="34" spans="2:2" x14ac:dyDescent="0.2">
      <c r="B34" s="39"/>
    </row>
    <row r="35" spans="2:2" x14ac:dyDescent="0.2">
      <c r="B35" s="39"/>
    </row>
    <row r="36" spans="2:2" x14ac:dyDescent="0.2">
      <c r="B36" s="39"/>
    </row>
    <row r="37" spans="2:2" x14ac:dyDescent="0.2">
      <c r="B37" s="39"/>
    </row>
    <row r="38" spans="2:2" x14ac:dyDescent="0.2">
      <c r="B38" s="39"/>
    </row>
    <row r="39" spans="2:2" x14ac:dyDescent="0.2">
      <c r="B39" s="39"/>
    </row>
    <row r="40" spans="2:2" x14ac:dyDescent="0.2">
      <c r="B40" s="39"/>
    </row>
    <row r="41" spans="2:2" x14ac:dyDescent="0.2">
      <c r="B41" s="39"/>
    </row>
    <row r="42" spans="2:2" x14ac:dyDescent="0.2">
      <c r="B42" s="39"/>
    </row>
    <row r="43" spans="2:2" x14ac:dyDescent="0.2">
      <c r="B43" s="39"/>
    </row>
    <row r="44" spans="2:2" x14ac:dyDescent="0.2">
      <c r="B44" s="39"/>
    </row>
    <row r="45" spans="2:2" x14ac:dyDescent="0.2">
      <c r="B45" s="39"/>
    </row>
    <row r="46" spans="2:2" x14ac:dyDescent="0.2">
      <c r="B46" s="39"/>
    </row>
    <row r="47" spans="2:2" x14ac:dyDescent="0.2">
      <c r="B47" s="39"/>
    </row>
    <row r="48" spans="2:2" x14ac:dyDescent="0.2">
      <c r="B48" s="39"/>
    </row>
    <row r="49" spans="2:2" x14ac:dyDescent="0.2">
      <c r="B49" s="39"/>
    </row>
    <row r="50" spans="2:2" x14ac:dyDescent="0.2">
      <c r="B50" s="39"/>
    </row>
    <row r="51" spans="2:2" x14ac:dyDescent="0.2">
      <c r="B51" s="39"/>
    </row>
    <row r="52" spans="2:2" x14ac:dyDescent="0.2">
      <c r="B52" s="39"/>
    </row>
    <row r="53" spans="2:2" x14ac:dyDescent="0.2">
      <c r="B53" s="39"/>
    </row>
    <row r="54" spans="2:2" x14ac:dyDescent="0.2">
      <c r="B54" s="39"/>
    </row>
    <row r="55" spans="2:2" x14ac:dyDescent="0.2">
      <c r="B55" s="39"/>
    </row>
    <row r="56" spans="2:2" x14ac:dyDescent="0.2">
      <c r="B56" s="39"/>
    </row>
    <row r="57" spans="2:2" x14ac:dyDescent="0.2">
      <c r="B57" s="39"/>
    </row>
    <row r="58" spans="2:2" x14ac:dyDescent="0.2">
      <c r="B58" s="39"/>
    </row>
    <row r="59" spans="2:2" x14ac:dyDescent="0.2">
      <c r="B59" s="39"/>
    </row>
    <row r="60" spans="2:2" x14ac:dyDescent="0.2">
      <c r="B60" s="39"/>
    </row>
    <row r="61" spans="2:2" x14ac:dyDescent="0.2">
      <c r="B61" s="39"/>
    </row>
    <row r="62" spans="2:2" x14ac:dyDescent="0.2">
      <c r="B62" s="39"/>
    </row>
    <row r="63" spans="2:2" x14ac:dyDescent="0.2">
      <c r="B63" s="39"/>
    </row>
    <row r="64" spans="2:2" x14ac:dyDescent="0.2">
      <c r="B64" s="39"/>
    </row>
    <row r="65" spans="2:2" x14ac:dyDescent="0.2">
      <c r="B65" s="39"/>
    </row>
    <row r="66" spans="2:2" x14ac:dyDescent="0.2">
      <c r="B66" s="39"/>
    </row>
    <row r="67" spans="2:2" x14ac:dyDescent="0.2">
      <c r="B67" s="39"/>
    </row>
    <row r="68" spans="2:2" x14ac:dyDescent="0.2">
      <c r="B68" s="39"/>
    </row>
    <row r="69" spans="2:2" x14ac:dyDescent="0.2">
      <c r="B69" s="39"/>
    </row>
    <row r="70" spans="2:2" x14ac:dyDescent="0.2">
      <c r="B70" s="39"/>
    </row>
    <row r="71" spans="2:2" x14ac:dyDescent="0.2">
      <c r="B71" s="39"/>
    </row>
    <row r="72" spans="2:2" x14ac:dyDescent="0.2">
      <c r="B72" s="39"/>
    </row>
    <row r="73" spans="2:2" x14ac:dyDescent="0.2">
      <c r="B73" s="39"/>
    </row>
    <row r="74" spans="2:2" x14ac:dyDescent="0.2">
      <c r="B74" s="39"/>
    </row>
    <row r="75" spans="2:2" x14ac:dyDescent="0.2">
      <c r="B75" s="39"/>
    </row>
    <row r="76" spans="2:2" x14ac:dyDescent="0.2">
      <c r="B76" s="39"/>
    </row>
    <row r="77" spans="2:2" x14ac:dyDescent="0.2">
      <c r="B77" s="39"/>
    </row>
    <row r="78" spans="2:2" x14ac:dyDescent="0.2">
      <c r="B78" s="39"/>
    </row>
    <row r="79" spans="2:2" x14ac:dyDescent="0.2">
      <c r="B79" s="39"/>
    </row>
    <row r="80" spans="2:2" x14ac:dyDescent="0.2">
      <c r="B80" s="39"/>
    </row>
    <row r="81" spans="2:2" x14ac:dyDescent="0.2">
      <c r="B81" s="39"/>
    </row>
    <row r="82" spans="2:2" x14ac:dyDescent="0.2">
      <c r="B82" s="39"/>
    </row>
    <row r="83" spans="2:2" x14ac:dyDescent="0.2">
      <c r="B83" s="39"/>
    </row>
    <row r="84" spans="2:2" x14ac:dyDescent="0.2">
      <c r="B84" s="39"/>
    </row>
    <row r="85" spans="2:2" x14ac:dyDescent="0.2">
      <c r="B85" s="39"/>
    </row>
    <row r="86" spans="2:2" x14ac:dyDescent="0.2">
      <c r="B86" s="39"/>
    </row>
    <row r="87" spans="2:2" x14ac:dyDescent="0.2">
      <c r="B87" s="39"/>
    </row>
    <row r="88" spans="2:2" x14ac:dyDescent="0.2">
      <c r="B88" s="39"/>
    </row>
    <row r="89" spans="2:2" x14ac:dyDescent="0.2">
      <c r="B89" s="39"/>
    </row>
    <row r="90" spans="2:2" x14ac:dyDescent="0.2">
      <c r="B90" s="39"/>
    </row>
    <row r="91" spans="2:2" x14ac:dyDescent="0.2">
      <c r="B91" s="39"/>
    </row>
    <row r="92" spans="2:2" x14ac:dyDescent="0.2">
      <c r="B92" s="39"/>
    </row>
    <row r="93" spans="2:2" x14ac:dyDescent="0.2">
      <c r="B93" s="39"/>
    </row>
    <row r="94" spans="2:2" x14ac:dyDescent="0.2">
      <c r="B94" s="39"/>
    </row>
    <row r="95" spans="2:2" x14ac:dyDescent="0.2">
      <c r="B95" s="39"/>
    </row>
    <row r="96" spans="2:2" x14ac:dyDescent="0.2">
      <c r="B96" s="39"/>
    </row>
    <row r="97" spans="2:2" x14ac:dyDescent="0.2">
      <c r="B97" s="39"/>
    </row>
    <row r="98" spans="2:2" x14ac:dyDescent="0.2">
      <c r="B98" s="39"/>
    </row>
    <row r="99" spans="2:2" x14ac:dyDescent="0.2">
      <c r="B99" s="39"/>
    </row>
    <row r="100" spans="2:2" x14ac:dyDescent="0.2">
      <c r="B100" s="39"/>
    </row>
    <row r="101" spans="2:2" x14ac:dyDescent="0.2">
      <c r="B101" s="39"/>
    </row>
    <row r="102" spans="2:2" x14ac:dyDescent="0.2">
      <c r="B102" s="39"/>
    </row>
    <row r="103" spans="2:2" x14ac:dyDescent="0.2">
      <c r="B103" s="39"/>
    </row>
    <row r="104" spans="2:2" x14ac:dyDescent="0.2">
      <c r="B104" s="39"/>
    </row>
    <row r="105" spans="2:2" x14ac:dyDescent="0.2">
      <c r="B105" s="39"/>
    </row>
    <row r="106" spans="2:2" x14ac:dyDescent="0.2">
      <c r="B106" s="39"/>
    </row>
    <row r="107" spans="2:2" x14ac:dyDescent="0.2">
      <c r="B107" s="39"/>
    </row>
    <row r="108" spans="2:2" x14ac:dyDescent="0.2">
      <c r="B108" s="39"/>
    </row>
    <row r="109" spans="2:2" x14ac:dyDescent="0.2">
      <c r="B109" s="39"/>
    </row>
    <row r="110" spans="2:2" x14ac:dyDescent="0.2">
      <c r="B110" s="39"/>
    </row>
    <row r="111" spans="2:2" x14ac:dyDescent="0.2">
      <c r="B111" s="39"/>
    </row>
    <row r="112" spans="2:2" x14ac:dyDescent="0.2">
      <c r="B112" s="39"/>
    </row>
    <row r="113" spans="2:2" x14ac:dyDescent="0.2">
      <c r="B113" s="39"/>
    </row>
    <row r="114" spans="2:2" x14ac:dyDescent="0.2">
      <c r="B114" s="39"/>
    </row>
    <row r="115" spans="2:2" x14ac:dyDescent="0.2">
      <c r="B115" s="39"/>
    </row>
    <row r="116" spans="2:2" x14ac:dyDescent="0.2">
      <c r="B116" s="39"/>
    </row>
    <row r="117" spans="2:2" x14ac:dyDescent="0.2">
      <c r="B117" s="39"/>
    </row>
    <row r="118" spans="2:2" x14ac:dyDescent="0.2">
      <c r="B118" s="39"/>
    </row>
    <row r="119" spans="2:2" x14ac:dyDescent="0.2">
      <c r="B119" s="39"/>
    </row>
    <row r="120" spans="2:2" x14ac:dyDescent="0.2">
      <c r="B120" s="39"/>
    </row>
    <row r="121" spans="2:2" x14ac:dyDescent="0.2">
      <c r="B121" s="39"/>
    </row>
    <row r="122" spans="2:2" x14ac:dyDescent="0.2">
      <c r="B122" s="39"/>
    </row>
    <row r="123" spans="2:2" x14ac:dyDescent="0.2">
      <c r="B123" s="39"/>
    </row>
    <row r="124" spans="2:2" x14ac:dyDescent="0.2">
      <c r="B124" s="39"/>
    </row>
    <row r="125" spans="2:2" x14ac:dyDescent="0.2">
      <c r="B125" s="39"/>
    </row>
    <row r="126" spans="2:2" x14ac:dyDescent="0.2">
      <c r="B126" s="39"/>
    </row>
    <row r="127" spans="2:2" x14ac:dyDescent="0.2">
      <c r="B127" s="39"/>
    </row>
    <row r="128" spans="2:2" x14ac:dyDescent="0.2">
      <c r="B128" s="39"/>
    </row>
    <row r="129" spans="2:2" x14ac:dyDescent="0.2">
      <c r="B129" s="39"/>
    </row>
    <row r="130" spans="2:2" x14ac:dyDescent="0.2">
      <c r="B130" s="39"/>
    </row>
    <row r="131" spans="2:2" x14ac:dyDescent="0.2">
      <c r="B131" s="39"/>
    </row>
    <row r="132" spans="2:2" x14ac:dyDescent="0.2">
      <c r="B132" s="39"/>
    </row>
    <row r="133" spans="2:2" x14ac:dyDescent="0.2">
      <c r="B133" s="39"/>
    </row>
    <row r="134" spans="2:2" x14ac:dyDescent="0.2">
      <c r="B134" s="39"/>
    </row>
    <row r="135" spans="2:2" x14ac:dyDescent="0.2">
      <c r="B135" s="39"/>
    </row>
    <row r="136" spans="2:2" x14ac:dyDescent="0.2">
      <c r="B136" s="39"/>
    </row>
    <row r="137" spans="2:2" x14ac:dyDescent="0.2">
      <c r="B137" s="39"/>
    </row>
    <row r="138" spans="2:2" x14ac:dyDescent="0.2">
      <c r="B138" s="39"/>
    </row>
    <row r="139" spans="2:2" x14ac:dyDescent="0.2">
      <c r="B139" s="39"/>
    </row>
    <row r="140" spans="2:2" x14ac:dyDescent="0.2">
      <c r="B140" s="39"/>
    </row>
    <row r="141" spans="2:2" x14ac:dyDescent="0.2">
      <c r="B141" s="39"/>
    </row>
    <row r="142" spans="2:2" x14ac:dyDescent="0.2">
      <c r="B142" s="39"/>
    </row>
    <row r="143" spans="2:2" x14ac:dyDescent="0.2">
      <c r="B143" s="39"/>
    </row>
    <row r="144" spans="2:2" x14ac:dyDescent="0.2">
      <c r="B144" s="39"/>
    </row>
    <row r="145" spans="2:2" x14ac:dyDescent="0.2">
      <c r="B145" s="39"/>
    </row>
    <row r="146" spans="2:2" x14ac:dyDescent="0.2">
      <c r="B146" s="39"/>
    </row>
    <row r="147" spans="2:2" x14ac:dyDescent="0.2">
      <c r="B147" s="39"/>
    </row>
    <row r="148" spans="2:2" x14ac:dyDescent="0.2">
      <c r="B148" s="39"/>
    </row>
    <row r="149" spans="2:2" x14ac:dyDescent="0.2">
      <c r="B149" s="39"/>
    </row>
    <row r="150" spans="2:2" x14ac:dyDescent="0.2">
      <c r="B150" s="39"/>
    </row>
    <row r="151" spans="2:2" x14ac:dyDescent="0.2">
      <c r="B151" s="39"/>
    </row>
    <row r="152" spans="2:2" x14ac:dyDescent="0.2">
      <c r="B152" s="39"/>
    </row>
    <row r="153" spans="2:2" x14ac:dyDescent="0.2">
      <c r="B153" s="39"/>
    </row>
    <row r="154" spans="2:2" x14ac:dyDescent="0.2">
      <c r="B154" s="39"/>
    </row>
    <row r="155" spans="2:2" x14ac:dyDescent="0.2">
      <c r="B155" s="39"/>
    </row>
    <row r="156" spans="2:2" x14ac:dyDescent="0.2">
      <c r="B156" s="39"/>
    </row>
    <row r="157" spans="2:2" x14ac:dyDescent="0.2">
      <c r="B157" s="39"/>
    </row>
    <row r="158" spans="2:2" x14ac:dyDescent="0.2">
      <c r="B158" s="39"/>
    </row>
    <row r="159" spans="2:2" x14ac:dyDescent="0.2">
      <c r="B159" s="39"/>
    </row>
    <row r="160" spans="2:2" x14ac:dyDescent="0.2">
      <c r="B160" s="39"/>
    </row>
    <row r="161" spans="2:2" x14ac:dyDescent="0.2">
      <c r="B161" s="39"/>
    </row>
    <row r="162" spans="2:2" x14ac:dyDescent="0.2">
      <c r="B162" s="39"/>
    </row>
    <row r="163" spans="2:2" x14ac:dyDescent="0.2">
      <c r="B163" s="39"/>
    </row>
    <row r="164" spans="2:2" x14ac:dyDescent="0.2">
      <c r="B164" s="39"/>
    </row>
    <row r="165" spans="2:2" x14ac:dyDescent="0.2">
      <c r="B165" s="39"/>
    </row>
    <row r="166" spans="2:2" x14ac:dyDescent="0.2">
      <c r="B166" s="39"/>
    </row>
    <row r="167" spans="2:2" x14ac:dyDescent="0.2">
      <c r="B167" s="39"/>
    </row>
    <row r="168" spans="2:2" x14ac:dyDescent="0.2">
      <c r="B168" s="39"/>
    </row>
    <row r="169" spans="2:2" x14ac:dyDescent="0.2">
      <c r="B169" s="39"/>
    </row>
    <row r="170" spans="2:2" x14ac:dyDescent="0.2">
      <c r="B170" s="39"/>
    </row>
    <row r="171" spans="2:2" x14ac:dyDescent="0.2">
      <c r="B171" s="39"/>
    </row>
    <row r="172" spans="2:2" x14ac:dyDescent="0.2">
      <c r="B172" s="39"/>
    </row>
    <row r="173" spans="2:2" x14ac:dyDescent="0.2">
      <c r="B173" s="39"/>
    </row>
    <row r="174" spans="2:2" x14ac:dyDescent="0.2">
      <c r="B174" s="39"/>
    </row>
    <row r="175" spans="2:2" x14ac:dyDescent="0.2">
      <c r="B175" s="39"/>
    </row>
    <row r="176" spans="2:2" x14ac:dyDescent="0.2">
      <c r="B176" s="39"/>
    </row>
    <row r="177" spans="2:2" x14ac:dyDescent="0.2">
      <c r="B177" s="39"/>
    </row>
    <row r="178" spans="2:2" x14ac:dyDescent="0.2">
      <c r="B178" s="39"/>
    </row>
    <row r="179" spans="2:2" x14ac:dyDescent="0.2">
      <c r="B179" s="39"/>
    </row>
    <row r="180" spans="2:2" x14ac:dyDescent="0.2">
      <c r="B180" s="39"/>
    </row>
    <row r="181" spans="2:2" x14ac:dyDescent="0.2">
      <c r="B181" s="39"/>
    </row>
    <row r="182" spans="2:2" x14ac:dyDescent="0.2">
      <c r="B182" s="39"/>
    </row>
    <row r="183" spans="2:2" x14ac:dyDescent="0.2">
      <c r="B183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</vt:lpstr>
      <vt:lpstr>Proforma</vt:lpstr>
      <vt:lpstr>Cash Flow</vt:lpstr>
      <vt:lpstr>Lease Roll Over</vt:lpstr>
      <vt:lpstr>Rent Roll</vt:lpstr>
      <vt:lpstr>2021 T12</vt:lpstr>
      <vt:lpstr>OPEX</vt:lpstr>
      <vt:lpstr>2020 T12</vt:lpstr>
      <vt:lpstr>SOFR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Jihyeun Byeon</dc:creator>
  <cp:lastModifiedBy>Jihyeun Byeon</cp:lastModifiedBy>
  <dcterms:created xsi:type="dcterms:W3CDTF">2026-05-04T18:36:51Z</dcterms:created>
  <dcterms:modified xsi:type="dcterms:W3CDTF">2026-05-15T23:19:55Z</dcterms:modified>
</cp:coreProperties>
</file>